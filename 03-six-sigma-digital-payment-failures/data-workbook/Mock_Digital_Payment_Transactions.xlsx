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shan Thakur\Downloads\"/>
    </mc:Choice>
  </mc:AlternateContent>
  <xr:revisionPtr revIDLastSave="0" documentId="13_ncr:1_{6C47AB10-91C8-4E2D-B285-0EB14F98F60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4" r:id="rId3"/>
  </sheets>
  <definedNames>
    <definedName name="_xlnm._FilterDatabase" localSheetId="2" hidden="1">Sheet3!$A$2:$B$7</definedName>
  </definedNames>
  <calcPr calcId="191029"/>
  <pivotCaches>
    <pivotCache cacheId="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C7" i="4"/>
  <c r="C6" i="4"/>
  <c r="C5" i="4"/>
  <c r="C4" i="4"/>
  <c r="C3" i="4"/>
  <c r="C2" i="4"/>
  <c r="D3" i="4"/>
  <c r="E7" i="4"/>
  <c r="E6" i="4"/>
  <c r="E5" i="4"/>
  <c r="E4" i="4"/>
  <c r="E3" i="4"/>
  <c r="E2" i="4"/>
  <c r="J2" i="1"/>
  <c r="I2" i="1"/>
  <c r="H2" i="1"/>
</calcChain>
</file>

<file path=xl/sharedStrings.xml><?xml version="1.0" encoding="utf-8"?>
<sst xmlns="http://schemas.openxmlformats.org/spreadsheetml/2006/main" count="4253" uniqueCount="1038">
  <si>
    <t>Transaction ID</t>
  </si>
  <si>
    <t>Timestamp</t>
  </si>
  <si>
    <t>Amount</t>
  </si>
  <si>
    <t>Payment Method</t>
  </si>
  <si>
    <t>Bank Name</t>
  </si>
  <si>
    <t>Status</t>
  </si>
  <si>
    <t>Failure Reason</t>
  </si>
  <si>
    <t>TXN00001</t>
  </si>
  <si>
    <t>TXN00002</t>
  </si>
  <si>
    <t>TXN00003</t>
  </si>
  <si>
    <t>TXN00004</t>
  </si>
  <si>
    <t>TXN00005</t>
  </si>
  <si>
    <t>TXN00006</t>
  </si>
  <si>
    <t>TXN00007</t>
  </si>
  <si>
    <t>TXN00008</t>
  </si>
  <si>
    <t>TXN00009</t>
  </si>
  <si>
    <t>TXN00010</t>
  </si>
  <si>
    <t>TXN00011</t>
  </si>
  <si>
    <t>TXN00012</t>
  </si>
  <si>
    <t>TXN00013</t>
  </si>
  <si>
    <t>TXN00014</t>
  </si>
  <si>
    <t>TXN00015</t>
  </si>
  <si>
    <t>TXN00016</t>
  </si>
  <si>
    <t>TXN00017</t>
  </si>
  <si>
    <t>TXN00018</t>
  </si>
  <si>
    <t>TXN00019</t>
  </si>
  <si>
    <t>TXN00020</t>
  </si>
  <si>
    <t>TXN00021</t>
  </si>
  <si>
    <t>TXN00022</t>
  </si>
  <si>
    <t>TXN00023</t>
  </si>
  <si>
    <t>TXN00024</t>
  </si>
  <si>
    <t>TXN00025</t>
  </si>
  <si>
    <t>TXN00026</t>
  </si>
  <si>
    <t>TXN00027</t>
  </si>
  <si>
    <t>TXN00028</t>
  </si>
  <si>
    <t>TXN00029</t>
  </si>
  <si>
    <t>TXN00030</t>
  </si>
  <si>
    <t>TXN00031</t>
  </si>
  <si>
    <t>TXN00032</t>
  </si>
  <si>
    <t>TXN00033</t>
  </si>
  <si>
    <t>TXN00034</t>
  </si>
  <si>
    <t>TXN00035</t>
  </si>
  <si>
    <t>TXN00036</t>
  </si>
  <si>
    <t>TXN00037</t>
  </si>
  <si>
    <t>TXN00038</t>
  </si>
  <si>
    <t>TXN00039</t>
  </si>
  <si>
    <t>TXN00040</t>
  </si>
  <si>
    <t>TXN00041</t>
  </si>
  <si>
    <t>TXN00042</t>
  </si>
  <si>
    <t>TXN00043</t>
  </si>
  <si>
    <t>TXN00044</t>
  </si>
  <si>
    <t>TXN00045</t>
  </si>
  <si>
    <t>TXN00046</t>
  </si>
  <si>
    <t>TXN00047</t>
  </si>
  <si>
    <t>TXN00048</t>
  </si>
  <si>
    <t>TXN00049</t>
  </si>
  <si>
    <t>TXN00050</t>
  </si>
  <si>
    <t>TXN00051</t>
  </si>
  <si>
    <t>TXN00052</t>
  </si>
  <si>
    <t>TXN00053</t>
  </si>
  <si>
    <t>TXN00054</t>
  </si>
  <si>
    <t>TXN00055</t>
  </si>
  <si>
    <t>TXN00056</t>
  </si>
  <si>
    <t>TXN00057</t>
  </si>
  <si>
    <t>TXN00058</t>
  </si>
  <si>
    <t>TXN00059</t>
  </si>
  <si>
    <t>TXN00060</t>
  </si>
  <si>
    <t>TXN00061</t>
  </si>
  <si>
    <t>TXN00062</t>
  </si>
  <si>
    <t>TXN00063</t>
  </si>
  <si>
    <t>TXN00064</t>
  </si>
  <si>
    <t>TXN00065</t>
  </si>
  <si>
    <t>TXN00066</t>
  </si>
  <si>
    <t>TXN00067</t>
  </si>
  <si>
    <t>TXN00068</t>
  </si>
  <si>
    <t>TXN00069</t>
  </si>
  <si>
    <t>TXN00070</t>
  </si>
  <si>
    <t>TXN00071</t>
  </si>
  <si>
    <t>TXN00072</t>
  </si>
  <si>
    <t>TXN00073</t>
  </si>
  <si>
    <t>TXN00074</t>
  </si>
  <si>
    <t>TXN00075</t>
  </si>
  <si>
    <t>TXN00076</t>
  </si>
  <si>
    <t>TXN00077</t>
  </si>
  <si>
    <t>TXN00078</t>
  </si>
  <si>
    <t>TXN00079</t>
  </si>
  <si>
    <t>TXN00080</t>
  </si>
  <si>
    <t>TXN00081</t>
  </si>
  <si>
    <t>TXN00082</t>
  </si>
  <si>
    <t>TXN00083</t>
  </si>
  <si>
    <t>TXN00084</t>
  </si>
  <si>
    <t>TXN00085</t>
  </si>
  <si>
    <t>TXN00086</t>
  </si>
  <si>
    <t>TXN00087</t>
  </si>
  <si>
    <t>TXN00088</t>
  </si>
  <si>
    <t>TXN00089</t>
  </si>
  <si>
    <t>TXN00090</t>
  </si>
  <si>
    <t>TXN00091</t>
  </si>
  <si>
    <t>TXN00092</t>
  </si>
  <si>
    <t>TXN00093</t>
  </si>
  <si>
    <t>TXN00094</t>
  </si>
  <si>
    <t>TXN00095</t>
  </si>
  <si>
    <t>TXN00096</t>
  </si>
  <si>
    <t>TXN00097</t>
  </si>
  <si>
    <t>TXN00098</t>
  </si>
  <si>
    <t>TXN00099</t>
  </si>
  <si>
    <t>TXN00100</t>
  </si>
  <si>
    <t>TXN00101</t>
  </si>
  <si>
    <t>TXN00102</t>
  </si>
  <si>
    <t>TXN00103</t>
  </si>
  <si>
    <t>TXN00104</t>
  </si>
  <si>
    <t>TXN00105</t>
  </si>
  <si>
    <t>TXN00106</t>
  </si>
  <si>
    <t>TXN00107</t>
  </si>
  <si>
    <t>TXN00108</t>
  </si>
  <si>
    <t>TXN00109</t>
  </si>
  <si>
    <t>TXN00110</t>
  </si>
  <si>
    <t>TXN00111</t>
  </si>
  <si>
    <t>TXN00112</t>
  </si>
  <si>
    <t>TXN00113</t>
  </si>
  <si>
    <t>TXN00114</t>
  </si>
  <si>
    <t>TXN00115</t>
  </si>
  <si>
    <t>TXN00116</t>
  </si>
  <si>
    <t>TXN00117</t>
  </si>
  <si>
    <t>TXN00118</t>
  </si>
  <si>
    <t>TXN00119</t>
  </si>
  <si>
    <t>TXN00120</t>
  </si>
  <si>
    <t>TXN00121</t>
  </si>
  <si>
    <t>TXN00122</t>
  </si>
  <si>
    <t>TXN00123</t>
  </si>
  <si>
    <t>TXN00124</t>
  </si>
  <si>
    <t>TXN00125</t>
  </si>
  <si>
    <t>TXN00126</t>
  </si>
  <si>
    <t>TXN00127</t>
  </si>
  <si>
    <t>TXN00128</t>
  </si>
  <si>
    <t>TXN00129</t>
  </si>
  <si>
    <t>TXN00130</t>
  </si>
  <si>
    <t>TXN00131</t>
  </si>
  <si>
    <t>TXN00132</t>
  </si>
  <si>
    <t>TXN00133</t>
  </si>
  <si>
    <t>TXN00134</t>
  </si>
  <si>
    <t>TXN00135</t>
  </si>
  <si>
    <t>TXN00136</t>
  </si>
  <si>
    <t>TXN00137</t>
  </si>
  <si>
    <t>TXN00138</t>
  </si>
  <si>
    <t>TXN00139</t>
  </si>
  <si>
    <t>TXN00140</t>
  </si>
  <si>
    <t>TXN00141</t>
  </si>
  <si>
    <t>TXN00142</t>
  </si>
  <si>
    <t>TXN00143</t>
  </si>
  <si>
    <t>TXN00144</t>
  </si>
  <si>
    <t>TXN00145</t>
  </si>
  <si>
    <t>TXN00146</t>
  </si>
  <si>
    <t>TXN00147</t>
  </si>
  <si>
    <t>TXN00148</t>
  </si>
  <si>
    <t>TXN00149</t>
  </si>
  <si>
    <t>TXN00150</t>
  </si>
  <si>
    <t>TXN00151</t>
  </si>
  <si>
    <t>TXN00152</t>
  </si>
  <si>
    <t>TXN00153</t>
  </si>
  <si>
    <t>TXN00154</t>
  </si>
  <si>
    <t>TXN00155</t>
  </si>
  <si>
    <t>TXN00156</t>
  </si>
  <si>
    <t>TXN00157</t>
  </si>
  <si>
    <t>TXN00158</t>
  </si>
  <si>
    <t>TXN00159</t>
  </si>
  <si>
    <t>TXN00160</t>
  </si>
  <si>
    <t>TXN00161</t>
  </si>
  <si>
    <t>TXN00162</t>
  </si>
  <si>
    <t>TXN00163</t>
  </si>
  <si>
    <t>TXN00164</t>
  </si>
  <si>
    <t>TXN00165</t>
  </si>
  <si>
    <t>TXN00166</t>
  </si>
  <si>
    <t>TXN00167</t>
  </si>
  <si>
    <t>TXN00168</t>
  </si>
  <si>
    <t>TXN00169</t>
  </si>
  <si>
    <t>TXN00170</t>
  </si>
  <si>
    <t>TXN00171</t>
  </si>
  <si>
    <t>TXN00172</t>
  </si>
  <si>
    <t>TXN00173</t>
  </si>
  <si>
    <t>TXN00174</t>
  </si>
  <si>
    <t>TXN00175</t>
  </si>
  <si>
    <t>TXN00176</t>
  </si>
  <si>
    <t>TXN00177</t>
  </si>
  <si>
    <t>TXN00178</t>
  </si>
  <si>
    <t>TXN00179</t>
  </si>
  <si>
    <t>TXN00180</t>
  </si>
  <si>
    <t>TXN00181</t>
  </si>
  <si>
    <t>TXN00182</t>
  </si>
  <si>
    <t>TXN00183</t>
  </si>
  <si>
    <t>TXN00184</t>
  </si>
  <si>
    <t>TXN00185</t>
  </si>
  <si>
    <t>TXN00186</t>
  </si>
  <si>
    <t>TXN00187</t>
  </si>
  <si>
    <t>TXN00188</t>
  </si>
  <si>
    <t>TXN00189</t>
  </si>
  <si>
    <t>TXN00190</t>
  </si>
  <si>
    <t>TXN00191</t>
  </si>
  <si>
    <t>TXN00192</t>
  </si>
  <si>
    <t>TXN00193</t>
  </si>
  <si>
    <t>TXN00194</t>
  </si>
  <si>
    <t>TXN00195</t>
  </si>
  <si>
    <t>TXN00196</t>
  </si>
  <si>
    <t>TXN00197</t>
  </si>
  <si>
    <t>TXN00198</t>
  </si>
  <si>
    <t>TXN00199</t>
  </si>
  <si>
    <t>TXN00200</t>
  </si>
  <si>
    <t>TXN00201</t>
  </si>
  <si>
    <t>TXN00202</t>
  </si>
  <si>
    <t>TXN00203</t>
  </si>
  <si>
    <t>TXN00204</t>
  </si>
  <si>
    <t>TXN00205</t>
  </si>
  <si>
    <t>TXN00206</t>
  </si>
  <si>
    <t>TXN00207</t>
  </si>
  <si>
    <t>TXN00208</t>
  </si>
  <si>
    <t>TXN00209</t>
  </si>
  <si>
    <t>TXN00210</t>
  </si>
  <si>
    <t>TXN00211</t>
  </si>
  <si>
    <t>TXN00212</t>
  </si>
  <si>
    <t>TXN00213</t>
  </si>
  <si>
    <t>TXN00214</t>
  </si>
  <si>
    <t>TXN00215</t>
  </si>
  <si>
    <t>TXN00216</t>
  </si>
  <si>
    <t>TXN00217</t>
  </si>
  <si>
    <t>TXN00218</t>
  </si>
  <si>
    <t>TXN00219</t>
  </si>
  <si>
    <t>TXN00220</t>
  </si>
  <si>
    <t>TXN00221</t>
  </si>
  <si>
    <t>TXN00222</t>
  </si>
  <si>
    <t>TXN00223</t>
  </si>
  <si>
    <t>TXN00224</t>
  </si>
  <si>
    <t>TXN00225</t>
  </si>
  <si>
    <t>TXN00226</t>
  </si>
  <si>
    <t>TXN00227</t>
  </si>
  <si>
    <t>TXN00228</t>
  </si>
  <si>
    <t>TXN00229</t>
  </si>
  <si>
    <t>TXN00230</t>
  </si>
  <si>
    <t>TXN00231</t>
  </si>
  <si>
    <t>TXN00232</t>
  </si>
  <si>
    <t>TXN00233</t>
  </si>
  <si>
    <t>TXN00234</t>
  </si>
  <si>
    <t>TXN00235</t>
  </si>
  <si>
    <t>TXN00236</t>
  </si>
  <si>
    <t>TXN00237</t>
  </si>
  <si>
    <t>TXN00238</t>
  </si>
  <si>
    <t>TXN00239</t>
  </si>
  <si>
    <t>TXN00240</t>
  </si>
  <si>
    <t>TXN00241</t>
  </si>
  <si>
    <t>TXN00242</t>
  </si>
  <si>
    <t>TXN00243</t>
  </si>
  <si>
    <t>TXN00244</t>
  </si>
  <si>
    <t>TXN00245</t>
  </si>
  <si>
    <t>TXN00246</t>
  </si>
  <si>
    <t>TXN00247</t>
  </si>
  <si>
    <t>TXN00248</t>
  </si>
  <si>
    <t>TXN00249</t>
  </si>
  <si>
    <t>TXN00250</t>
  </si>
  <si>
    <t>TXN00251</t>
  </si>
  <si>
    <t>TXN00252</t>
  </si>
  <si>
    <t>TXN00253</t>
  </si>
  <si>
    <t>TXN00254</t>
  </si>
  <si>
    <t>TXN00255</t>
  </si>
  <si>
    <t>TXN00256</t>
  </si>
  <si>
    <t>TXN00257</t>
  </si>
  <si>
    <t>TXN00258</t>
  </si>
  <si>
    <t>TXN00259</t>
  </si>
  <si>
    <t>TXN00260</t>
  </si>
  <si>
    <t>TXN00261</t>
  </si>
  <si>
    <t>TXN00262</t>
  </si>
  <si>
    <t>TXN00263</t>
  </si>
  <si>
    <t>TXN00264</t>
  </si>
  <si>
    <t>TXN00265</t>
  </si>
  <si>
    <t>TXN00266</t>
  </si>
  <si>
    <t>TXN00267</t>
  </si>
  <si>
    <t>TXN00268</t>
  </si>
  <si>
    <t>TXN00269</t>
  </si>
  <si>
    <t>TXN00270</t>
  </si>
  <si>
    <t>TXN00271</t>
  </si>
  <si>
    <t>TXN00272</t>
  </si>
  <si>
    <t>TXN00273</t>
  </si>
  <si>
    <t>TXN00274</t>
  </si>
  <si>
    <t>TXN00275</t>
  </si>
  <si>
    <t>TXN00276</t>
  </si>
  <si>
    <t>TXN00277</t>
  </si>
  <si>
    <t>TXN00278</t>
  </si>
  <si>
    <t>TXN00279</t>
  </si>
  <si>
    <t>TXN00280</t>
  </si>
  <si>
    <t>TXN00281</t>
  </si>
  <si>
    <t>TXN00282</t>
  </si>
  <si>
    <t>TXN00283</t>
  </si>
  <si>
    <t>TXN00284</t>
  </si>
  <si>
    <t>TXN00285</t>
  </si>
  <si>
    <t>TXN00286</t>
  </si>
  <si>
    <t>TXN00287</t>
  </si>
  <si>
    <t>TXN00288</t>
  </si>
  <si>
    <t>TXN00289</t>
  </si>
  <si>
    <t>TXN00290</t>
  </si>
  <si>
    <t>TXN00291</t>
  </si>
  <si>
    <t>TXN00292</t>
  </si>
  <si>
    <t>TXN00293</t>
  </si>
  <si>
    <t>TXN00294</t>
  </si>
  <si>
    <t>TXN00295</t>
  </si>
  <si>
    <t>TXN00296</t>
  </si>
  <si>
    <t>TXN00297</t>
  </si>
  <si>
    <t>TXN00298</t>
  </si>
  <si>
    <t>TXN00299</t>
  </si>
  <si>
    <t>TXN00300</t>
  </si>
  <si>
    <t>TXN00301</t>
  </si>
  <si>
    <t>TXN00302</t>
  </si>
  <si>
    <t>TXN00303</t>
  </si>
  <si>
    <t>TXN00304</t>
  </si>
  <si>
    <t>TXN00305</t>
  </si>
  <si>
    <t>TXN00306</t>
  </si>
  <si>
    <t>TXN00307</t>
  </si>
  <si>
    <t>TXN00308</t>
  </si>
  <si>
    <t>TXN00309</t>
  </si>
  <si>
    <t>TXN00310</t>
  </si>
  <si>
    <t>TXN00311</t>
  </si>
  <si>
    <t>TXN00312</t>
  </si>
  <si>
    <t>TXN00313</t>
  </si>
  <si>
    <t>TXN00314</t>
  </si>
  <si>
    <t>TXN00315</t>
  </si>
  <si>
    <t>TXN00316</t>
  </si>
  <si>
    <t>TXN00317</t>
  </si>
  <si>
    <t>TXN00318</t>
  </si>
  <si>
    <t>TXN00319</t>
  </si>
  <si>
    <t>TXN00320</t>
  </si>
  <si>
    <t>TXN00321</t>
  </si>
  <si>
    <t>TXN00322</t>
  </si>
  <si>
    <t>TXN00323</t>
  </si>
  <si>
    <t>TXN00324</t>
  </si>
  <si>
    <t>TXN00325</t>
  </si>
  <si>
    <t>TXN00326</t>
  </si>
  <si>
    <t>TXN00327</t>
  </si>
  <si>
    <t>TXN00328</t>
  </si>
  <si>
    <t>TXN00329</t>
  </si>
  <si>
    <t>TXN00330</t>
  </si>
  <si>
    <t>TXN00331</t>
  </si>
  <si>
    <t>TXN00332</t>
  </si>
  <si>
    <t>TXN00333</t>
  </si>
  <si>
    <t>TXN00334</t>
  </si>
  <si>
    <t>TXN00335</t>
  </si>
  <si>
    <t>TXN00336</t>
  </si>
  <si>
    <t>TXN00337</t>
  </si>
  <si>
    <t>TXN00338</t>
  </si>
  <si>
    <t>TXN00339</t>
  </si>
  <si>
    <t>TXN00340</t>
  </si>
  <si>
    <t>TXN00341</t>
  </si>
  <si>
    <t>TXN00342</t>
  </si>
  <si>
    <t>TXN00343</t>
  </si>
  <si>
    <t>TXN00344</t>
  </si>
  <si>
    <t>TXN00345</t>
  </si>
  <si>
    <t>TXN00346</t>
  </si>
  <si>
    <t>TXN00347</t>
  </si>
  <si>
    <t>TXN00348</t>
  </si>
  <si>
    <t>TXN00349</t>
  </si>
  <si>
    <t>TXN00350</t>
  </si>
  <si>
    <t>TXN00351</t>
  </si>
  <si>
    <t>TXN00352</t>
  </si>
  <si>
    <t>TXN00353</t>
  </si>
  <si>
    <t>TXN00354</t>
  </si>
  <si>
    <t>TXN00355</t>
  </si>
  <si>
    <t>TXN00356</t>
  </si>
  <si>
    <t>TXN00357</t>
  </si>
  <si>
    <t>TXN00358</t>
  </si>
  <si>
    <t>TXN00359</t>
  </si>
  <si>
    <t>TXN00360</t>
  </si>
  <si>
    <t>TXN00361</t>
  </si>
  <si>
    <t>TXN00362</t>
  </si>
  <si>
    <t>TXN00363</t>
  </si>
  <si>
    <t>TXN00364</t>
  </si>
  <si>
    <t>TXN00365</t>
  </si>
  <si>
    <t>TXN00366</t>
  </si>
  <si>
    <t>TXN00367</t>
  </si>
  <si>
    <t>TXN00368</t>
  </si>
  <si>
    <t>TXN00369</t>
  </si>
  <si>
    <t>TXN00370</t>
  </si>
  <si>
    <t>TXN00371</t>
  </si>
  <si>
    <t>TXN00372</t>
  </si>
  <si>
    <t>TXN00373</t>
  </si>
  <si>
    <t>TXN00374</t>
  </si>
  <si>
    <t>TXN00375</t>
  </si>
  <si>
    <t>TXN00376</t>
  </si>
  <si>
    <t>TXN00377</t>
  </si>
  <si>
    <t>TXN00378</t>
  </si>
  <si>
    <t>TXN00379</t>
  </si>
  <si>
    <t>TXN00380</t>
  </si>
  <si>
    <t>TXN00381</t>
  </si>
  <si>
    <t>TXN00382</t>
  </si>
  <si>
    <t>TXN00383</t>
  </si>
  <si>
    <t>TXN00384</t>
  </si>
  <si>
    <t>TXN00385</t>
  </si>
  <si>
    <t>TXN00386</t>
  </si>
  <si>
    <t>TXN00387</t>
  </si>
  <si>
    <t>TXN00388</t>
  </si>
  <si>
    <t>TXN00389</t>
  </si>
  <si>
    <t>TXN00390</t>
  </si>
  <si>
    <t>TXN00391</t>
  </si>
  <si>
    <t>TXN00392</t>
  </si>
  <si>
    <t>TXN00393</t>
  </si>
  <si>
    <t>TXN00394</t>
  </si>
  <si>
    <t>TXN00395</t>
  </si>
  <si>
    <t>TXN00396</t>
  </si>
  <si>
    <t>TXN00397</t>
  </si>
  <si>
    <t>TXN00398</t>
  </si>
  <si>
    <t>TXN00399</t>
  </si>
  <si>
    <t>TXN00400</t>
  </si>
  <si>
    <t>TXN00401</t>
  </si>
  <si>
    <t>TXN00402</t>
  </si>
  <si>
    <t>TXN00403</t>
  </si>
  <si>
    <t>TXN00404</t>
  </si>
  <si>
    <t>TXN00405</t>
  </si>
  <si>
    <t>TXN00406</t>
  </si>
  <si>
    <t>TXN00407</t>
  </si>
  <si>
    <t>TXN00408</t>
  </si>
  <si>
    <t>TXN00409</t>
  </si>
  <si>
    <t>TXN00410</t>
  </si>
  <si>
    <t>TXN00411</t>
  </si>
  <si>
    <t>TXN00412</t>
  </si>
  <si>
    <t>TXN00413</t>
  </si>
  <si>
    <t>TXN00414</t>
  </si>
  <si>
    <t>TXN00415</t>
  </si>
  <si>
    <t>TXN00416</t>
  </si>
  <si>
    <t>TXN00417</t>
  </si>
  <si>
    <t>TXN00418</t>
  </si>
  <si>
    <t>TXN00419</t>
  </si>
  <si>
    <t>TXN00420</t>
  </si>
  <si>
    <t>TXN00421</t>
  </si>
  <si>
    <t>TXN00422</t>
  </si>
  <si>
    <t>TXN00423</t>
  </si>
  <si>
    <t>TXN00424</t>
  </si>
  <si>
    <t>TXN00425</t>
  </si>
  <si>
    <t>TXN00426</t>
  </si>
  <si>
    <t>TXN00427</t>
  </si>
  <si>
    <t>TXN00428</t>
  </si>
  <si>
    <t>TXN00429</t>
  </si>
  <si>
    <t>TXN00430</t>
  </si>
  <si>
    <t>TXN00431</t>
  </si>
  <si>
    <t>TXN00432</t>
  </si>
  <si>
    <t>TXN00433</t>
  </si>
  <si>
    <t>TXN00434</t>
  </si>
  <si>
    <t>TXN00435</t>
  </si>
  <si>
    <t>TXN00436</t>
  </si>
  <si>
    <t>TXN00437</t>
  </si>
  <si>
    <t>TXN00438</t>
  </si>
  <si>
    <t>TXN00439</t>
  </si>
  <si>
    <t>TXN00440</t>
  </si>
  <si>
    <t>TXN00441</t>
  </si>
  <si>
    <t>TXN00442</t>
  </si>
  <si>
    <t>TXN00443</t>
  </si>
  <si>
    <t>TXN00444</t>
  </si>
  <si>
    <t>TXN00445</t>
  </si>
  <si>
    <t>TXN00446</t>
  </si>
  <si>
    <t>TXN00447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</si>
  <si>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</si>
  <si>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</si>
  <si>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</si>
  <si>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</si>
  <si>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</si>
  <si>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</si>
  <si>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</si>
  <si>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</si>
  <si>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</si>
  <si>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</si>
  <si>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TXN00458</t>
  </si>
  <si>
    <t>TXN00459</t>
  </si>
  <si>
    <t>TXN00460</t>
  </si>
  <si>
    <t>TXN00461</t>
  </si>
  <si>
    <t>TXN00462</t>
  </si>
  <si>
    <t>TXN00463</t>
  </si>
  <si>
    <t>TXN00464</t>
  </si>
  <si>
    <t>TXN00465</t>
  </si>
  <si>
    <t>TXN00466</t>
  </si>
  <si>
    <t>TXN00467</t>
  </si>
  <si>
    <t>TXN00468</t>
  </si>
  <si>
    <t>TXN00469</t>
  </si>
  <si>
    <t>TXN00470</t>
  </si>
  <si>
    <t>TXN00471</t>
  </si>
  <si>
    <t>TXN00472</t>
  </si>
  <si>
    <t>TXN00473</t>
  </si>
  <si>
    <t>TXN00474</t>
  </si>
  <si>
    <t>TXN00475</t>
  </si>
  <si>
    <t>TXN00476</t>
  </si>
  <si>
    <t>TXN00477</t>
  </si>
  <si>
    <t>TXN00478</t>
  </si>
  <si>
    <t>TXN00479</t>
  </si>
  <si>
    <t>TXN00480</t>
  </si>
  <si>
    <t>TXN00481</t>
  </si>
  <si>
    <t>TXN00482</t>
  </si>
  <si>
    <t>TXN00483</t>
  </si>
  <si>
    <t>TXN00484</t>
  </si>
  <si>
    <t>TXN00485</t>
  </si>
  <si>
    <t>TXN00486</t>
  </si>
  <si>
    <t>TXN00487</t>
  </si>
  <si>
    <t>TXN00488</t>
  </si>
  <si>
    <t>TXN00489</t>
  </si>
  <si>
    <t>TXN00490</t>
  </si>
  <si>
    <t>TXN00491</t>
  </si>
  <si>
    <t>TXN00492</t>
  </si>
  <si>
    <t>TXN00493</t>
  </si>
  <si>
    <t>TXN00494</t>
  </si>
  <si>
    <t>TXN00495</t>
  </si>
  <si>
    <t>TXN00496</t>
  </si>
  <si>
    <t>TXN00497</t>
  </si>
  <si>
    <t>TXN00498</t>
  </si>
  <si>
    <t>TXN00499</t>
  </si>
  <si>
    <t>TXN00500</t>
  </si>
  <si>
    <t>TXN00501</t>
  </si>
  <si>
    <t>TXN00502</t>
  </si>
  <si>
    <t>TXN00503</t>
  </si>
  <si>
    <t>TXN00504</t>
  </si>
  <si>
    <t>TXN00505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</si>
  <si>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</si>
  <si>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</si>
  <si>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</si>
  <si>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</si>
  <si>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</si>
  <si>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</si>
  <si>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</si>
  <si>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</si>
  <si>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TXN00514</t>
  </si>
  <si>
    <t>TXN00515</t>
  </si>
  <si>
    <t>TXN00516</t>
  </si>
  <si>
    <t>TXN00517</t>
  </si>
  <si>
    <t>TXN00518</t>
  </si>
  <si>
    <t>TXN00519</t>
  </si>
  <si>
    <t>TXN00520</t>
  </si>
  <si>
    <t>TXN00521</t>
  </si>
  <si>
    <t>TXN00522</t>
  </si>
  <si>
    <t>TXN00523</t>
  </si>
  <si>
    <t>TXN00524</t>
  </si>
  <si>
    <t>TXN00525</t>
  </si>
  <si>
    <t>TXN00526</t>
  </si>
  <si>
    <t>TXN00527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</si>
  <si>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</si>
  <si>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</si>
  <si>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</si>
  <si>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</si>
  <si>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</si>
  <si>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</si>
  <si>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</si>
  <si>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</si>
  <si>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</si>
  <si>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</si>
  <si>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</si>
  <si>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</si>
  <si>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</si>
  <si>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</si>
  <si>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</si>
  <si>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</si>
  <si>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</si>
  <si>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</si>
  <si>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</si>
  <si>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TXN00547</t>
  </si>
  <si>
    <t>TXN00548</t>
  </si>
  <si>
    <t>TXN00549</t>
  </si>
  <si>
    <t>TXN00550</t>
  </si>
  <si>
    <t>TXN00551</t>
  </si>
  <si>
    <t>TXN00552</t>
  </si>
  <si>
    <t>TXN00553</t>
  </si>
  <si>
    <t>TXN00554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</si>
  <si>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</si>
  <si>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</si>
  <si>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</si>
  <si>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</si>
  <si>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</si>
  <si>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</si>
  <si>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</si>
  <si>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</si>
  <si>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TXN00563</t>
  </si>
  <si>
    <t>TXN00564</t>
  </si>
  <si>
    <t>TXN00565</t>
  </si>
  <si>
    <t>TXN00566</t>
  </si>
  <si>
    <t>TXN00567</t>
  </si>
  <si>
    <t>TXN00568</t>
  </si>
  <si>
    <t>TXN00569</t>
  </si>
  <si>
    <t>TXN00570</t>
  </si>
  <si>
    <t>TXN00571</t>
  </si>
  <si>
    <t>TXN00572</t>
  </si>
  <si>
    <t>TXN00573</t>
  </si>
  <si>
    <t>TXN00574</t>
  </si>
  <si>
    <t>TXN00575</t>
  </si>
  <si>
    <t>TXN00576</t>
  </si>
  <si>
    <t>TXN00577</t>
  </si>
  <si>
    <t>TXN00578</t>
  </si>
  <si>
    <t>TXN00579</t>
  </si>
  <si>
    <t>TXN00580</t>
  </si>
  <si>
    <t>TXN00581</t>
  </si>
  <si>
    <t>TXN00582</t>
  </si>
  <si>
    <t>TXN00583</t>
  </si>
  <si>
    <t>TXN00584</t>
  </si>
  <si>
    <t>TXN00585</t>
  </si>
  <si>
    <t>TXN00586</t>
  </si>
  <si>
    <t>TXN00587</t>
  </si>
  <si>
    <t>TXN00588</t>
  </si>
  <si>
    <t>TXN00589</t>
  </si>
  <si>
    <t>TXN00590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</si>
  <si>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</si>
  <si>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</si>
  <si>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</si>
  <si>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</si>
  <si>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</si>
  <si>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</si>
  <si>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</si>
  <si>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</si>
  <si>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TXN00599</t>
  </si>
  <si>
    <t>TXN00600</t>
  </si>
  <si>
    <t>TXN00601</t>
  </si>
  <si>
    <t>TXN00602</t>
  </si>
  <si>
    <t>TXN00603</t>
  </si>
  <si>
    <t>TXN00604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</si>
  <si>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</si>
  <si>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</si>
  <si>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</si>
  <si>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</si>
  <si>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</si>
  <si>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</si>
  <si>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</si>
  <si>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</si>
  <si>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TXN00613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</si>
  <si>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</si>
  <si>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</si>
  <si>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</si>
  <si>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</si>
  <si>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</si>
  <si>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</si>
  <si>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</si>
  <si>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</si>
  <si>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</si>
  <si>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TXN00623</t>
  </si>
  <si>
    <t>TXN00624</t>
  </si>
  <si>
    <t>TXN00625</t>
  </si>
  <si>
    <t>TXN00626</t>
  </si>
  <si>
    <t>TXN00627</t>
  </si>
  <si>
    <t>TXN00628</t>
  </si>
  <si>
    <t>TXN00629</t>
  </si>
  <si>
    <t>TXN00630</t>
  </si>
  <si>
    <t>TXN00631</t>
  </si>
  <si>
    <t>TXN00632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</si>
  <si>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</si>
  <si>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</si>
  <si>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</si>
  <si>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</si>
  <si>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</si>
  <si>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</si>
  <si>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</si>
  <si>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</si>
  <si>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</si>
  <si>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</si>
  <si>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</si>
  <si>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</si>
  <si>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</si>
  <si>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</si>
  <si>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</si>
  <si>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</si>
  <si>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TXN00649</t>
  </si>
  <si>
    <t>TXN00650</t>
  </si>
  <si>
    <t>TXN00651</t>
  </si>
  <si>
    <t>TXN00652</t>
  </si>
  <si>
    <t>TXN00653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</si>
  <si>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</si>
  <si>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</si>
  <si>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</si>
  <si>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</si>
  <si>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</si>
  <si>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</si>
  <si>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</si>
  <si>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</si>
  <si>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</si>
  <si>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</si>
  <si>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</si>
  <si>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</si>
  <si>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</si>
  <si>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</si>
  <si>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</si>
  <si>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</si>
  <si>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</si>
  <si>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</si>
  <si>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</si>
  <si>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TXN00673</t>
  </si>
  <si>
    <t>TXN00674</t>
  </si>
  <si>
    <t>TXN00675</t>
  </si>
  <si>
    <t>TXN00676</t>
  </si>
  <si>
    <t>TXN00677</t>
  </si>
  <si>
    <t>TXN00678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</si>
  <si>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</si>
  <si>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</si>
  <si>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</si>
  <si>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</si>
  <si>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</si>
  <si>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</si>
  <si>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</si>
  <si>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</si>
  <si>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TXN00687</t>
  </si>
  <si>
    <t>TXN00688</t>
  </si>
  <si>
    <t>TXN00689</t>
  </si>
  <si>
    <t>TXN00690</t>
  </si>
  <si>
    <t>TXN00691</t>
  </si>
  <si>
    <t>TXN00692</t>
  </si>
  <si>
    <t>TXN00693</t>
  </si>
  <si>
    <t>TXN00694</t>
  </si>
  <si>
    <t>TXN00695</t>
  </si>
  <si>
    <t>TXN00696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</si>
  <si>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</si>
  <si>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</si>
  <si>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</si>
  <si>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</si>
  <si>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</si>
  <si>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</si>
  <si>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</si>
  <si>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</si>
  <si>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</si>
  <si>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</si>
  <si>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</si>
  <si>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</si>
  <si>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</si>
  <si>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</si>
  <si>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TXN00711</t>
  </si>
  <si>
    <t>TXN00712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</si>
  <si>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</si>
  <si>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</si>
  <si>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</si>
  <si>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</si>
  <si>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</si>
  <si>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</si>
  <si>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</si>
  <si>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</si>
  <si>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</si>
  <si>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</si>
  <si>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</si>
  <si>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</si>
  <si>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</si>
  <si>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</si>
  <si>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</si>
  <si>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</si>
  <si>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</si>
  <si>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</si>
  <si>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</si>
  <si>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</si>
  <si>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</si>
  <si>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</si>
  <si>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</si>
  <si>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</si>
  <si>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</si>
  <si>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</si>
  <si>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</si>
  <si>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</si>
  <si>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</si>
  <si>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</si>
  <si>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</si>
  <si>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</si>
  <si>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</si>
  <si>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</si>
  <si>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</si>
  <si>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</si>
  <si>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</si>
  <si>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</si>
  <si>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</si>
  <si>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</si>
  <si>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</si>
  <si>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</si>
  <si>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</si>
  <si>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</si>
  <si>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</si>
  <si>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</si>
  <si>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</si>
  <si>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</si>
  <si>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</si>
  <si>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</si>
  <si>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</si>
  <si>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</si>
  <si>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</si>
  <si>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</si>
  <si>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</si>
  <si>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</si>
  <si>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</si>
  <si>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</si>
  <si>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</si>
  <si>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</si>
  <si>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</si>
  <si>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</si>
  <si>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</si>
  <si>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</si>
  <si>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</si>
  <si>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</si>
  <si>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</si>
  <si>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</si>
  <si>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</si>
  <si>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</si>
  <si>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</si>
  <si>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</si>
  <si>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</si>
  <si>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</si>
  <si>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</si>
  <si>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</si>
  <si>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</si>
  <si>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</si>
  <si>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</si>
  <si>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</si>
  <si>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</si>
  <si>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</si>
  <si>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</si>
  <si>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</si>
  <si>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</si>
  <si>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</si>
  <si>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</si>
  <si>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</si>
  <si>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</si>
  <si>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</si>
  <si>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</si>
  <si>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</si>
  <si>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</si>
  <si>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</si>
  <si>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</si>
  <si>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</si>
  <si>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TXN00809</t>
  </si>
  <si>
    <t>TXN00810</t>
  </si>
  <si>
    <t>TXN00811</t>
  </si>
  <si>
    <t>TXN00812</t>
  </si>
  <si>
    <t>TXN00813</t>
  </si>
  <si>
    <t>TXN00814</t>
  </si>
  <si>
    <t>TXN00815</t>
  </si>
  <si>
    <t>TXN00816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</si>
  <si>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</si>
  <si>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</si>
  <si>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</si>
  <si>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</si>
  <si>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</si>
  <si>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</si>
  <si>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</si>
  <si>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</si>
  <si>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</si>
  <si>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</si>
  <si>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</si>
  <si>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</si>
  <si>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</si>
  <si>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</si>
  <si>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</si>
  <si>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</si>
  <si>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</si>
  <si>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</si>
  <si>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</si>
  <si>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</si>
  <si>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</si>
  <si>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</si>
  <si>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</si>
  <si>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</si>
  <si>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</si>
  <si>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</si>
  <si>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</si>
  <si>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</si>
  <si>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</si>
  <si>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</si>
  <si>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</si>
  <si>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</si>
  <si>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</si>
  <si>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</si>
  <si>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</si>
  <si>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</si>
  <si>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</si>
  <si>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</si>
  <si>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</si>
  <si>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</si>
  <si>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</si>
  <si>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TXN00858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</si>
  <si>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</si>
  <si>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</si>
  <si>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</si>
  <si>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</si>
  <si>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</si>
  <si>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</si>
  <si>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</si>
  <si>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</si>
  <si>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</si>
  <si>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</si>
  <si>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</si>
  <si>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</si>
  <si>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</si>
  <si>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</si>
  <si>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</si>
  <si>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</si>
  <si>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</si>
  <si>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</si>
  <si>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</si>
  <si>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</si>
  <si>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</si>
  <si>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</si>
  <si>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</si>
  <si>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</si>
  <si>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</si>
  <si>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</si>
  <si>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</si>
  <si>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</si>
  <si>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</si>
  <si>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</si>
  <si>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</si>
  <si>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</si>
  <si>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</si>
  <si>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</si>
  <si>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</si>
  <si>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</si>
  <si>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</si>
  <si>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</si>
  <si>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</si>
  <si>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</si>
  <si>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</si>
  <si>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</si>
  <si>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</si>
  <si>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</si>
  <si>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</si>
  <si>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</si>
  <si>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</si>
  <si>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</si>
  <si>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</si>
  <si>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</si>
  <si>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</si>
  <si>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</si>
  <si>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</si>
  <si>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</si>
  <si>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</si>
  <si>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</si>
  <si>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</si>
  <si>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</si>
  <si>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</si>
  <si>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</si>
  <si>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</si>
  <si>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</si>
  <si>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</si>
  <si>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</si>
  <si>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</si>
  <si>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</si>
  <si>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</si>
  <si>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</si>
  <si>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</si>
  <si>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</si>
  <si>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</si>
  <si>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</si>
  <si>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</si>
  <si>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</si>
  <si>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</si>
  <si>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</si>
  <si>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</si>
  <si>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</si>
  <si>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</si>
  <si>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</si>
  <si>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</si>
  <si>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</si>
  <si>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</si>
  <si>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</si>
  <si>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</si>
  <si>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</si>
  <si>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</si>
  <si>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</si>
  <si>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</si>
  <si>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</si>
  <si>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</si>
  <si>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</si>
  <si>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</si>
  <si>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</si>
  <si>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</si>
  <si>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</si>
  <si>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</si>
  <si>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</si>
  <si>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</si>
  <si>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</si>
  <si>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</si>
  <si>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</si>
  <si>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</si>
  <si>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</si>
  <si>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</si>
  <si>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</si>
  <si>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</si>
  <si>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</si>
  <si>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</si>
  <si>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</si>
  <si>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</si>
  <si>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</si>
  <si>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</si>
  <si>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</si>
  <si>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</si>
  <si>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</si>
  <si>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</si>
  <si>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</si>
  <si>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</si>
  <si>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</si>
  <si>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</si>
  <si>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</si>
  <si>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</si>
  <si>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</si>
  <si>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</si>
  <si>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</si>
  <si>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</si>
  <si>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</si>
  <si>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</si>
  <si>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</si>
  <si>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</si>
  <si>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</si>
  <si>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</si>
  <si>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</si>
  <si>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</si>
  <si>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</si>
  <si>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</si>
  <si>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</si>
  <si>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</si>
  <si>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</si>
  <si>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</si>
  <si>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</si>
  <si>
    <t>Credit Card</t>
  </si>
  <si>
    <t>Wallet</t>
  </si>
  <si>
    <t>UPI</t>
  </si>
  <si>
    <t>Debit Card</t>
  </si>
  <si>
    <t>Net Banking</t>
  </si>
  <si>
    <t>PNB</t>
  </si>
  <si>
    <t>Kotak</t>
  </si>
  <si>
    <t>Axis</t>
  </si>
  <si>
    <t>Yes Bank</t>
  </si>
  <si>
    <t>HDFC</t>
  </si>
  <si>
    <t>ICICI</t>
  </si>
  <si>
    <t>SBI</t>
  </si>
  <si>
    <t>Success</t>
  </si>
  <si>
    <t>Failed</t>
  </si>
  <si>
    <t>Insufficient Funds</t>
  </si>
  <si>
    <t>Bank Server Timeout</t>
  </si>
  <si>
    <t>Exceeded Daily Limit</t>
  </si>
  <si>
    <t>Network Error</t>
  </si>
  <si>
    <t>Incorrect PIN</t>
  </si>
  <si>
    <t>User Cancelled</t>
  </si>
  <si>
    <t>Total Transaction</t>
  </si>
  <si>
    <t>Failed Transactions</t>
  </si>
  <si>
    <t>Failure Rate</t>
  </si>
  <si>
    <t>Grand Total</t>
  </si>
  <si>
    <t>Number of Failures</t>
  </si>
  <si>
    <t xml:space="preserve">Failure Reason </t>
  </si>
  <si>
    <t>Count Of Failure Reason</t>
  </si>
  <si>
    <t>Gand Total</t>
  </si>
  <si>
    <t>Cumulative Percentage %</t>
  </si>
  <si>
    <t>% of Total</t>
  </si>
  <si>
    <t xml:space="preserve"> Cumulative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</si>
</sst>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Pareto Analysis – Digital Payment Failures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Number of Failures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Sheet3!$A$2:$A$7</c:f>
              <c:strCache>
                <c:ptCount val="6"/>
                <c:pt idx="0">
                  <c:v>User Cancelled</c:v>
                </c:pt>
                <c:pt idx="1">
                  <c:v>Insufficient Funds</c:v>
                </c:pt>
                <c:pt idx="2">
                  <c:v>Bank Server Timeout</c:v>
                </c:pt>
                <c:pt idx="3">
                  <c:v>Exceeded Daily Limit</c:v>
                </c:pt>
                <c:pt idx="4">
                  <c:v>Incorrect PIN</c:v>
                </c:pt>
                <c:pt idx="5">
                  <c:v>Network Error</c:v>
                </c:pt>
              </c:strCache>
            </c:strRef>
          </c:cat>
          <c:val>
            <c:numRef>
              <c:f>Sheet3!$B$2:$B$7</c:f>
              <c:numCache>
                <c:formatCode>General</c:formatCode>
                <c:ptCount val="6"/>
                <c:pt idx="0">
                  <c:v>44</c:v>
                </c:pt>
                <c:pt idx="1">
                  <c:v>42</c:v>
                </c:pt>
                <c:pt idx="2">
                  <c:v>38</c:v>
                </c:pt>
                <c:pt idx="3">
                  <c:v>34</c:v>
                </c:pt>
                <c:pt idx="4">
                  <c:v>33</c:v>
                </c:pt>
                <c:pt idx="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AB-4D43-BE23-8FA841239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6204960"/>
        <c:axId val="19362040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Sheet3!$C$1</c15:sqref>
                        </c15:formulaRef>
                      </c:ext>
                    </c:extLst>
                    <c:strCache>
                      <c:ptCount val="1"/>
                      <c:pt idx="0">
                        <c:v>% of Total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Sheet3!$A$2:$A$7</c15:sqref>
                        </c15:formulaRef>
                      </c:ext>
                    </c:extLst>
                    <c:strCache>
                      <c:ptCount val="6"/>
                      <c:pt idx="0">
                        <c:v>User Cancelled</c:v>
                      </c:pt>
                      <c:pt idx="1">
                        <c:v>Insufficient Funds</c:v>
                      </c:pt>
                      <c:pt idx="2">
                        <c:v>Bank Server Timeout</c:v>
                      </c:pt>
                      <c:pt idx="3">
                        <c:v>Exceeded Daily Limit</c:v>
                      </c:pt>
                      <c:pt idx="4">
                        <c:v>Incorrect PIN</c:v>
                      </c:pt>
                      <c:pt idx="5">
                        <c:v>Network Error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Sheet3!$C$2:$C$7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0.1981981981981982</c:v>
                      </c:pt>
                      <c:pt idx="1">
                        <c:v>0.1891891891891892</c:v>
                      </c:pt>
                      <c:pt idx="2">
                        <c:v>0.17117117117117117</c:v>
                      </c:pt>
                      <c:pt idx="3">
                        <c:v>0.15315315315315314</c:v>
                      </c:pt>
                      <c:pt idx="4">
                        <c:v>0.14864864864864866</c:v>
                      </c:pt>
                      <c:pt idx="5">
                        <c:v>0.13963963963963963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7AB-4D43-BE23-8FA8412392C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Sheet3!$E$1</c:f>
              <c:strCache>
                <c:ptCount val="1"/>
                <c:pt idx="0">
                  <c:v>Cumulative Percentage 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Sheet3!$A$2:$A$7</c:f>
              <c:strCache>
                <c:ptCount val="6"/>
                <c:pt idx="0">
                  <c:v>User Cancelled</c:v>
                </c:pt>
                <c:pt idx="1">
                  <c:v>Insufficient Funds</c:v>
                </c:pt>
                <c:pt idx="2">
                  <c:v>Bank Server Timeout</c:v>
                </c:pt>
                <c:pt idx="3">
                  <c:v>Exceeded Daily Limit</c:v>
                </c:pt>
                <c:pt idx="4">
                  <c:v>Incorrect PIN</c:v>
                </c:pt>
                <c:pt idx="5">
                  <c:v>Network Error</c:v>
                </c:pt>
              </c:strCache>
            </c:strRef>
          </c:cat>
          <c:val>
            <c:numRef>
              <c:f>Sheet3!$E$2:$E$7</c:f>
              <c:numCache>
                <c:formatCode>General</c:formatCode>
                <c:ptCount val="6"/>
                <c:pt idx="0">
                  <c:v>19.81981981981982</c:v>
                </c:pt>
                <c:pt idx="1">
                  <c:v>38.738738738738739</c:v>
                </c:pt>
                <c:pt idx="2">
                  <c:v>55.85585585585585</c:v>
                </c:pt>
                <c:pt idx="3">
                  <c:v>71.171171171171167</c:v>
                </c:pt>
                <c:pt idx="4">
                  <c:v>86.036036036036037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AB-4D43-BE23-8FA841239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6204960"/>
        <c:axId val="193620400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Sheet3!$D$1</c15:sqref>
                        </c15:formulaRef>
                      </c:ext>
                    </c:extLst>
                    <c:strCache>
                      <c:ptCount val="1"/>
                      <c:pt idx="0">
                        <c:v> Cumulative Count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Sheet3!$A$2:$A$7</c15:sqref>
                        </c15:formulaRef>
                      </c:ext>
                    </c:extLst>
                    <c:strCache>
                      <c:ptCount val="6"/>
                      <c:pt idx="0">
                        <c:v>User Cancelled</c:v>
                      </c:pt>
                      <c:pt idx="1">
                        <c:v>Insufficient Funds</c:v>
                      </c:pt>
                      <c:pt idx="2">
                        <c:v>Bank Server Timeout</c:v>
                      </c:pt>
                      <c:pt idx="3">
                        <c:v>Exceeded Daily Limit</c:v>
                      </c:pt>
                      <c:pt idx="4">
                        <c:v>Incorrect PIN</c:v>
                      </c:pt>
                      <c:pt idx="5">
                        <c:v>Network Error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Sheet3!$D$2:$D$7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44</c:v>
                      </c:pt>
                      <c:pt idx="1">
                        <c:v>86</c:v>
                      </c:pt>
                      <c:pt idx="2">
                        <c:v>124</c:v>
                      </c:pt>
                      <c:pt idx="3">
                        <c:v>158</c:v>
                      </c:pt>
                      <c:pt idx="4">
                        <c:v>191</c:v>
                      </c:pt>
                      <c:pt idx="5">
                        <c:v>222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7AB-4D43-BE23-8FA8412392C4}"/>
                  </c:ext>
                </c:extLst>
              </c15:ser>
            </c15:filteredLineSeries>
          </c:ext>
        </c:extLst>
      </c:lineChart>
      <c:catAx>
        <c:axId val="193620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204000"/>
        <c:auto val="1"/>
        <c:lblAlgn val="ctr"/>
        <c:lblOffset val="100"/>
        <c:noMultiLvlLbl val="0"/>
      </c:catAx>
      <c:valAx>
        <c:axId val="193620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204960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1188720</xdr:colOff>
      <xdr:row>8</xdr:row>
      <xdr:rowOff>148590</xdr:rowOff>
    </xdr:from>
    <xdr:to>
      <xdr:col>9</xdr:col>
      <xdr:colOff>403860</xdr:colOff>
      <xdr:row>23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6F08EE-6CEC-DAE3-7FC3-EB646FDCF9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han Thakur" refreshedDate="45788.041374074077" createdVersion="8" refreshedVersion="8" minRefreshableVersion="3" recordCount="1001" xr:uid="{99937424-0893-4EA0-A6C1-AA2CAA31199F}">
  <cacheSource type="worksheet">
    <worksheetSource ref="A1:J1048576" sheet="Sheet1"/>
  </cacheSource>
  <cacheFields count="10">
    <cacheField name="Transaction ID" numFmtId="0">
      <sharedItems containsBlank="1" count="1001">
        <s v="TXN00001"/>
        <s v="TXN00002"/>
        <s v="TXN00003"/>
        <s v="TXN00004"/>
        <s v="TXN00005"/>
        <s v="TXN00006"/>
        <s v="TXN00007"/>
        <s v="TXN00008"/>
        <s v="TXN00009"/>
        <s v="TXN00010"/>
        <s v="TXN00011"/>
        <s v="TXN00012"/>
        <s v="TXN00013"/>
        <s v="TXN00014"/>
        <s v="TXN00015"/>
        <s v="TXN00016"/>
        <s v="TXN00017"/>
        <s v="TXN00018"/>
        <s v="TXN00019"/>
        <s v="TXN00020"/>
        <s v="TXN00021"/>
        <s v="TXN00022"/>
        <s v="TXN00023"/>
        <s v="TXN00024"/>
        <s v="TXN00025"/>
        <s v="TXN00026"/>
        <s v="TXN00027"/>
        <s v="TXN00028"/>
        <s v="TXN00029"/>
        <s v="TXN00030"/>
        <s v="TXN00031"/>
        <s v="TXN00032"/>
        <s v="TXN00033"/>
        <s v="TXN00034"/>
        <s v="TXN00035"/>
        <s v="TXN00036"/>
        <s v="TXN00037"/>
        <s v="TXN00038"/>
        <s v="TXN00039"/>
        <s v="TXN00040"/>
        <s v="TXN00041"/>
        <s v="TXN00042"/>
        <s v="TXN00043"/>
        <s v="TXN00044"/>
        <s v="TXN00045"/>
        <s v="TXN00046"/>
        <s v="TXN00047"/>
        <s v="TXN00048"/>
        <s v="TXN00049"/>
        <s v="TXN00050"/>
        <s v="TXN00051"/>
        <s v="TXN00052"/>
        <s v="TXN00053"/>
        <s v="TXN00054"/>
        <s v="TXN00055"/>
        <s v="TXN00056"/>
        <s v="TXN00057"/>
        <s v="TXN00058"/>
        <s v="TXN00059"/>
        <s v="TXN00060"/>
        <s v="TXN00061"/>
        <s v="TXN00062"/>
        <s v="TXN00063"/>
        <s v="TXN00064"/>
        <s v="TXN00065"/>
        <s v="TXN00066"/>
        <s v="TXN00067"/>
        <s v="TXN00068"/>
        <s v="TXN00069"/>
        <s v="TXN00070"/>
        <s v="TXN00071"/>
        <s v="TXN00072"/>
        <s v="TXN00073"/>
        <s v="TXN00074"/>
        <s v="TXN00075"/>
        <s v="TXN00076"/>
        <s v="TXN00077"/>
        <s v="TXN00078"/>
        <s v="TXN00079"/>
        <s v="TXN00080"/>
        <s v="TXN00081"/>
        <s v="TXN00082"/>
        <s v="TXN00083"/>
        <s v="TXN00084"/>
        <s v="TXN00085"/>
        <s v="TXN00086"/>
        <s v="TXN00087"/>
        <s v="TXN00088"/>
        <s v="TXN00089"/>
        <s v="TXN00090"/>
        <s v="TXN00091"/>
        <s v="TXN00092"/>
        <s v="TXN00093"/>
        <s v="TXN00094"/>
        <s v="TXN00095"/>
        <s v="TXN00096"/>
        <s v="TXN00097"/>
        <s v="TXN00098"/>
        <s v="TXN00099"/>
        <s v="TXN00100"/>
        <s v="TXN00101"/>
        <s v="TXN00102"/>
        <s v="TXN00103"/>
        <s v="TXN00104"/>
        <s v="TXN00105"/>
        <s v="TXN00106"/>
        <s v="TXN00107"/>
        <s v="TXN00108"/>
        <s v="TXN00109"/>
        <s v="TXN00110"/>
        <s v="TXN00111"/>
        <s v="TXN00112"/>
        <s v="TXN00113"/>
        <s v="TXN00114"/>
        <s v="TXN00115"/>
        <s v="TXN00116"/>
        <s v="TXN00117"/>
        <s v="TXN00118"/>
        <s v="TXN00119"/>
        <s v="TXN00120"/>
        <s v="TXN00121"/>
        <s v="TXN00122"/>
        <s v="TXN00123"/>
        <s v="TXN00124"/>
        <s v="TXN00125"/>
        <s v="TXN00126"/>
        <s v="TXN00127"/>
        <s v="TXN00128"/>
        <s v="TXN00129"/>
        <s v="TXN00130"/>
        <s v="TXN00131"/>
        <s v="TXN00132"/>
        <s v="TXN00133"/>
        <s v="TXN00134"/>
        <s v="TXN00135"/>
        <s v="TXN00136"/>
        <s v="TXN00137"/>
        <s v="TXN00138"/>
        <s v="TXN00139"/>
        <s v="TXN00140"/>
        <s v="TXN00141"/>
        <s v="TXN00142"/>
        <s v="TXN00143"/>
        <s v="TXN00144"/>
        <s v="TXN00145"/>
        <s v="TXN00146"/>
        <s v="TXN00147"/>
        <s v="TXN00148"/>
        <s v="TXN00149"/>
        <s v="TXN00150"/>
        <s v="TXN00151"/>
        <s v="TXN00152"/>
        <s v="TXN00153"/>
        <s v="TXN00154"/>
        <s v="TXN00155"/>
        <s v="TXN00156"/>
        <s v="TXN00157"/>
        <s v="TXN00158"/>
        <s v="TXN00159"/>
        <s v="TXN00160"/>
        <s v="TXN00161"/>
        <s v="TXN00162"/>
        <s v="TXN00163"/>
        <s v="TXN00164"/>
        <s v="TXN00165"/>
        <s v="TXN00166"/>
        <s v="TXN00167"/>
        <s v="TXN00168"/>
        <s v="TXN00169"/>
        <s v="TXN00170"/>
        <s v="TXN00171"/>
        <s v="TXN00172"/>
        <s v="TXN00173"/>
        <s v="TXN00174"/>
        <s v="TXN00175"/>
        <s v="TXN00176"/>
        <s v="TXN00177"/>
        <s v="TXN00178"/>
        <s v="TXN00179"/>
        <s v="TXN00180"/>
        <s v="TXN00181"/>
        <s v="TXN00182"/>
        <s v="TXN00183"/>
        <s v="TXN00184"/>
        <s v="TXN00185"/>
        <s v="TXN00186"/>
        <s v="TXN00187"/>
        <s v="TXN00188"/>
        <s v="TXN00189"/>
        <s v="TXN00190"/>
        <s v="TXN00191"/>
        <s v="TXN00192"/>
        <s v="TXN00193"/>
        <s v="TXN00194"/>
        <s v="TXN00195"/>
        <s v="TXN00196"/>
        <s v="TXN00197"/>
        <s v="TXN00198"/>
        <s v="TXN00199"/>
        <s v="TXN00200"/>
        <s v="TXN00201"/>
        <s v="TXN00202"/>
        <s v="TXN00203"/>
        <s v="TXN00204"/>
        <s v="TXN00205"/>
        <s v="TXN00206"/>
        <s v="TXN00207"/>
        <s v="TXN00208"/>
        <s v="TXN00209"/>
        <s v="TXN00210"/>
        <s v="TXN00211"/>
        <s v="TXN00212"/>
        <s v="TXN00213"/>
        <s v="TXN00214"/>
        <s v="TXN00215"/>
        <s v="TXN00216"/>
        <s v="TXN00217"/>
        <s v="TXN00218"/>
        <s v="TXN00219"/>
        <s v="TXN00220"/>
        <s v="TXN00221"/>
        <s v="TXN00222"/>
        <s v="TXN00223"/>
        <s v="TXN00224"/>
        <s v="TXN00225"/>
        <s v="TXN00226"/>
        <s v="TXN00227"/>
        <s v="TXN00228"/>
        <s v="TXN00229"/>
        <s v="TXN00230"/>
        <s v="TXN00231"/>
        <s v="TXN00232"/>
        <s v="TXN00233"/>
        <s v="TXN00234"/>
        <s v="TXN00235"/>
        <s v="TXN00236"/>
        <s v="TXN00237"/>
        <s v="TXN00238"/>
        <s v="TXN00239"/>
        <s v="TXN00240"/>
        <s v="TXN00241"/>
        <s v="TXN00242"/>
        <s v="TXN00243"/>
        <s v="TXN00244"/>
        <s v="TXN00245"/>
        <s v="TXN00246"/>
        <s v="TXN00247"/>
        <s v="TXN00248"/>
        <s v="TXN00249"/>
        <s v="TXN00250"/>
        <s v="TXN00251"/>
        <s v="TXN00252"/>
        <s v="TXN00253"/>
        <s v="TXN00254"/>
        <s v="TXN00255"/>
        <s v="TXN00256"/>
        <s v="TXN00257"/>
        <s v="TXN00258"/>
        <s v="TXN00259"/>
        <s v="TXN00260"/>
        <s v="TXN00261"/>
        <s v="TXN00262"/>
        <s v="TXN00263"/>
        <s v="TXN00264"/>
        <s v="TXN00265"/>
        <s v="TXN00266"/>
        <s v="TXN00267"/>
        <s v="TXN00268"/>
        <s v="TXN00269"/>
        <s v="TXN00270"/>
        <s v="TXN00271"/>
        <s v="TXN00272"/>
        <s v="TXN00273"/>
        <s v="TXN00274"/>
        <s v="TXN00275"/>
        <s v="TXN00276"/>
        <s v="TXN00277"/>
        <s v="TXN00278"/>
        <s v="TXN00279"/>
        <s v="TXN00280"/>
        <s v="TXN00281"/>
        <s v="TXN00282"/>
        <s v="TXN00283"/>
        <s v="TXN00284"/>
        <s v="TXN00285"/>
        <s v="TXN00286"/>
        <s v="TXN00287"/>
        <s v="TXN00288"/>
        <s v="TXN00289"/>
        <s v="TXN00290"/>
        <s v="TXN00291"/>
        <s v="TXN00292"/>
        <s v="TXN00293"/>
        <s v="TXN00294"/>
        <s v="TXN00295"/>
        <s v="TXN00296"/>
        <s v="TXN00297"/>
        <s v="TXN00298"/>
        <s v="TXN00299"/>
        <s v="TXN00300"/>
        <s v="TXN00301"/>
        <s v="TXN00302"/>
        <s v="TXN00303"/>
        <s v="TXN00304"/>
        <s v="TXN00305"/>
        <s v="TXN00306"/>
        <s v="TXN00307"/>
        <s v="TXN00308"/>
        <s v="TXN00309"/>
        <s v="TXN00310"/>
        <s v="TXN00311"/>
        <s v="TXN00312"/>
        <s v="TXN00313"/>
        <s v="TXN00314"/>
        <s v="TXN00315"/>
        <s v="TXN00316"/>
        <s v="TXN00317"/>
        <s v="TXN00318"/>
        <s v="TXN00319"/>
        <s v="TXN00320"/>
        <s v="TXN00321"/>
        <s v="TXN00322"/>
        <s v="TXN00323"/>
        <s v="TXN00324"/>
        <s v="TXN00325"/>
        <s v="TXN00326"/>
        <s v="TXN00327"/>
        <s v="TXN00328"/>
        <s v="TXN00329"/>
        <s v="TXN00330"/>
        <s v="TXN00331"/>
        <s v="TXN00332"/>
        <s v="TXN00333"/>
        <s v="TXN00334"/>
        <s v="TXN00335"/>
        <s v="TXN00336"/>
        <s v="TXN00337"/>
        <s v="TXN00338"/>
        <s v="TXN00339"/>
        <s v="TXN00340"/>
        <s v="TXN00341"/>
        <s v="TXN00342"/>
        <s v="TXN00343"/>
        <s v="TXN00344"/>
        <s v="TXN00345"/>
        <s v="TXN00346"/>
        <s v="TXN00347"/>
        <s v="TXN00348"/>
        <s v="TXN00349"/>
        <s v="TXN00350"/>
        <s v="TXN00351"/>
        <s v="TXN00352"/>
        <s v="TXN00353"/>
        <s v="TXN00354"/>
        <s v="TXN00355"/>
        <s v="TXN00356"/>
        <s v="TXN00357"/>
        <s v="TXN00358"/>
        <s v="TXN00359"/>
        <s v="TXN00360"/>
        <s v="TXN00361"/>
        <s v="TXN00362"/>
        <s v="TXN00363"/>
        <s v="TXN00364"/>
        <s v="TXN00365"/>
        <s v="TXN00366"/>
        <s v="TXN00367"/>
        <s v="TXN00368"/>
        <s v="TXN00369"/>
        <s v="TXN00370"/>
        <s v="TXN00371"/>
        <s v="TXN00372"/>
        <s v="TXN00373"/>
        <s v="TXN00374"/>
        <s v="TXN00375"/>
        <s v="TXN00376"/>
        <s v="TXN00377"/>
        <s v="TXN00378"/>
        <s v="TXN00379"/>
        <s v="TXN00380"/>
        <s v="TXN00381"/>
        <s v="TXN00382"/>
        <s v="TXN00383"/>
        <s v="TXN00384"/>
        <s v="TXN00385"/>
        <s v="TXN00386"/>
        <s v="TXN00387"/>
        <s v="TXN00388"/>
        <s v="TXN00389"/>
        <s v="TXN00390"/>
        <s v="TXN00391"/>
        <s v="TXN00392"/>
        <s v="TXN00393"/>
        <s v="TXN00394"/>
        <s v="TXN00395"/>
        <s v="TXN00396"/>
        <s v="TXN00397"/>
        <s v="TXN00398"/>
        <s v="TXN00399"/>
        <s v="TXN00400"/>
        <s v="TXN00401"/>
        <s v="TXN00402"/>
        <s v="TXN00403"/>
        <s v="TXN00404"/>
        <s v="TXN00405"/>
        <s v="TXN00406"/>
        <s v="TXN00407"/>
        <s v="TXN00408"/>
        <s v="TXN00409"/>
        <s v="TXN00410"/>
        <s v="TXN00411"/>
        <s v="TXN00412"/>
        <s v="TXN00413"/>
        <s v="TXN00414"/>
        <s v="TXN00415"/>
        <s v="TXN00416"/>
        <s v="TXN00417"/>
        <s v="TXN00418"/>
        <s v="TXN00419"/>
        <s v="TXN00420"/>
        <s v="TXN00421"/>
        <s v="TXN00422"/>
        <s v="TXN00423"/>
        <s v="TXN00424"/>
        <s v="TXN00425"/>
        <s v="TXN00426"/>
        <s v="TXN00427"/>
        <s v="TXN00428"/>
        <s v="TXN00429"/>
        <s v="TXN00430"/>
        <s v="TXN00431"/>
        <s v="TXN00432"/>
        <s v="TXN00433"/>
        <s v="TXN00434"/>
        <s v="TXN00435"/>
        <s v="TXN00436"/>
        <s v="TXN00437"/>
        <s v="TXN00438"/>
        <s v="TXN00439"/>
        <s v="TXN00440"/>
        <s v="TXN00441"/>
        <s v="TXN00442"/>
        <s v="TXN00443"/>
        <s v="TXN00444"/>
        <s v="TXN00445"/>
        <s v="TXN00446"/>
        <s v="TXN00447"/>
        <s v="TXN00448"/>
        <s v="TXN00449"/>
        <s v="TXN00450"/>
        <s v="TXN00451"/>
        <s v="TXN00452"/>
        <s v="TXN00453"/>
        <s v="TXN00454"/>
        <s v="TXN00455"/>
        <s v="TXN00456"/>
        <s v="TXN00457"/>
        <s v="TXN00458"/>
        <s v="TXN00459"/>
        <s v="TXN00460"/>
        <s v="TXN00461"/>
        <s v="TXN00462"/>
        <s v="TXN00463"/>
        <s v="TXN00464"/>
        <s v="TXN00465"/>
        <s v="TXN00466"/>
        <s v="TXN00467"/>
        <s v="TXN00468"/>
        <s v="TXN00469"/>
        <s v="TXN00470"/>
        <s v="TXN00471"/>
        <s v="TXN00472"/>
        <s v="TXN00473"/>
        <s v="TXN00474"/>
        <s v="TXN00475"/>
        <s v="TXN00476"/>
        <s v="TXN00477"/>
        <s v="TXN00478"/>
        <s v="TXN00479"/>
        <s v="TXN00480"/>
        <s v="TXN00481"/>
        <s v="TXN00482"/>
        <s v="TXN00483"/>
        <s v="TXN00484"/>
        <s v="TXN00485"/>
        <s v="TXN00486"/>
        <s v="TXN00487"/>
        <s v="TXN00488"/>
        <s v="TXN00489"/>
        <s v="TXN00490"/>
        <s v="TXN00491"/>
        <s v="TXN00492"/>
        <s v="TXN00493"/>
        <s v="TXN00494"/>
        <s v="TXN00495"/>
        <s v="TXN00496"/>
        <s v="TXN00497"/>
        <s v="TXN00498"/>
        <s v="TXN00499"/>
        <s v="TXN00500"/>
        <s v="TXN00501"/>
        <s v="TXN00502"/>
        <s v="TXN00503"/>
        <s v="TXN00504"/>
        <s v="TXN00505"/>
        <s v="TXN00506"/>
        <s v="TXN00507"/>
        <s v="TXN00508"/>
        <s v="TXN00509"/>
        <s v="TXN00510"/>
        <s v="TXN00511"/>
        <s v="TXN00512"/>
        <s v="TXN00513"/>
        <s v="TXN00514"/>
        <s v="TXN00515"/>
        <s v="TXN00516"/>
        <s v="TXN00517"/>
        <s v="TXN00518"/>
        <s v="TXN00519"/>
        <s v="TXN00520"/>
        <s v="TXN00521"/>
        <s v="TXN00522"/>
        <s v="TXN00523"/>
        <s v="TXN00524"/>
        <s v="TXN00525"/>
        <s v="TXN00526"/>
        <s v="TXN00527"/>
        <s v="TXN00528"/>
        <s v="TXN00529"/>
        <s v="TXN00530"/>
        <s v="TXN00531"/>
        <s v="TXN00532"/>
        <s v="TXN00533"/>
        <s v="TXN00534"/>
        <s v="TXN00535"/>
        <s v="TXN00536"/>
        <s v="TXN00537"/>
        <s v="TXN00538"/>
        <s v="TXN00539"/>
        <s v="TXN00540"/>
        <s v="TXN00541"/>
        <s v="TXN00542"/>
        <s v="TXN00543"/>
        <s v="TXN00544"/>
        <s v="TXN00545"/>
        <s v="TXN00546"/>
        <s v="TXN00547"/>
        <s v="TXN00548"/>
        <s v="TXN00549"/>
        <s v="TXN00550"/>
        <s v="TXN00551"/>
        <s v="TXN00552"/>
        <s v="TXN00553"/>
        <s v="TXN00554"/>
        <s v="TXN00555"/>
        <s v="TXN00556"/>
        <s v="TXN00557"/>
        <s v="TXN00558"/>
        <s v="TXN00559"/>
        <s v="TXN00560"/>
        <s v="TXN00561"/>
        <s v="TXN00562"/>
        <s v="TXN00563"/>
        <s v="TXN00564"/>
        <s v="TXN00565"/>
        <s v="TXN00566"/>
        <s v="TXN00567"/>
        <s v="TXN00568"/>
        <s v="TXN00569"/>
        <s v="TXN00570"/>
        <s v="TXN00571"/>
        <s v="TXN00572"/>
        <s v="TXN00573"/>
        <s v="TXN00574"/>
        <s v="TXN00575"/>
        <s v="TXN00576"/>
        <s v="TXN00577"/>
        <s v="TXN00578"/>
        <s v="TXN00579"/>
        <s v="TXN00580"/>
        <s v="TXN00581"/>
        <s v="TXN00582"/>
        <s v="TXN00583"/>
        <s v="TXN00584"/>
        <s v="TXN00585"/>
        <s v="TXN00586"/>
        <s v="TXN00587"/>
        <s v="TXN00588"/>
        <s v="TXN00589"/>
        <s v="TXN00590"/>
        <s v="TXN00591"/>
        <s v="TXN00592"/>
        <s v="TXN00593"/>
        <s v="TXN00594"/>
        <s v="TXN00595"/>
        <s v="TXN00596"/>
        <s v="TXN00597"/>
        <s v="TXN00598"/>
        <s v="TXN00599"/>
        <s v="TXN00600"/>
        <s v="TXN00601"/>
        <s v="TXN00602"/>
        <s v="TXN00603"/>
        <s v="TXN00604"/>
        <s v="TXN00605"/>
        <s v="TXN00606"/>
        <s v="TXN00607"/>
        <s v="TXN00608"/>
        <s v="TXN00609"/>
        <s v="TXN00610"/>
        <s v="TXN00611"/>
        <s v="TXN00612"/>
        <s v="TXN00613"/>
        <s v="TXN00614"/>
        <s v="TXN00615"/>
        <s v="TXN00616"/>
        <s v="TXN00617"/>
        <s v="TXN00618"/>
        <s v="TXN00619"/>
        <s v="TXN00620"/>
        <s v="TXN00621"/>
        <s v="TXN00622"/>
        <s v="TXN00623"/>
        <s v="TXN00624"/>
        <s v="TXN00625"/>
        <s v="TXN00626"/>
        <s v="TXN00627"/>
        <s v="TXN00628"/>
        <s v="TXN00629"/>
        <s v="TXN00630"/>
        <s v="TXN00631"/>
        <s v="TXN00632"/>
        <s v="TXN00633"/>
        <s v="TXN00634"/>
        <s v="TXN00635"/>
        <s v="TXN00636"/>
        <s v="TXN00637"/>
        <s v="TXN00638"/>
        <s v="TXN00639"/>
        <s v="TXN00640"/>
        <s v="TXN00641"/>
        <s v="TXN00642"/>
        <s v="TXN00643"/>
        <s v="TXN00644"/>
        <s v="TXN00645"/>
        <s v="TXN00646"/>
        <s v="TXN00647"/>
        <s v="TXN00648"/>
        <s v="TXN00649"/>
        <s v="TXN00650"/>
        <s v="TXN00651"/>
        <s v="TXN00652"/>
        <s v="TXN00653"/>
        <s v="TXN00654"/>
        <s v="TXN00655"/>
        <s v="TXN00656"/>
        <s v="TXN00657"/>
        <s v="TXN00658"/>
        <s v="TXN00659"/>
        <s v="TXN00660"/>
        <s v="TXN00661"/>
        <s v="TXN00662"/>
        <s v="TXN00663"/>
        <s v="TXN00664"/>
        <s v="TXN00665"/>
        <s v="TXN00666"/>
        <s v="TXN00667"/>
        <s v="TXN00668"/>
        <s v="TXN00669"/>
        <s v="TXN00670"/>
        <s v="TXN00671"/>
        <s v="TXN00672"/>
        <s v="TXN00673"/>
        <s v="TXN00674"/>
        <s v="TXN00675"/>
        <s v="TXN00676"/>
        <s v="TXN00677"/>
        <s v="TXN00678"/>
        <s v="TXN00679"/>
        <s v="TXN00680"/>
        <s v="TXN00681"/>
        <s v="TXN00682"/>
        <s v="TXN00683"/>
        <s v="TXN00684"/>
        <s v="TXN00685"/>
        <s v="TXN00686"/>
        <s v="TXN00687"/>
        <s v="TXN00688"/>
        <s v="TXN00689"/>
        <s v="TXN00690"/>
        <s v="TXN00691"/>
        <s v="TXN00692"/>
        <s v="TXN00693"/>
        <s v="TXN00694"/>
        <s v="TXN00695"/>
        <s v="TXN00696"/>
        <s v="TXN00697"/>
        <s v="TXN00698"/>
        <s v="TXN00699"/>
        <s v="TXN00700"/>
        <s v="TXN00701"/>
        <s v="TXN00702"/>
        <s v="TXN00703"/>
        <s v="TXN00704"/>
        <s v="TXN00705"/>
        <s v="TXN00706"/>
        <s v="TXN00707"/>
        <s v="TXN00708"/>
        <s v="TXN00709"/>
        <s v="TXN00710"/>
        <s v="TXN00711"/>
        <s v="TXN00712"/>
        <s v="TXN00713"/>
        <s v="TXN00714"/>
        <s v="TXN00715"/>
        <s v="TXN00716"/>
        <s v="TXN00717"/>
        <s v="TXN00718"/>
        <s v="TXN00719"/>
        <s v="TXN00720"/>
        <s v="TXN00721"/>
        <s v="TXN00722"/>
        <s v="TXN00723"/>
        <s v="TXN00724"/>
        <s v="TXN00725"/>
        <s v="TXN00726"/>
        <s v="TXN00727"/>
        <s v="TXN00728"/>
        <s v="TXN00729"/>
        <s v="TXN00730"/>
        <s v="TXN00731"/>
        <s v="TXN00732"/>
        <s v="TXN00733"/>
        <s v="TXN00734"/>
        <s v="TXN00735"/>
        <s v="TXN00736"/>
        <s v="TXN00737"/>
        <s v="TXN00738"/>
        <s v="TXN00739"/>
        <s v="TXN00740"/>
        <s v="TXN00741"/>
        <s v="TXN00742"/>
        <s v="TXN00743"/>
        <s v="TXN00744"/>
        <s v="TXN00745"/>
        <s v="TXN00746"/>
        <s v="TXN00747"/>
        <s v="TXN00748"/>
        <s v="TXN00749"/>
        <s v="TXN00750"/>
        <s v="TXN00751"/>
        <s v="TXN00752"/>
        <s v="TXN00753"/>
        <s v="TXN00754"/>
        <s v="TXN00755"/>
        <s v="TXN00756"/>
        <s v="TXN00757"/>
        <s v="TXN00758"/>
        <s v="TXN00759"/>
        <s v="TXN00760"/>
        <s v="TXN00761"/>
        <s v="TXN00762"/>
        <s v="TXN00763"/>
        <s v="TXN00764"/>
        <s v="TXN00765"/>
        <s v="TXN00766"/>
        <s v="TXN00767"/>
        <s v="TXN00768"/>
        <s v="TXN00769"/>
        <s v="TXN00770"/>
        <s v="TXN00771"/>
        <s v="TXN00772"/>
        <s v="TXN00773"/>
        <s v="TXN00774"/>
        <s v="TXN00775"/>
        <s v="TXN00776"/>
        <s v="TXN00777"/>
        <s v="TXN00778"/>
        <s v="TXN00779"/>
        <s v="TXN00780"/>
        <s v="TXN00781"/>
        <s v="TXN00782"/>
        <s v="TXN00783"/>
        <s v="TXN00784"/>
        <s v="TXN00785"/>
        <s v="TXN00786"/>
        <s v="TXN00787"/>
        <s v="TXN00788"/>
        <s v="TXN00789"/>
        <s v="TXN00790"/>
        <s v="TXN00791"/>
        <s v="TXN00792"/>
        <s v="TXN00793"/>
        <s v="TXN00794"/>
        <s v="TXN00795"/>
        <s v="TXN00796"/>
        <s v="TXN00797"/>
        <s v="TXN00798"/>
        <s v="TXN00799"/>
        <s v="TXN00800"/>
        <s v="TXN00801"/>
        <s v="TXN00802"/>
        <s v="TXN00803"/>
        <s v="TXN00804"/>
        <s v="TXN00805"/>
        <s v="TXN00806"/>
        <s v="TXN00807"/>
        <s v="TXN00808"/>
        <s v="TXN00809"/>
        <s v="TXN00810"/>
        <s v="TXN00811"/>
        <s v="TXN00812"/>
        <s v="TXN00813"/>
        <s v="TXN00814"/>
        <s v="TXN00815"/>
        <s v="TXN00816"/>
        <s v="TXN00817"/>
        <s v="TXN00818"/>
        <s v="TXN00819"/>
        <s v="TXN00820"/>
        <s v="TXN00821"/>
        <s v="TXN00822"/>
        <s v="TXN00823"/>
        <s v="TXN00824"/>
        <s v="TXN00825"/>
        <s v="TXN00826"/>
        <s v="TXN00827"/>
        <s v="TXN00828"/>
        <s v="TXN00829"/>
        <s v="TXN00830"/>
        <s v="TXN00831"/>
        <s v="TXN00832"/>
        <s v="TXN00833"/>
        <s v="TXN00834"/>
        <s v="TXN00835"/>
        <s v="TXN00836"/>
        <s v="TXN00837"/>
        <s v="TXN00838"/>
        <s v="TXN00839"/>
        <s v="TXN00840"/>
        <s v="TXN00841"/>
        <s v="TXN00842"/>
        <s v="TXN00843"/>
        <s v="TXN00844"/>
        <s v="TXN00845"/>
        <s v="TXN00846"/>
        <s v="TXN00847"/>
        <s v="TXN00848"/>
        <s v="TXN00849"/>
        <s v="TXN00850"/>
        <s v="TXN00851"/>
        <s v="TXN00852"/>
        <s v="TXN00853"/>
        <s v="TXN00854"/>
        <s v="TXN00855"/>
        <s v="TXN00856"/>
        <s v="TXN00857"/>
        <s v="TXN00858"/>
        <s v="TXN00859"/>
        <s v="TXN00860"/>
        <s v="TXN00861"/>
        <s v="TXN00862"/>
        <s v="TXN00863"/>
        <s v="TXN00864"/>
        <s v="TXN00865"/>
        <s v="TXN00866"/>
        <s v="TXN00867"/>
        <s v="TXN00868"/>
        <s v="TXN00869"/>
        <s v="TXN00870"/>
        <s v="TXN00871"/>
        <s v="TXN00872"/>
        <s v="TXN00873"/>
        <s v="TXN00874"/>
        <s v="TXN00875"/>
        <s v="TXN00876"/>
        <s v="TXN00877"/>
        <s v="TXN00878"/>
        <s v="TXN00879"/>
        <s v="TXN00880"/>
        <s v="TXN00881"/>
        <s v="TXN00882"/>
        <s v="TXN00883"/>
        <s v="TXN00884"/>
        <s v="TXN00885"/>
        <s v="TXN00886"/>
        <s v="TXN00887"/>
        <s v="TXN00888"/>
        <s v="TXN00889"/>
        <s v="TXN00890"/>
        <s v="TXN00891"/>
        <s v="TXN00892"/>
        <s v="TXN00893"/>
        <s v="TXN00894"/>
        <s v="TXN00895"/>
        <s v="TXN00896"/>
        <s v="TXN00897"/>
        <s v="TXN00898"/>
        <s v="TXN00899"/>
        <s v="TXN00900"/>
        <s v="TXN00901"/>
        <s v="TXN00902"/>
        <s v="TXN00903"/>
        <s v="TXN00904"/>
        <s v="TXN00905"/>
        <s v="TXN00906"/>
        <s v="TXN00907"/>
        <s v="TXN00908"/>
        <s v="TXN00909"/>
        <s v="TXN00910"/>
        <s v="TXN00911"/>
        <s v="TXN00912"/>
        <s v="TXN00913"/>
        <s v="TXN00914"/>
        <s v="TXN00915"/>
        <s v="TXN00916"/>
        <s v="TXN00917"/>
        <s v="TXN00918"/>
        <s v="TXN00919"/>
        <s v="TXN00920"/>
        <s v="TXN00921"/>
        <s v="TXN00922"/>
        <s v="TXN00923"/>
        <s v="TXN00924"/>
        <s v="TXN00925"/>
        <s v="TXN00926"/>
        <s v="TXN00927"/>
        <s v="TXN00928"/>
        <s v="TXN00929"/>
        <s v="TXN00930"/>
        <s v="TXN00931"/>
        <s v="TXN00932"/>
        <s v="TXN00933"/>
        <s v="TXN00934"/>
        <s v="TXN00935"/>
        <s v="TXN00936"/>
        <s v="TXN00937"/>
        <s v="TXN00938"/>
        <s v="TXN00939"/>
        <s v="TXN00940"/>
        <s v="TXN00941"/>
        <s v="TXN00942"/>
        <s v="TXN00943"/>
        <s v="TXN00944"/>
        <s v="TXN00945"/>
        <s v="TXN00946"/>
        <s v="TXN00947"/>
        <s v="TXN00948"/>
        <s v="TXN00949"/>
        <s v="TXN00950"/>
        <s v="TXN00951"/>
        <s v="TXN00952"/>
        <s v="TXN00953"/>
        <s v="TXN00954"/>
        <s v="TXN00955"/>
        <s v="TXN00956"/>
        <s v="TXN00957"/>
        <s v="TXN00958"/>
        <s v="TXN00959"/>
        <s v="TXN00960"/>
        <s v="TXN00961"/>
        <s v="TXN00962"/>
        <s v="TXN00963"/>
        <s v="TXN00964"/>
        <s v="TXN00965"/>
        <s v="TXN00966"/>
        <s v="TXN00967"/>
        <s v="TXN00968"/>
        <s v="TXN00969"/>
        <s v="TXN00970"/>
        <s v="TXN00971"/>
        <s v="TXN00972"/>
        <s v="TXN00973"/>
        <s v="TXN00974"/>
        <s v="TXN00975"/>
        <s v="TXN00976"/>
        <s v="TXN00977"/>
        <s v="TXN00978"/>
        <s v="TXN00979"/>
        <s v="TXN00980"/>
        <s v="TXN00981"/>
        <s v="TXN00982"/>
        <s v="TXN00983"/>
        <s v="TXN00984"/>
        <s v="TXN00985"/>
        <s v="TXN00986"/>
        <s v="TXN00987"/>
        <s v="TXN00988"/>
        <s v="TXN00989"/>
        <s v="TXN00990"/>
        <s v="TXN00991"/>
        <s v="TXN00992"/>
        <s v="TXN00993"/>
        <s v="TXN00994"/>
        <s v="TXN00995"/>
        <s v="TXN00996"/>
        <s v="TXN00997"/>
        <s v="TXN00998"/>
        <s v="TXN00999"/>
        <s v="TXN01000"/>
        <m/>
      </sharedItems>
    </cacheField>
    <cacheField name="Timestamp" numFmtId="0">
      <sharedItems containsNonDate="0" containsDate="1" containsString="0" containsBlank="1" minDate="2025-01-01T01:30:00" maxDate="2025-03-31T23:47:00"/>
    </cacheField>
    <cacheField name="Amount" numFmtId="0">
      <sharedItems containsString="0" containsBlank="1" containsNumber="1" minValue="38.68" maxValue="9962.07"/>
    </cacheField>
    <cacheField name="Payment Method" numFmtId="0">
      <sharedItems containsBlank="1"/>
    </cacheField>
    <cacheField name="Bank Name" numFmtId="0">
      <sharedItems containsBlank="1"/>
    </cacheField>
    <cacheField name="Status" numFmtId="0">
      <sharedItems containsBlank="1"/>
    </cacheField>
    <cacheField name="Failure Reason" numFmtId="0">
      <sharedItems containsBlank="1" count="7">
        <m/>
        <s v="Insufficient Funds"/>
        <s v="Bank Server Timeout"/>
        <s v="Exceeded Daily Limit"/>
        <s v="Network Error"/>
        <s v="Incorrect PIN"/>
        <s v="User Cancelled"/>
      </sharedItems>
    </cacheField>
    <cacheField name="Total Transaction" numFmtId="0">
      <sharedItems containsString="0" containsBlank="1" containsNumber="1" containsInteger="1" minValue="1000" maxValue="1000"/>
    </cacheField>
    <cacheField name="Failed Transactions" numFmtId="0">
      <sharedItems containsString="0" containsBlank="1" containsNumber="1" containsInteger="1" minValue="222" maxValue="222"/>
    </cacheField>
    <cacheField name="Failure Rate" numFmtId="0">
      <sharedItems containsString="0" containsBlank="1" containsNumber="1" minValue="22.2" maxValue="22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d v="2025-01-10T00:27:00"/>
    <n v="9775.77"/>
    <s v="Credit Card"/>
    <s v="PNB"/>
    <s v="Success"/>
    <x v="0"/>
    <n v="1000"/>
    <n v="222"/>
    <n v="22.2"/>
  </r>
  <r>
    <x v="1"/>
    <d v="2025-01-12T22:42:00"/>
    <n v="3906.22"/>
    <s v="Wallet"/>
    <s v="Kotak"/>
    <s v="Success"/>
    <x v="0"/>
    <m/>
    <m/>
    <m/>
  </r>
  <r>
    <x v="2"/>
    <d v="2025-01-09T10:10:00"/>
    <n v="3330.63"/>
    <s v="UPI"/>
    <s v="Axis"/>
    <s v="Success"/>
    <x v="0"/>
    <m/>
    <m/>
    <m/>
  </r>
  <r>
    <x v="3"/>
    <d v="2025-01-12T15:15:00"/>
    <n v="4380.21"/>
    <s v="Debit Card"/>
    <s v="Yes Bank"/>
    <s v="Success"/>
    <x v="0"/>
    <m/>
    <m/>
    <m/>
  </r>
  <r>
    <x v="4"/>
    <d v="2025-03-05T12:57:00"/>
    <n v="7500.51"/>
    <s v="UPI"/>
    <s v="PNB"/>
    <s v="Success"/>
    <x v="0"/>
    <m/>
    <m/>
    <m/>
  </r>
  <r>
    <x v="5"/>
    <d v="2025-03-04T23:03:00"/>
    <n v="4446.41"/>
    <s v="UPI"/>
    <s v="PNB"/>
    <s v="Success"/>
    <x v="0"/>
    <m/>
    <m/>
    <m/>
  </r>
  <r>
    <x v="6"/>
    <d v="2025-03-29T20:36:00"/>
    <n v="2447.35"/>
    <s v="Debit Card"/>
    <s v="Kotak"/>
    <s v="Success"/>
    <x v="0"/>
    <m/>
    <m/>
    <m/>
  </r>
  <r>
    <x v="7"/>
    <d v="2025-03-17T20:09:00"/>
    <n v="6728.01"/>
    <s v="Wallet"/>
    <s v="HDFC"/>
    <s v="Failed"/>
    <x v="1"/>
    <m/>
    <m/>
    <m/>
  </r>
  <r>
    <x v="8"/>
    <d v="2025-02-08T07:09:00"/>
    <n v="7901.29"/>
    <s v="Credit Card"/>
    <s v="Yes Bank"/>
    <s v="Success"/>
    <x v="0"/>
    <m/>
    <m/>
    <m/>
  </r>
  <r>
    <x v="9"/>
    <d v="2025-01-02T08:54:00"/>
    <n v="7098.59"/>
    <s v="Net Banking"/>
    <s v="Yes Bank"/>
    <s v="Success"/>
    <x v="0"/>
    <m/>
    <m/>
    <m/>
  </r>
  <r>
    <x v="10"/>
    <d v="2025-01-22T20:23:00"/>
    <n v="603.48"/>
    <s v="Credit Card"/>
    <s v="PNB"/>
    <s v="Success"/>
    <x v="0"/>
    <m/>
    <m/>
    <m/>
  </r>
  <r>
    <x v="11"/>
    <d v="2025-01-07T13:19:00"/>
    <n v="6433.44"/>
    <s v="Credit Card"/>
    <s v="Axis"/>
    <s v="Failed"/>
    <x v="2"/>
    <m/>
    <m/>
    <m/>
  </r>
  <r>
    <x v="12"/>
    <d v="2025-01-30T02:40:00"/>
    <n v="3224.37"/>
    <s v="Net Banking"/>
    <s v="Axis"/>
    <s v="Success"/>
    <x v="0"/>
    <m/>
    <m/>
    <m/>
  </r>
  <r>
    <x v="13"/>
    <d v="2025-02-16T15:57:00"/>
    <n v="106.7"/>
    <s v="UPI"/>
    <s v="Axis"/>
    <s v="Failed"/>
    <x v="3"/>
    <m/>
    <m/>
    <m/>
  </r>
  <r>
    <x v="14"/>
    <d v="2025-02-13T06:18:00"/>
    <n v="5496.61"/>
    <s v="UPI"/>
    <s v="ICICI"/>
    <s v="Success"/>
    <x v="0"/>
    <m/>
    <m/>
    <m/>
  </r>
  <r>
    <x v="15"/>
    <d v="2025-01-20T18:36:00"/>
    <n v="4539.3100000000004"/>
    <s v="Wallet"/>
    <s v="SBI"/>
    <s v="Success"/>
    <x v="0"/>
    <m/>
    <m/>
    <m/>
  </r>
  <r>
    <x v="16"/>
    <d v="2025-02-04T03:11:00"/>
    <n v="5054.33"/>
    <s v="UPI"/>
    <s v="Axis"/>
    <s v="Success"/>
    <x v="0"/>
    <m/>
    <m/>
    <m/>
  </r>
  <r>
    <x v="17"/>
    <d v="2025-02-08T16:11:00"/>
    <n v="6106.87"/>
    <s v="Net Banking"/>
    <s v="ICICI"/>
    <s v="Success"/>
    <x v="0"/>
    <m/>
    <m/>
    <m/>
  </r>
  <r>
    <x v="18"/>
    <d v="2025-02-16T01:37:00"/>
    <n v="8632.1299999999992"/>
    <s v="Credit Card"/>
    <s v="Axis"/>
    <s v="Success"/>
    <x v="0"/>
    <m/>
    <m/>
    <m/>
  </r>
  <r>
    <x v="19"/>
    <d v="2025-03-24T11:46:00"/>
    <n v="8301.35"/>
    <s v="Credit Card"/>
    <s v="Axis"/>
    <s v="Success"/>
    <x v="0"/>
    <m/>
    <m/>
    <m/>
  </r>
  <r>
    <x v="20"/>
    <d v="2025-02-10T04:15:00"/>
    <n v="1188.3699999999999"/>
    <s v="UPI"/>
    <s v="HDFC"/>
    <s v="Failed"/>
    <x v="4"/>
    <m/>
    <m/>
    <m/>
  </r>
  <r>
    <x v="21"/>
    <d v="2025-02-19T00:40:00"/>
    <n v="9403.0300000000007"/>
    <s v="Credit Card"/>
    <s v="Yes Bank"/>
    <s v="Success"/>
    <x v="0"/>
    <m/>
    <m/>
    <m/>
  </r>
  <r>
    <x v="22"/>
    <d v="2025-02-09T16:00:00"/>
    <n v="5180.57"/>
    <s v="UPI"/>
    <s v="Yes Bank"/>
    <s v="Failed"/>
    <x v="4"/>
    <m/>
    <m/>
    <m/>
  </r>
  <r>
    <x v="23"/>
    <d v="2025-03-26T19:59:00"/>
    <n v="4692.8100000000004"/>
    <s v="Wallet"/>
    <s v="PNB"/>
    <s v="Success"/>
    <x v="0"/>
    <m/>
    <m/>
    <m/>
  </r>
  <r>
    <x v="24"/>
    <d v="2025-03-18T03:27:00"/>
    <n v="4052.24"/>
    <s v="Wallet"/>
    <s v="Kotak"/>
    <s v="Failed"/>
    <x v="4"/>
    <m/>
    <m/>
    <m/>
  </r>
  <r>
    <x v="25"/>
    <d v="2025-01-14T05:20:00"/>
    <n v="5587.92"/>
    <s v="Net Banking"/>
    <s v="ICICI"/>
    <s v="Success"/>
    <x v="0"/>
    <m/>
    <m/>
    <m/>
  </r>
  <r>
    <x v="26"/>
    <d v="2025-03-11T17:48:00"/>
    <n v="5138.05"/>
    <s v="Wallet"/>
    <s v="SBI"/>
    <s v="Failed"/>
    <x v="1"/>
    <m/>
    <m/>
    <m/>
  </r>
  <r>
    <x v="27"/>
    <d v="2025-01-02T13:36:00"/>
    <n v="7504.65"/>
    <s v="Credit Card"/>
    <s v="ICICI"/>
    <s v="Success"/>
    <x v="0"/>
    <m/>
    <m/>
    <m/>
  </r>
  <r>
    <x v="28"/>
    <d v="2025-03-12T06:37:00"/>
    <n v="6359.55"/>
    <s v="UPI"/>
    <s v="Axis"/>
    <s v="Success"/>
    <x v="0"/>
    <m/>
    <m/>
    <m/>
  </r>
  <r>
    <x v="29"/>
    <d v="2025-01-09T01:29:00"/>
    <n v="5553.94"/>
    <s v="Net Banking"/>
    <s v="Yes Bank"/>
    <s v="Failed"/>
    <x v="5"/>
    <m/>
    <m/>
    <m/>
  </r>
  <r>
    <x v="30"/>
    <d v="2025-03-01T13:12:00"/>
    <n v="3132.84"/>
    <s v="UPI"/>
    <s v="Yes Bank"/>
    <s v="Success"/>
    <x v="0"/>
    <m/>
    <m/>
    <m/>
  </r>
  <r>
    <x v="31"/>
    <d v="2025-01-22T09:59:00"/>
    <n v="7000.38"/>
    <s v="Debit Card"/>
    <s v="SBI"/>
    <s v="Success"/>
    <x v="0"/>
    <m/>
    <m/>
    <m/>
  </r>
  <r>
    <x v="32"/>
    <d v="2025-02-24T16:47:00"/>
    <n v="5535.82"/>
    <s v="Net Banking"/>
    <s v="PNB"/>
    <s v="Success"/>
    <x v="0"/>
    <m/>
    <m/>
    <m/>
  </r>
  <r>
    <x v="33"/>
    <d v="2025-01-13T05:57:00"/>
    <n v="9772.11"/>
    <s v="Credit Card"/>
    <s v="Yes Bank"/>
    <s v="Success"/>
    <x v="0"/>
    <m/>
    <m/>
    <m/>
  </r>
  <r>
    <x v="34"/>
    <d v="2025-02-25T06:13:00"/>
    <n v="1737.36"/>
    <s v="Credit Card"/>
    <s v="Yes Bank"/>
    <s v="Failed"/>
    <x v="4"/>
    <m/>
    <m/>
    <m/>
  </r>
  <r>
    <x v="35"/>
    <d v="2025-02-16T13:27:00"/>
    <n v="2539.62"/>
    <s v="Debit Card"/>
    <s v="HDFC"/>
    <s v="Failed"/>
    <x v="3"/>
    <m/>
    <m/>
    <m/>
  </r>
  <r>
    <x v="36"/>
    <d v="2025-03-06T09:43:00"/>
    <n v="1314.33"/>
    <s v="Credit Card"/>
    <s v="Kotak"/>
    <s v="Success"/>
    <x v="0"/>
    <m/>
    <m/>
    <m/>
  </r>
  <r>
    <x v="37"/>
    <d v="2025-01-15T09:18:00"/>
    <n v="5282.73"/>
    <s v="UPI"/>
    <s v="Axis"/>
    <s v="Success"/>
    <x v="0"/>
    <m/>
    <m/>
    <m/>
  </r>
  <r>
    <x v="38"/>
    <d v="2025-02-11T00:14:00"/>
    <n v="670.27"/>
    <s v="Net Banking"/>
    <s v="SBI"/>
    <s v="Failed"/>
    <x v="5"/>
    <m/>
    <m/>
    <m/>
  </r>
  <r>
    <x v="39"/>
    <d v="2025-03-07T11:37:00"/>
    <n v="2820.69"/>
    <s v="Debit Card"/>
    <s v="Axis"/>
    <s v="Success"/>
    <x v="0"/>
    <m/>
    <m/>
    <m/>
  </r>
  <r>
    <x v="40"/>
    <d v="2025-03-12T05:42:00"/>
    <n v="5707.06"/>
    <s v="Wallet"/>
    <s v="ICICI"/>
    <s v="Success"/>
    <x v="0"/>
    <m/>
    <m/>
    <m/>
  </r>
  <r>
    <x v="41"/>
    <d v="2025-03-12T12:11:00"/>
    <n v="7476.78"/>
    <s v="Net Banking"/>
    <s v="Yes Bank"/>
    <s v="Failed"/>
    <x v="6"/>
    <m/>
    <m/>
    <m/>
  </r>
  <r>
    <x v="42"/>
    <d v="2025-01-12T11:46:00"/>
    <n v="4450.66"/>
    <s v="Debit Card"/>
    <s v="Yes Bank"/>
    <s v="Success"/>
    <x v="0"/>
    <m/>
    <m/>
    <m/>
  </r>
  <r>
    <x v="43"/>
    <d v="2025-02-07T06:33:00"/>
    <n v="7900.9"/>
    <s v="UPI"/>
    <s v="Axis"/>
    <s v="Success"/>
    <x v="0"/>
    <m/>
    <m/>
    <m/>
  </r>
  <r>
    <x v="44"/>
    <d v="2025-02-26T22:18:00"/>
    <n v="1282.26"/>
    <s v="Credit Card"/>
    <s v="Kotak"/>
    <s v="Failed"/>
    <x v="4"/>
    <m/>
    <m/>
    <m/>
  </r>
  <r>
    <x v="45"/>
    <d v="2025-03-19T05:57:00"/>
    <n v="7227.52"/>
    <s v="Net Banking"/>
    <s v="Yes Bank"/>
    <s v="Success"/>
    <x v="0"/>
    <m/>
    <m/>
    <m/>
  </r>
  <r>
    <x v="46"/>
    <d v="2025-03-05T13:13:00"/>
    <n v="6711.86"/>
    <s v="Wallet"/>
    <s v="Kotak"/>
    <s v="Failed"/>
    <x v="3"/>
    <m/>
    <m/>
    <m/>
  </r>
  <r>
    <x v="47"/>
    <d v="2025-02-13T16:55:00"/>
    <n v="6214.57"/>
    <s v="Net Banking"/>
    <s v="Axis"/>
    <s v="Success"/>
    <x v="0"/>
    <m/>
    <m/>
    <m/>
  </r>
  <r>
    <x v="48"/>
    <d v="2025-01-31T09:40:00"/>
    <n v="1228.46"/>
    <s v="Wallet"/>
    <s v="Yes Bank"/>
    <s v="Success"/>
    <x v="0"/>
    <m/>
    <m/>
    <m/>
  </r>
  <r>
    <x v="49"/>
    <d v="2025-01-06T15:15:00"/>
    <n v="7176.93"/>
    <s v="Wallet"/>
    <s v="ICICI"/>
    <s v="Success"/>
    <x v="0"/>
    <m/>
    <m/>
    <m/>
  </r>
  <r>
    <x v="50"/>
    <d v="2025-01-15T05:53:00"/>
    <n v="7942.33"/>
    <s v="UPI"/>
    <s v="Kotak"/>
    <s v="Success"/>
    <x v="0"/>
    <m/>
    <m/>
    <m/>
  </r>
  <r>
    <x v="51"/>
    <d v="2025-03-18T18:05:00"/>
    <n v="5160.4799999999996"/>
    <s v="Credit Card"/>
    <s v="ICICI"/>
    <s v="Success"/>
    <x v="0"/>
    <m/>
    <m/>
    <m/>
  </r>
  <r>
    <x v="52"/>
    <d v="2025-03-25T09:17:00"/>
    <n v="9280.33"/>
    <s v="Debit Card"/>
    <s v="Kotak"/>
    <s v="Success"/>
    <x v="0"/>
    <m/>
    <m/>
    <m/>
  </r>
  <r>
    <x v="53"/>
    <d v="2025-03-08T18:04:00"/>
    <n v="7572.73"/>
    <s v="Wallet"/>
    <s v="PNB"/>
    <s v="Failed"/>
    <x v="5"/>
    <m/>
    <m/>
    <m/>
  </r>
  <r>
    <x v="54"/>
    <d v="2025-02-13T13:13:00"/>
    <n v="2127.9299999999998"/>
    <s v="Net Banking"/>
    <s v="SBI"/>
    <s v="Success"/>
    <x v="0"/>
    <m/>
    <m/>
    <m/>
  </r>
  <r>
    <x v="55"/>
    <d v="2025-01-25T19:26:00"/>
    <n v="7513.75"/>
    <s v="Net Banking"/>
    <s v="Yes Bank"/>
    <s v="Success"/>
    <x v="0"/>
    <m/>
    <m/>
    <m/>
  </r>
  <r>
    <x v="56"/>
    <d v="2025-01-22T01:24:00"/>
    <n v="8325.9500000000007"/>
    <s v="Credit Card"/>
    <s v="SBI"/>
    <s v="Success"/>
    <x v="0"/>
    <m/>
    <m/>
    <m/>
  </r>
  <r>
    <x v="57"/>
    <d v="2025-01-31T00:15:00"/>
    <n v="8851.31"/>
    <s v="Wallet"/>
    <s v="PNB"/>
    <s v="Failed"/>
    <x v="3"/>
    <m/>
    <m/>
    <m/>
  </r>
  <r>
    <x v="58"/>
    <d v="2025-01-29T07:39:00"/>
    <n v="1411.52"/>
    <s v="UPI"/>
    <s v="ICICI"/>
    <s v="Success"/>
    <x v="0"/>
    <m/>
    <m/>
    <m/>
  </r>
  <r>
    <x v="59"/>
    <d v="2025-02-20T10:30:00"/>
    <n v="3616.86"/>
    <s v="Credit Card"/>
    <s v="Kotak"/>
    <s v="Success"/>
    <x v="0"/>
    <m/>
    <m/>
    <m/>
  </r>
  <r>
    <x v="60"/>
    <d v="2025-02-24T19:17:00"/>
    <n v="6681.35"/>
    <s v="Debit Card"/>
    <s v="SBI"/>
    <s v="Success"/>
    <x v="0"/>
    <m/>
    <m/>
    <m/>
  </r>
  <r>
    <x v="61"/>
    <d v="2025-02-23T18:30:00"/>
    <n v="8701.9599999999991"/>
    <s v="Debit Card"/>
    <s v="PNB"/>
    <s v="Success"/>
    <x v="0"/>
    <m/>
    <m/>
    <m/>
  </r>
  <r>
    <x v="62"/>
    <d v="2025-01-11T04:39:00"/>
    <n v="5558.95"/>
    <s v="Debit Card"/>
    <s v="Axis"/>
    <s v="Failed"/>
    <x v="1"/>
    <m/>
    <m/>
    <m/>
  </r>
  <r>
    <x v="63"/>
    <d v="2025-02-17T11:53:00"/>
    <n v="3668.08"/>
    <s v="Wallet"/>
    <s v="Kotak"/>
    <s v="Success"/>
    <x v="0"/>
    <m/>
    <m/>
    <m/>
  </r>
  <r>
    <x v="64"/>
    <d v="2025-03-15T01:05:00"/>
    <n v="5981.59"/>
    <s v="Credit Card"/>
    <s v="HDFC"/>
    <s v="Failed"/>
    <x v="1"/>
    <m/>
    <m/>
    <m/>
  </r>
  <r>
    <x v="65"/>
    <d v="2025-03-02T13:30:00"/>
    <n v="7461"/>
    <s v="Debit Card"/>
    <s v="Kotak"/>
    <s v="Success"/>
    <x v="0"/>
    <m/>
    <m/>
    <m/>
  </r>
  <r>
    <x v="66"/>
    <d v="2025-03-07T21:03:00"/>
    <n v="6599.34"/>
    <s v="Debit Card"/>
    <s v="PNB"/>
    <s v="Success"/>
    <x v="0"/>
    <m/>
    <m/>
    <m/>
  </r>
  <r>
    <x v="67"/>
    <d v="2025-02-05T08:48:00"/>
    <n v="4779.6899999999996"/>
    <s v="Net Banking"/>
    <s v="SBI"/>
    <s v="Success"/>
    <x v="0"/>
    <m/>
    <m/>
    <m/>
  </r>
  <r>
    <x v="68"/>
    <d v="2025-02-23T02:53:00"/>
    <n v="9030.6200000000008"/>
    <s v="UPI"/>
    <s v="Kotak"/>
    <s v="Success"/>
    <x v="0"/>
    <m/>
    <m/>
    <m/>
  </r>
  <r>
    <x v="69"/>
    <d v="2025-01-04T03:21:00"/>
    <n v="8888.4699999999993"/>
    <s v="Credit Card"/>
    <s v="HDFC"/>
    <s v="Success"/>
    <x v="0"/>
    <m/>
    <m/>
    <m/>
  </r>
  <r>
    <x v="70"/>
    <d v="2025-03-01T14:20:00"/>
    <n v="2351.8000000000002"/>
    <s v="Credit Card"/>
    <s v="Axis"/>
    <s v="Success"/>
    <x v="0"/>
    <m/>
    <m/>
    <m/>
  </r>
  <r>
    <x v="71"/>
    <d v="2025-03-14T22:37:00"/>
    <n v="6042.35"/>
    <s v="Wallet"/>
    <s v="Kotak"/>
    <s v="Success"/>
    <x v="0"/>
    <m/>
    <m/>
    <m/>
  </r>
  <r>
    <x v="72"/>
    <d v="2025-03-10T12:44:00"/>
    <n v="8111.72"/>
    <s v="Net Banking"/>
    <s v="HDFC"/>
    <s v="Success"/>
    <x v="0"/>
    <m/>
    <m/>
    <m/>
  </r>
  <r>
    <x v="73"/>
    <d v="2025-03-04T18:24:00"/>
    <n v="731.94"/>
    <s v="Wallet"/>
    <s v="Axis"/>
    <s v="Success"/>
    <x v="0"/>
    <m/>
    <m/>
    <m/>
  </r>
  <r>
    <x v="74"/>
    <d v="2025-01-12T02:34:00"/>
    <n v="332.18"/>
    <s v="Credit Card"/>
    <s v="SBI"/>
    <s v="Success"/>
    <x v="0"/>
    <m/>
    <m/>
    <m/>
  </r>
  <r>
    <x v="75"/>
    <d v="2025-02-28T23:33:00"/>
    <n v="5164.22"/>
    <s v="Credit Card"/>
    <s v="PNB"/>
    <s v="Success"/>
    <x v="0"/>
    <m/>
    <m/>
    <m/>
  </r>
  <r>
    <x v="76"/>
    <d v="2025-02-01T19:09:00"/>
    <n v="7658.27"/>
    <s v="Debit Card"/>
    <s v="Yes Bank"/>
    <s v="Success"/>
    <x v="0"/>
    <m/>
    <m/>
    <m/>
  </r>
  <r>
    <x v="77"/>
    <d v="2025-01-11T05:14:00"/>
    <n v="49.75"/>
    <s v="Wallet"/>
    <s v="ICICI"/>
    <s v="Success"/>
    <x v="0"/>
    <m/>
    <m/>
    <m/>
  </r>
  <r>
    <x v="78"/>
    <d v="2025-01-28T20:00:00"/>
    <n v="6556.68"/>
    <s v="Net Banking"/>
    <s v="Yes Bank"/>
    <s v="Success"/>
    <x v="0"/>
    <m/>
    <m/>
    <m/>
  </r>
  <r>
    <x v="79"/>
    <d v="2025-03-31T03:03:00"/>
    <n v="9129.85"/>
    <s v="Net Banking"/>
    <s v="Kotak"/>
    <s v="Success"/>
    <x v="0"/>
    <m/>
    <m/>
    <m/>
  </r>
  <r>
    <x v="80"/>
    <d v="2025-03-16T21:33:00"/>
    <n v="6148.85"/>
    <s v="Wallet"/>
    <s v="ICICI"/>
    <s v="Failed"/>
    <x v="1"/>
    <m/>
    <m/>
    <m/>
  </r>
  <r>
    <x v="81"/>
    <d v="2025-03-29T04:08:00"/>
    <n v="2388.12"/>
    <s v="Net Banking"/>
    <s v="Kotak"/>
    <s v="Success"/>
    <x v="0"/>
    <m/>
    <m/>
    <m/>
  </r>
  <r>
    <x v="82"/>
    <d v="2025-01-26T15:11:00"/>
    <n v="6667.47"/>
    <s v="UPI"/>
    <s v="Yes Bank"/>
    <s v="Success"/>
    <x v="0"/>
    <m/>
    <m/>
    <m/>
  </r>
  <r>
    <x v="83"/>
    <d v="2025-02-06T03:39:00"/>
    <n v="9910.19"/>
    <s v="Net Banking"/>
    <s v="HDFC"/>
    <s v="Failed"/>
    <x v="5"/>
    <m/>
    <m/>
    <m/>
  </r>
  <r>
    <x v="84"/>
    <d v="2025-03-08T18:21:00"/>
    <n v="3619.93"/>
    <s v="Net Banking"/>
    <s v="Yes Bank"/>
    <s v="Success"/>
    <x v="0"/>
    <m/>
    <m/>
    <m/>
  </r>
  <r>
    <x v="85"/>
    <d v="2025-01-22T09:10:00"/>
    <n v="489.34"/>
    <s v="Wallet"/>
    <s v="Axis"/>
    <s v="Success"/>
    <x v="0"/>
    <m/>
    <m/>
    <m/>
  </r>
  <r>
    <x v="86"/>
    <d v="2025-01-05T05:53:00"/>
    <n v="7434.96"/>
    <s v="Credit Card"/>
    <s v="ICICI"/>
    <s v="Success"/>
    <x v="0"/>
    <m/>
    <m/>
    <m/>
  </r>
  <r>
    <x v="87"/>
    <d v="2025-03-08T10:13:00"/>
    <n v="9435.98"/>
    <s v="Credit Card"/>
    <s v="HDFC"/>
    <s v="Success"/>
    <x v="0"/>
    <m/>
    <m/>
    <m/>
  </r>
  <r>
    <x v="88"/>
    <d v="2025-02-22T09:50:00"/>
    <n v="9931.94"/>
    <s v="Debit Card"/>
    <s v="HDFC"/>
    <s v="Success"/>
    <x v="0"/>
    <m/>
    <m/>
    <m/>
  </r>
  <r>
    <x v="89"/>
    <d v="2025-03-06T13:22:00"/>
    <n v="6633.96"/>
    <s v="UPI"/>
    <s v="HDFC"/>
    <s v="Success"/>
    <x v="0"/>
    <m/>
    <m/>
    <m/>
  </r>
  <r>
    <x v="90"/>
    <d v="2025-01-26T22:13:00"/>
    <n v="2399.37"/>
    <s v="UPI"/>
    <s v="Kotak"/>
    <s v="Failed"/>
    <x v="6"/>
    <m/>
    <m/>
    <m/>
  </r>
  <r>
    <x v="91"/>
    <d v="2025-02-22T23:31:00"/>
    <n v="9685.39"/>
    <s v="Net Banking"/>
    <s v="Kotak"/>
    <s v="Success"/>
    <x v="0"/>
    <m/>
    <m/>
    <m/>
  </r>
  <r>
    <x v="92"/>
    <d v="2025-03-03T17:33:00"/>
    <n v="8289.8700000000008"/>
    <s v="Net Banking"/>
    <s v="Kotak"/>
    <s v="Success"/>
    <x v="0"/>
    <m/>
    <m/>
    <m/>
  </r>
  <r>
    <x v="93"/>
    <d v="2025-02-03T10:30:00"/>
    <n v="2279.2800000000002"/>
    <s v="Debit Card"/>
    <s v="Kotak"/>
    <s v="Success"/>
    <x v="0"/>
    <m/>
    <m/>
    <m/>
  </r>
  <r>
    <x v="94"/>
    <d v="2025-01-21T14:50:00"/>
    <n v="116.91"/>
    <s v="Wallet"/>
    <s v="HDFC"/>
    <s v="Failed"/>
    <x v="3"/>
    <m/>
    <m/>
    <m/>
  </r>
  <r>
    <x v="95"/>
    <d v="2025-01-15T06:06:00"/>
    <n v="1127.8699999999999"/>
    <s v="Credit Card"/>
    <s v="Kotak"/>
    <s v="Success"/>
    <x v="0"/>
    <m/>
    <m/>
    <m/>
  </r>
  <r>
    <x v="96"/>
    <d v="2025-03-21T14:16:00"/>
    <n v="7370.41"/>
    <s v="Wallet"/>
    <s v="Kotak"/>
    <s v="Success"/>
    <x v="0"/>
    <m/>
    <m/>
    <m/>
  </r>
  <r>
    <x v="97"/>
    <d v="2025-02-17T08:39:00"/>
    <n v="7024.5"/>
    <s v="Credit Card"/>
    <s v="SBI"/>
    <s v="Success"/>
    <x v="0"/>
    <m/>
    <m/>
    <m/>
  </r>
  <r>
    <x v="98"/>
    <d v="2025-02-14T04:33:00"/>
    <n v="435.46"/>
    <s v="UPI"/>
    <s v="Kotak"/>
    <s v="Failed"/>
    <x v="5"/>
    <m/>
    <m/>
    <m/>
  </r>
  <r>
    <x v="99"/>
    <d v="2025-02-13T13:42:00"/>
    <n v="5395.82"/>
    <s v="Debit Card"/>
    <s v="SBI"/>
    <s v="Success"/>
    <x v="0"/>
    <m/>
    <m/>
    <m/>
  </r>
  <r>
    <x v="100"/>
    <d v="2025-03-31T03:09:00"/>
    <n v="6576.8"/>
    <s v="Net Banking"/>
    <s v="Axis"/>
    <s v="Success"/>
    <x v="0"/>
    <m/>
    <m/>
    <m/>
  </r>
  <r>
    <x v="101"/>
    <d v="2025-02-08T16:34:00"/>
    <n v="5083.8599999999997"/>
    <s v="UPI"/>
    <s v="Axis"/>
    <s v="Success"/>
    <x v="0"/>
    <m/>
    <m/>
    <m/>
  </r>
  <r>
    <x v="102"/>
    <d v="2025-01-07T22:42:00"/>
    <n v="9955.39"/>
    <s v="Debit Card"/>
    <s v="Kotak"/>
    <s v="Failed"/>
    <x v="3"/>
    <m/>
    <m/>
    <m/>
  </r>
  <r>
    <x v="103"/>
    <d v="2025-03-23T05:42:00"/>
    <n v="1939.15"/>
    <s v="Wallet"/>
    <s v="Yes Bank"/>
    <s v="Failed"/>
    <x v="5"/>
    <m/>
    <m/>
    <m/>
  </r>
  <r>
    <x v="104"/>
    <d v="2025-01-19T04:18:00"/>
    <n v="5652.04"/>
    <s v="Debit Card"/>
    <s v="PNB"/>
    <s v="Success"/>
    <x v="0"/>
    <m/>
    <m/>
    <m/>
  </r>
  <r>
    <x v="105"/>
    <d v="2025-02-15T07:41:00"/>
    <n v="7812.6"/>
    <s v="Wallet"/>
    <s v="SBI"/>
    <s v="Success"/>
    <x v="0"/>
    <m/>
    <m/>
    <m/>
  </r>
  <r>
    <x v="106"/>
    <d v="2025-03-13T19:31:00"/>
    <n v="4154.04"/>
    <s v="UPI"/>
    <s v="Axis"/>
    <s v="Success"/>
    <x v="0"/>
    <m/>
    <m/>
    <m/>
  </r>
  <r>
    <x v="107"/>
    <d v="2025-02-01T04:19:00"/>
    <n v="9146.2900000000009"/>
    <s v="Debit Card"/>
    <s v="Kotak"/>
    <s v="Success"/>
    <x v="0"/>
    <m/>
    <m/>
    <m/>
  </r>
  <r>
    <x v="108"/>
    <d v="2025-01-19T05:03:00"/>
    <n v="6067"/>
    <s v="Debit Card"/>
    <s v="HDFC"/>
    <s v="Success"/>
    <x v="0"/>
    <m/>
    <m/>
    <m/>
  </r>
  <r>
    <x v="109"/>
    <d v="2025-03-28T14:09:00"/>
    <n v="9814.7000000000007"/>
    <s v="UPI"/>
    <s v="PNB"/>
    <s v="Success"/>
    <x v="0"/>
    <m/>
    <m/>
    <m/>
  </r>
  <r>
    <x v="110"/>
    <d v="2025-02-26T07:59:00"/>
    <n v="9811.61"/>
    <s v="Wallet"/>
    <s v="SBI"/>
    <s v="Success"/>
    <x v="0"/>
    <m/>
    <m/>
    <m/>
  </r>
  <r>
    <x v="111"/>
    <d v="2025-02-20T20:59:00"/>
    <n v="2560.9499999999998"/>
    <s v="Net Banking"/>
    <s v="HDFC"/>
    <s v="Success"/>
    <x v="0"/>
    <m/>
    <m/>
    <m/>
  </r>
  <r>
    <x v="112"/>
    <d v="2025-01-19T00:20:00"/>
    <n v="4010.23"/>
    <s v="UPI"/>
    <s v="SBI"/>
    <s v="Failed"/>
    <x v="4"/>
    <m/>
    <m/>
    <m/>
  </r>
  <r>
    <x v="113"/>
    <d v="2025-02-10T12:40:00"/>
    <n v="6875.05"/>
    <s v="UPI"/>
    <s v="Axis"/>
    <s v="Failed"/>
    <x v="1"/>
    <m/>
    <m/>
    <m/>
  </r>
  <r>
    <x v="114"/>
    <d v="2025-03-21T00:32:00"/>
    <n v="6460.44"/>
    <s v="Wallet"/>
    <s v="SBI"/>
    <s v="Success"/>
    <x v="0"/>
    <m/>
    <m/>
    <m/>
  </r>
  <r>
    <x v="115"/>
    <d v="2025-03-29T07:35:00"/>
    <n v="6014.48"/>
    <s v="UPI"/>
    <s v="SBI"/>
    <s v="Success"/>
    <x v="0"/>
    <m/>
    <m/>
    <m/>
  </r>
  <r>
    <x v="116"/>
    <d v="2025-02-16T22:46:00"/>
    <n v="1484.95"/>
    <s v="Credit Card"/>
    <s v="PNB"/>
    <s v="Failed"/>
    <x v="6"/>
    <m/>
    <m/>
    <m/>
  </r>
  <r>
    <x v="117"/>
    <d v="2025-02-11T03:56:00"/>
    <n v="8385.25"/>
    <s v="Debit Card"/>
    <s v="ICICI"/>
    <s v="Failed"/>
    <x v="2"/>
    <m/>
    <m/>
    <m/>
  </r>
  <r>
    <x v="118"/>
    <d v="2025-03-09T07:23:00"/>
    <n v="7573.26"/>
    <s v="UPI"/>
    <s v="Yes Bank"/>
    <s v="Success"/>
    <x v="0"/>
    <m/>
    <m/>
    <m/>
  </r>
  <r>
    <x v="119"/>
    <d v="2025-03-01T12:14:00"/>
    <n v="2109.96"/>
    <s v="Wallet"/>
    <s v="ICICI"/>
    <s v="Success"/>
    <x v="0"/>
    <m/>
    <m/>
    <m/>
  </r>
  <r>
    <x v="120"/>
    <d v="2025-02-26T13:48:00"/>
    <n v="4429.21"/>
    <s v="Credit Card"/>
    <s v="Axis"/>
    <s v="Failed"/>
    <x v="6"/>
    <m/>
    <m/>
    <m/>
  </r>
  <r>
    <x v="121"/>
    <d v="2025-03-01T07:49:00"/>
    <n v="2924.5"/>
    <s v="Wallet"/>
    <s v="PNB"/>
    <s v="Success"/>
    <x v="0"/>
    <m/>
    <m/>
    <m/>
  </r>
  <r>
    <x v="122"/>
    <d v="2025-01-14T19:10:00"/>
    <n v="5360.5"/>
    <s v="UPI"/>
    <s v="Kotak"/>
    <s v="Success"/>
    <x v="0"/>
    <m/>
    <m/>
    <m/>
  </r>
  <r>
    <x v="123"/>
    <d v="2025-03-11T18:03:00"/>
    <n v="6194.4"/>
    <s v="Credit Card"/>
    <s v="Axis"/>
    <s v="Failed"/>
    <x v="1"/>
    <m/>
    <m/>
    <m/>
  </r>
  <r>
    <x v="124"/>
    <d v="2025-01-29T09:02:00"/>
    <n v="5661.13"/>
    <s v="Credit Card"/>
    <s v="HDFC"/>
    <s v="Success"/>
    <x v="0"/>
    <m/>
    <m/>
    <m/>
  </r>
  <r>
    <x v="125"/>
    <d v="2025-01-16T09:15:00"/>
    <n v="2453.04"/>
    <s v="UPI"/>
    <s v="PNB"/>
    <s v="Success"/>
    <x v="0"/>
    <m/>
    <m/>
    <m/>
  </r>
  <r>
    <x v="126"/>
    <d v="2025-01-17T21:46:00"/>
    <n v="1789.59"/>
    <s v="Wallet"/>
    <s v="Kotak"/>
    <s v="Success"/>
    <x v="0"/>
    <m/>
    <m/>
    <m/>
  </r>
  <r>
    <x v="127"/>
    <d v="2025-02-19T18:49:00"/>
    <n v="1969.31"/>
    <s v="UPI"/>
    <s v="HDFC"/>
    <s v="Success"/>
    <x v="0"/>
    <m/>
    <m/>
    <m/>
  </r>
  <r>
    <x v="128"/>
    <d v="2025-02-18T00:52:00"/>
    <n v="7091.67"/>
    <s v="Credit Card"/>
    <s v="Axis"/>
    <s v="Success"/>
    <x v="0"/>
    <m/>
    <m/>
    <m/>
  </r>
  <r>
    <x v="129"/>
    <d v="2025-03-22T05:41:00"/>
    <n v="4774.04"/>
    <s v="Debit Card"/>
    <s v="SBI"/>
    <s v="Failed"/>
    <x v="2"/>
    <m/>
    <m/>
    <m/>
  </r>
  <r>
    <x v="130"/>
    <d v="2025-03-02T17:20:00"/>
    <n v="6119.96"/>
    <s v="UPI"/>
    <s v="Axis"/>
    <s v="Failed"/>
    <x v="4"/>
    <m/>
    <m/>
    <m/>
  </r>
  <r>
    <x v="131"/>
    <d v="2025-02-24T06:35:00"/>
    <n v="7301.63"/>
    <s v="Wallet"/>
    <s v="ICICI"/>
    <s v="Success"/>
    <x v="0"/>
    <m/>
    <m/>
    <m/>
  </r>
  <r>
    <x v="132"/>
    <d v="2025-01-10T18:54:00"/>
    <n v="7546.49"/>
    <s v="Net Banking"/>
    <s v="SBI"/>
    <s v="Success"/>
    <x v="0"/>
    <m/>
    <m/>
    <m/>
  </r>
  <r>
    <x v="133"/>
    <d v="2025-02-03T16:01:00"/>
    <n v="4158.5600000000004"/>
    <s v="UPI"/>
    <s v="Kotak"/>
    <s v="Success"/>
    <x v="0"/>
    <m/>
    <m/>
    <m/>
  </r>
  <r>
    <x v="134"/>
    <d v="2025-03-07T17:38:00"/>
    <n v="2315.4899999999998"/>
    <s v="UPI"/>
    <s v="Yes Bank"/>
    <s v="Success"/>
    <x v="0"/>
    <m/>
    <m/>
    <m/>
  </r>
  <r>
    <x v="135"/>
    <d v="2025-03-30T03:37:00"/>
    <n v="4580.74"/>
    <s v="UPI"/>
    <s v="SBI"/>
    <s v="Success"/>
    <x v="0"/>
    <m/>
    <m/>
    <m/>
  </r>
  <r>
    <x v="136"/>
    <d v="2025-03-24T06:34:00"/>
    <n v="8679.2900000000009"/>
    <s v="Debit Card"/>
    <s v="ICICI"/>
    <s v="Success"/>
    <x v="0"/>
    <m/>
    <m/>
    <m/>
  </r>
  <r>
    <x v="137"/>
    <d v="2025-03-19T07:14:00"/>
    <n v="2607.83"/>
    <s v="Wallet"/>
    <s v="Axis"/>
    <s v="Success"/>
    <x v="0"/>
    <m/>
    <m/>
    <m/>
  </r>
  <r>
    <x v="138"/>
    <d v="2025-03-17T08:22:00"/>
    <n v="491.96"/>
    <s v="Net Banking"/>
    <s v="SBI"/>
    <s v="Success"/>
    <x v="0"/>
    <m/>
    <m/>
    <m/>
  </r>
  <r>
    <x v="139"/>
    <d v="2025-01-11T03:50:00"/>
    <n v="4551.9799999999996"/>
    <s v="UPI"/>
    <s v="Axis"/>
    <s v="Success"/>
    <x v="0"/>
    <m/>
    <m/>
    <m/>
  </r>
  <r>
    <x v="140"/>
    <d v="2025-01-03T06:38:00"/>
    <n v="9556.51"/>
    <s v="Wallet"/>
    <s v="ICICI"/>
    <s v="Failed"/>
    <x v="1"/>
    <m/>
    <m/>
    <m/>
  </r>
  <r>
    <x v="141"/>
    <d v="2025-03-19T13:00:00"/>
    <n v="8613.43"/>
    <s v="Credit Card"/>
    <s v="SBI"/>
    <s v="Failed"/>
    <x v="4"/>
    <m/>
    <m/>
    <m/>
  </r>
  <r>
    <x v="142"/>
    <d v="2025-01-08T19:38:00"/>
    <n v="2963.62"/>
    <s v="Net Banking"/>
    <s v="PNB"/>
    <s v="Success"/>
    <x v="0"/>
    <m/>
    <m/>
    <m/>
  </r>
  <r>
    <x v="143"/>
    <d v="2025-03-06T19:02:00"/>
    <n v="3288.38"/>
    <s v="Net Banking"/>
    <s v="Yes Bank"/>
    <s v="Failed"/>
    <x v="1"/>
    <m/>
    <m/>
    <m/>
  </r>
  <r>
    <x v="144"/>
    <d v="2025-03-23T09:43:00"/>
    <n v="7555"/>
    <s v="UPI"/>
    <s v="SBI"/>
    <s v="Failed"/>
    <x v="2"/>
    <m/>
    <m/>
    <m/>
  </r>
  <r>
    <x v="145"/>
    <d v="2025-03-08T10:42:00"/>
    <n v="1838.62"/>
    <s v="Wallet"/>
    <s v="PNB"/>
    <s v="Failed"/>
    <x v="2"/>
    <m/>
    <m/>
    <m/>
  </r>
  <r>
    <x v="146"/>
    <d v="2025-01-17T14:13:00"/>
    <n v="8329.26"/>
    <s v="Wallet"/>
    <s v="PNB"/>
    <s v="Success"/>
    <x v="0"/>
    <m/>
    <m/>
    <m/>
  </r>
  <r>
    <x v="147"/>
    <d v="2025-02-07T07:26:00"/>
    <n v="9440.89"/>
    <s v="Debit Card"/>
    <s v="PNB"/>
    <s v="Success"/>
    <x v="0"/>
    <m/>
    <m/>
    <m/>
  </r>
  <r>
    <x v="148"/>
    <d v="2025-01-02T12:11:00"/>
    <n v="7608.71"/>
    <s v="Wallet"/>
    <s v="Yes Bank"/>
    <s v="Success"/>
    <x v="0"/>
    <m/>
    <m/>
    <m/>
  </r>
  <r>
    <x v="149"/>
    <d v="2025-03-03T00:48:00"/>
    <n v="6407.19"/>
    <s v="Credit Card"/>
    <s v="Yes Bank"/>
    <s v="Success"/>
    <x v="0"/>
    <m/>
    <m/>
    <m/>
  </r>
  <r>
    <x v="150"/>
    <d v="2025-02-22T11:32:00"/>
    <n v="6985.22"/>
    <s v="Wallet"/>
    <s v="Kotak"/>
    <s v="Success"/>
    <x v="0"/>
    <m/>
    <m/>
    <m/>
  </r>
  <r>
    <x v="151"/>
    <d v="2025-02-07T04:16:00"/>
    <n v="9925.2900000000009"/>
    <s v="Net Banking"/>
    <s v="Axis"/>
    <s v="Failed"/>
    <x v="2"/>
    <m/>
    <m/>
    <m/>
  </r>
  <r>
    <x v="152"/>
    <d v="2025-03-25T06:04:00"/>
    <n v="9816.5"/>
    <s v="UPI"/>
    <s v="Axis"/>
    <s v="Success"/>
    <x v="0"/>
    <m/>
    <m/>
    <m/>
  </r>
  <r>
    <x v="153"/>
    <d v="2025-02-23T06:02:00"/>
    <n v="1655.98"/>
    <s v="Net Banking"/>
    <s v="PNB"/>
    <s v="Success"/>
    <x v="0"/>
    <m/>
    <m/>
    <m/>
  </r>
  <r>
    <x v="154"/>
    <d v="2025-03-30T08:00:00"/>
    <n v="6074.05"/>
    <s v="Debit Card"/>
    <s v="HDFC"/>
    <s v="Success"/>
    <x v="0"/>
    <m/>
    <m/>
    <m/>
  </r>
  <r>
    <x v="155"/>
    <d v="2025-03-19T19:33:00"/>
    <n v="2916.89"/>
    <s v="Wallet"/>
    <s v="SBI"/>
    <s v="Success"/>
    <x v="0"/>
    <m/>
    <m/>
    <m/>
  </r>
  <r>
    <x v="156"/>
    <d v="2025-01-22T23:19:00"/>
    <n v="5280.39"/>
    <s v="Wallet"/>
    <s v="HDFC"/>
    <s v="Failed"/>
    <x v="6"/>
    <m/>
    <m/>
    <m/>
  </r>
  <r>
    <x v="157"/>
    <d v="2025-01-16T14:55:00"/>
    <n v="3303.68"/>
    <s v="Credit Card"/>
    <s v="HDFC"/>
    <s v="Success"/>
    <x v="0"/>
    <m/>
    <m/>
    <m/>
  </r>
  <r>
    <x v="158"/>
    <d v="2025-03-16T00:22:00"/>
    <n v="8762.49"/>
    <s v="Wallet"/>
    <s v="Yes Bank"/>
    <s v="Success"/>
    <x v="0"/>
    <m/>
    <m/>
    <m/>
  </r>
  <r>
    <x v="159"/>
    <d v="2025-01-23T12:09:00"/>
    <n v="9952.65"/>
    <s v="Debit Card"/>
    <s v="HDFC"/>
    <s v="Failed"/>
    <x v="1"/>
    <m/>
    <m/>
    <m/>
  </r>
  <r>
    <x v="160"/>
    <d v="2025-03-20T17:23:00"/>
    <n v="8977.36"/>
    <s v="UPI"/>
    <s v="HDFC"/>
    <s v="Success"/>
    <x v="0"/>
    <m/>
    <m/>
    <m/>
  </r>
  <r>
    <x v="161"/>
    <d v="2025-02-02T11:53:00"/>
    <n v="9282.42"/>
    <s v="Wallet"/>
    <s v="Axis"/>
    <s v="Failed"/>
    <x v="2"/>
    <m/>
    <m/>
    <m/>
  </r>
  <r>
    <x v="162"/>
    <d v="2025-01-21T02:01:00"/>
    <n v="8527"/>
    <s v="Credit Card"/>
    <s v="Yes Bank"/>
    <s v="Success"/>
    <x v="0"/>
    <m/>
    <m/>
    <m/>
  </r>
  <r>
    <x v="163"/>
    <d v="2025-01-27T07:58:00"/>
    <n v="9933.08"/>
    <s v="UPI"/>
    <s v="HDFC"/>
    <s v="Failed"/>
    <x v="4"/>
    <m/>
    <m/>
    <m/>
  </r>
  <r>
    <x v="164"/>
    <d v="2025-03-13T02:43:00"/>
    <n v="4136.1899999999996"/>
    <s v="UPI"/>
    <s v="ICICI"/>
    <s v="Success"/>
    <x v="0"/>
    <m/>
    <m/>
    <m/>
  </r>
  <r>
    <x v="165"/>
    <d v="2025-02-25T00:20:00"/>
    <n v="4929.26"/>
    <s v="UPI"/>
    <s v="Kotak"/>
    <s v="Failed"/>
    <x v="1"/>
    <m/>
    <m/>
    <m/>
  </r>
  <r>
    <x v="166"/>
    <d v="2025-02-07T19:57:00"/>
    <n v="3052.24"/>
    <s v="Net Banking"/>
    <s v="HDFC"/>
    <s v="Success"/>
    <x v="0"/>
    <m/>
    <m/>
    <m/>
  </r>
  <r>
    <x v="167"/>
    <d v="2025-03-27T18:58:00"/>
    <n v="3325.21"/>
    <s v="UPI"/>
    <s v="HDFC"/>
    <s v="Success"/>
    <x v="0"/>
    <m/>
    <m/>
    <m/>
  </r>
  <r>
    <x v="168"/>
    <d v="2025-02-26T23:36:00"/>
    <n v="1337.81"/>
    <s v="Debit Card"/>
    <s v="ICICI"/>
    <s v="Success"/>
    <x v="0"/>
    <m/>
    <m/>
    <m/>
  </r>
  <r>
    <x v="169"/>
    <d v="2025-01-04T08:00:00"/>
    <n v="6732.65"/>
    <s v="UPI"/>
    <s v="HDFC"/>
    <s v="Success"/>
    <x v="0"/>
    <m/>
    <m/>
    <m/>
  </r>
  <r>
    <x v="170"/>
    <d v="2025-03-09T08:47:00"/>
    <n v="445.15"/>
    <s v="UPI"/>
    <s v="ICICI"/>
    <s v="Success"/>
    <x v="0"/>
    <m/>
    <m/>
    <m/>
  </r>
  <r>
    <x v="171"/>
    <d v="2025-03-19T14:16:00"/>
    <n v="1887.71"/>
    <s v="Wallet"/>
    <s v="Axis"/>
    <s v="Success"/>
    <x v="0"/>
    <m/>
    <m/>
    <m/>
  </r>
  <r>
    <x v="172"/>
    <d v="2025-02-02T19:41:00"/>
    <n v="6619.68"/>
    <s v="Credit Card"/>
    <s v="Axis"/>
    <s v="Success"/>
    <x v="0"/>
    <m/>
    <m/>
    <m/>
  </r>
  <r>
    <x v="173"/>
    <d v="2025-02-21T06:46:00"/>
    <n v="9710.57"/>
    <s v="Net Banking"/>
    <s v="HDFC"/>
    <s v="Success"/>
    <x v="0"/>
    <m/>
    <m/>
    <m/>
  </r>
  <r>
    <x v="174"/>
    <d v="2025-03-19T02:48:00"/>
    <n v="8466.1299999999992"/>
    <s v="Credit Card"/>
    <s v="Kotak"/>
    <s v="Success"/>
    <x v="0"/>
    <m/>
    <m/>
    <m/>
  </r>
  <r>
    <x v="175"/>
    <d v="2025-03-24T14:54:00"/>
    <n v="9472.99"/>
    <s v="Debit Card"/>
    <s v="HDFC"/>
    <s v="Success"/>
    <x v="0"/>
    <m/>
    <m/>
    <m/>
  </r>
  <r>
    <x v="176"/>
    <d v="2025-03-30T23:21:00"/>
    <n v="1816.16"/>
    <s v="Wallet"/>
    <s v="Axis"/>
    <s v="Failed"/>
    <x v="6"/>
    <m/>
    <m/>
    <m/>
  </r>
  <r>
    <x v="177"/>
    <d v="2025-03-19T11:48:00"/>
    <n v="6842.88"/>
    <s v="Debit Card"/>
    <s v="SBI"/>
    <s v="Success"/>
    <x v="0"/>
    <m/>
    <m/>
    <m/>
  </r>
  <r>
    <x v="178"/>
    <d v="2025-03-04T21:47:00"/>
    <n v="8699.59"/>
    <s v="Debit Card"/>
    <s v="HDFC"/>
    <s v="Success"/>
    <x v="0"/>
    <m/>
    <m/>
    <m/>
  </r>
  <r>
    <x v="179"/>
    <d v="2025-02-04T08:21:00"/>
    <n v="9355.39"/>
    <s v="Net Banking"/>
    <s v="ICICI"/>
    <s v="Success"/>
    <x v="0"/>
    <m/>
    <m/>
    <m/>
  </r>
  <r>
    <x v="180"/>
    <d v="2025-01-09T19:40:00"/>
    <n v="1232.8599999999999"/>
    <s v="Credit Card"/>
    <s v="SBI"/>
    <s v="Success"/>
    <x v="0"/>
    <m/>
    <m/>
    <m/>
  </r>
  <r>
    <x v="181"/>
    <d v="2025-02-10T15:41:00"/>
    <n v="6368.08"/>
    <s v="UPI"/>
    <s v="ICICI"/>
    <s v="Failed"/>
    <x v="3"/>
    <m/>
    <m/>
    <m/>
  </r>
  <r>
    <x v="182"/>
    <d v="2025-02-19T08:40:00"/>
    <n v="7394.22"/>
    <s v="Net Banking"/>
    <s v="Kotak"/>
    <s v="Failed"/>
    <x v="1"/>
    <m/>
    <m/>
    <m/>
  </r>
  <r>
    <x v="183"/>
    <d v="2025-03-18T01:47:00"/>
    <n v="7053.78"/>
    <s v="Wallet"/>
    <s v="ICICI"/>
    <s v="Success"/>
    <x v="0"/>
    <m/>
    <m/>
    <m/>
  </r>
  <r>
    <x v="184"/>
    <d v="2025-01-23T13:00:00"/>
    <n v="3645.36"/>
    <s v="Debit Card"/>
    <s v="HDFC"/>
    <s v="Success"/>
    <x v="0"/>
    <m/>
    <m/>
    <m/>
  </r>
  <r>
    <x v="185"/>
    <d v="2025-03-15T16:12:00"/>
    <n v="6999.74"/>
    <s v="Wallet"/>
    <s v="ICICI"/>
    <s v="Failed"/>
    <x v="4"/>
    <m/>
    <m/>
    <m/>
  </r>
  <r>
    <x v="186"/>
    <d v="2025-03-03T13:46:00"/>
    <n v="5941.68"/>
    <s v="UPI"/>
    <s v="ICICI"/>
    <s v="Success"/>
    <x v="0"/>
    <m/>
    <m/>
    <m/>
  </r>
  <r>
    <x v="187"/>
    <d v="2025-02-13T22:38:00"/>
    <n v="8342.4699999999993"/>
    <s v="Net Banking"/>
    <s v="Axis"/>
    <s v="Success"/>
    <x v="0"/>
    <m/>
    <m/>
    <m/>
  </r>
  <r>
    <x v="188"/>
    <d v="2025-01-24T04:19:00"/>
    <n v="858.25"/>
    <s v="Net Banking"/>
    <s v="Kotak"/>
    <s v="Success"/>
    <x v="0"/>
    <m/>
    <m/>
    <m/>
  </r>
  <r>
    <x v="189"/>
    <d v="2025-02-18T14:01:00"/>
    <n v="6858.59"/>
    <s v="Wallet"/>
    <s v="ICICI"/>
    <s v="Success"/>
    <x v="0"/>
    <m/>
    <m/>
    <m/>
  </r>
  <r>
    <x v="190"/>
    <d v="2025-01-13T03:02:00"/>
    <n v="4548.9399999999996"/>
    <s v="Debit Card"/>
    <s v="Axis"/>
    <s v="Success"/>
    <x v="0"/>
    <m/>
    <m/>
    <m/>
  </r>
  <r>
    <x v="191"/>
    <d v="2025-03-18T08:18:00"/>
    <n v="8335.51"/>
    <s v="UPI"/>
    <s v="ICICI"/>
    <s v="Success"/>
    <x v="0"/>
    <m/>
    <m/>
    <m/>
  </r>
  <r>
    <x v="192"/>
    <d v="2025-01-07T15:27:00"/>
    <n v="5099.92"/>
    <s v="Wallet"/>
    <s v="PNB"/>
    <s v="Success"/>
    <x v="0"/>
    <m/>
    <m/>
    <m/>
  </r>
  <r>
    <x v="193"/>
    <d v="2025-01-26T22:39:00"/>
    <n v="9418.7099999999991"/>
    <s v="Credit Card"/>
    <s v="PNB"/>
    <s v="Success"/>
    <x v="0"/>
    <m/>
    <m/>
    <m/>
  </r>
  <r>
    <x v="194"/>
    <d v="2025-01-17T13:14:00"/>
    <n v="4320.8900000000003"/>
    <s v="Debit Card"/>
    <s v="PNB"/>
    <s v="Success"/>
    <x v="0"/>
    <m/>
    <m/>
    <m/>
  </r>
  <r>
    <x v="195"/>
    <d v="2025-01-25T04:15:00"/>
    <n v="194.79"/>
    <s v="Credit Card"/>
    <s v="ICICI"/>
    <s v="Success"/>
    <x v="0"/>
    <m/>
    <m/>
    <m/>
  </r>
  <r>
    <x v="196"/>
    <d v="2025-02-04T09:28:00"/>
    <n v="3035.77"/>
    <s v="Wallet"/>
    <s v="Kotak"/>
    <s v="Failed"/>
    <x v="6"/>
    <m/>
    <m/>
    <m/>
  </r>
  <r>
    <x v="197"/>
    <d v="2025-03-07T10:38:00"/>
    <n v="9524.82"/>
    <s v="UPI"/>
    <s v="ICICI"/>
    <s v="Success"/>
    <x v="0"/>
    <m/>
    <m/>
    <m/>
  </r>
  <r>
    <x v="198"/>
    <d v="2025-01-22T18:24:00"/>
    <n v="1010.75"/>
    <s v="Net Banking"/>
    <s v="HDFC"/>
    <s v="Success"/>
    <x v="0"/>
    <m/>
    <m/>
    <m/>
  </r>
  <r>
    <x v="199"/>
    <d v="2025-03-23T15:19:00"/>
    <n v="8089.63"/>
    <s v="Credit Card"/>
    <s v="Kotak"/>
    <s v="Success"/>
    <x v="0"/>
    <m/>
    <m/>
    <m/>
  </r>
  <r>
    <x v="200"/>
    <d v="2025-02-10T10:32:00"/>
    <n v="5040.55"/>
    <s v="UPI"/>
    <s v="Kotak"/>
    <s v="Failed"/>
    <x v="1"/>
    <m/>
    <m/>
    <m/>
  </r>
  <r>
    <x v="201"/>
    <d v="2025-02-03T04:40:00"/>
    <n v="6268.73"/>
    <s v="Credit Card"/>
    <s v="Yes Bank"/>
    <s v="Failed"/>
    <x v="2"/>
    <m/>
    <m/>
    <m/>
  </r>
  <r>
    <x v="202"/>
    <d v="2025-02-20T23:55:00"/>
    <n v="3481.88"/>
    <s v="Credit Card"/>
    <s v="Axis"/>
    <s v="Success"/>
    <x v="0"/>
    <m/>
    <m/>
    <m/>
  </r>
  <r>
    <x v="203"/>
    <d v="2025-03-27T13:21:00"/>
    <n v="3814.86"/>
    <s v="Wallet"/>
    <s v="Kotak"/>
    <s v="Success"/>
    <x v="0"/>
    <m/>
    <m/>
    <m/>
  </r>
  <r>
    <x v="204"/>
    <d v="2025-03-06T21:33:00"/>
    <n v="1032.44"/>
    <s v="UPI"/>
    <s v="HDFC"/>
    <s v="Failed"/>
    <x v="2"/>
    <m/>
    <m/>
    <m/>
  </r>
  <r>
    <x v="205"/>
    <d v="2025-03-29T11:41:00"/>
    <n v="1229.0999999999999"/>
    <s v="Debit Card"/>
    <s v="Yes Bank"/>
    <s v="Success"/>
    <x v="0"/>
    <m/>
    <m/>
    <m/>
  </r>
  <r>
    <x v="206"/>
    <d v="2025-01-19T19:27:00"/>
    <n v="6341.31"/>
    <s v="UPI"/>
    <s v="Axis"/>
    <s v="Failed"/>
    <x v="6"/>
    <m/>
    <m/>
    <m/>
  </r>
  <r>
    <x v="207"/>
    <d v="2025-03-23T04:38:00"/>
    <n v="6415.27"/>
    <s v="UPI"/>
    <s v="Yes Bank"/>
    <s v="Success"/>
    <x v="0"/>
    <m/>
    <m/>
    <m/>
  </r>
  <r>
    <x v="208"/>
    <d v="2025-02-01T03:03:00"/>
    <n v="1301.93"/>
    <s v="Net Banking"/>
    <s v="Axis"/>
    <s v="Success"/>
    <x v="0"/>
    <m/>
    <m/>
    <m/>
  </r>
  <r>
    <x v="209"/>
    <d v="2025-01-29T16:42:00"/>
    <n v="2622.5"/>
    <s v="Wallet"/>
    <s v="HDFC"/>
    <s v="Failed"/>
    <x v="3"/>
    <m/>
    <m/>
    <m/>
  </r>
  <r>
    <x v="210"/>
    <d v="2025-01-21T06:07:00"/>
    <n v="6128.69"/>
    <s v="UPI"/>
    <s v="ICICI"/>
    <s v="Success"/>
    <x v="0"/>
    <m/>
    <m/>
    <m/>
  </r>
  <r>
    <x v="211"/>
    <d v="2025-01-16T02:59:00"/>
    <n v="9087.7999999999993"/>
    <s v="UPI"/>
    <s v="SBI"/>
    <s v="Success"/>
    <x v="0"/>
    <m/>
    <m/>
    <m/>
  </r>
  <r>
    <x v="212"/>
    <d v="2025-03-10T07:30:00"/>
    <n v="3801.48"/>
    <s v="Net Banking"/>
    <s v="Yes Bank"/>
    <s v="Success"/>
    <x v="0"/>
    <m/>
    <m/>
    <m/>
  </r>
  <r>
    <x v="213"/>
    <d v="2025-02-12T07:13:00"/>
    <n v="4131.58"/>
    <s v="Credit Card"/>
    <s v="Axis"/>
    <s v="Failed"/>
    <x v="6"/>
    <m/>
    <m/>
    <m/>
  </r>
  <r>
    <x v="214"/>
    <d v="2025-03-28T14:48:00"/>
    <n v="181.18"/>
    <s v="Credit Card"/>
    <s v="Kotak"/>
    <s v="Success"/>
    <x v="0"/>
    <m/>
    <m/>
    <m/>
  </r>
  <r>
    <x v="215"/>
    <d v="2025-01-11T13:40:00"/>
    <n v="7111.93"/>
    <s v="Net Banking"/>
    <s v="SBI"/>
    <s v="Success"/>
    <x v="0"/>
    <m/>
    <m/>
    <m/>
  </r>
  <r>
    <x v="216"/>
    <d v="2025-01-04T06:28:00"/>
    <n v="38.68"/>
    <s v="UPI"/>
    <s v="PNB"/>
    <s v="Success"/>
    <x v="0"/>
    <m/>
    <m/>
    <m/>
  </r>
  <r>
    <x v="217"/>
    <d v="2025-02-07T19:23:00"/>
    <n v="9250.14"/>
    <s v="Debit Card"/>
    <s v="Kotak"/>
    <s v="Success"/>
    <x v="0"/>
    <m/>
    <m/>
    <m/>
  </r>
  <r>
    <x v="218"/>
    <d v="2025-02-03T09:23:00"/>
    <n v="1509.86"/>
    <s v="UPI"/>
    <s v="ICICI"/>
    <s v="Success"/>
    <x v="0"/>
    <m/>
    <m/>
    <m/>
  </r>
  <r>
    <x v="219"/>
    <d v="2025-02-16T07:38:00"/>
    <n v="8492.93"/>
    <s v="UPI"/>
    <s v="Axis"/>
    <s v="Success"/>
    <x v="0"/>
    <m/>
    <m/>
    <m/>
  </r>
  <r>
    <x v="220"/>
    <d v="2025-01-23T04:07:00"/>
    <n v="3074.39"/>
    <s v="Net Banking"/>
    <s v="ICICI"/>
    <s v="Success"/>
    <x v="0"/>
    <m/>
    <m/>
    <m/>
  </r>
  <r>
    <x v="221"/>
    <d v="2025-01-12T01:46:00"/>
    <n v="6629.63"/>
    <s v="Credit Card"/>
    <s v="HDFC"/>
    <s v="Failed"/>
    <x v="4"/>
    <m/>
    <m/>
    <m/>
  </r>
  <r>
    <x v="222"/>
    <d v="2025-03-11T20:15:00"/>
    <n v="8761.18"/>
    <s v="Wallet"/>
    <s v="HDFC"/>
    <s v="Success"/>
    <x v="0"/>
    <m/>
    <m/>
    <m/>
  </r>
  <r>
    <x v="223"/>
    <d v="2025-01-24T13:37:00"/>
    <n v="7775.64"/>
    <s v="UPI"/>
    <s v="PNB"/>
    <s v="Failed"/>
    <x v="1"/>
    <m/>
    <m/>
    <m/>
  </r>
  <r>
    <x v="224"/>
    <d v="2025-02-07T03:46:00"/>
    <n v="3861.1"/>
    <s v="Credit Card"/>
    <s v="HDFC"/>
    <s v="Success"/>
    <x v="0"/>
    <m/>
    <m/>
    <m/>
  </r>
  <r>
    <x v="225"/>
    <d v="2025-02-14T13:20:00"/>
    <n v="7611.41"/>
    <s v="Wallet"/>
    <s v="Axis"/>
    <s v="Success"/>
    <x v="0"/>
    <m/>
    <m/>
    <m/>
  </r>
  <r>
    <x v="226"/>
    <d v="2025-02-25T22:12:00"/>
    <n v="4902.67"/>
    <s v="Net Banking"/>
    <s v="PNB"/>
    <s v="Success"/>
    <x v="0"/>
    <m/>
    <m/>
    <m/>
  </r>
  <r>
    <x v="227"/>
    <d v="2025-03-18T22:09:00"/>
    <n v="5323.04"/>
    <s v="Credit Card"/>
    <s v="ICICI"/>
    <s v="Success"/>
    <x v="0"/>
    <m/>
    <m/>
    <m/>
  </r>
  <r>
    <x v="228"/>
    <d v="2025-02-15T23:47:00"/>
    <n v="2667.73"/>
    <s v="Net Banking"/>
    <s v="Yes Bank"/>
    <s v="Failed"/>
    <x v="6"/>
    <m/>
    <m/>
    <m/>
  </r>
  <r>
    <x v="229"/>
    <d v="2025-01-03T17:32:00"/>
    <n v="909.76"/>
    <s v="Net Banking"/>
    <s v="HDFC"/>
    <s v="Success"/>
    <x v="0"/>
    <m/>
    <m/>
    <m/>
  </r>
  <r>
    <x v="230"/>
    <d v="2025-03-03T10:41:00"/>
    <n v="8025.4"/>
    <s v="UPI"/>
    <s v="PNB"/>
    <s v="Failed"/>
    <x v="2"/>
    <m/>
    <m/>
    <m/>
  </r>
  <r>
    <x v="231"/>
    <d v="2025-02-07T03:31:00"/>
    <n v="4400.6400000000003"/>
    <s v="Net Banking"/>
    <s v="ICICI"/>
    <s v="Failed"/>
    <x v="3"/>
    <m/>
    <m/>
    <m/>
  </r>
  <r>
    <x v="232"/>
    <d v="2025-03-14T06:36:00"/>
    <n v="1336.16"/>
    <s v="Wallet"/>
    <s v="Yes Bank"/>
    <s v="Success"/>
    <x v="0"/>
    <m/>
    <m/>
    <m/>
  </r>
  <r>
    <x v="233"/>
    <d v="2025-03-13T09:15:00"/>
    <n v="139.38999999999999"/>
    <s v="Net Banking"/>
    <s v="HDFC"/>
    <s v="Success"/>
    <x v="0"/>
    <m/>
    <m/>
    <m/>
  </r>
  <r>
    <x v="234"/>
    <d v="2025-03-06T10:44:00"/>
    <n v="2982.98"/>
    <s v="Credit Card"/>
    <s v="Kotak"/>
    <s v="Failed"/>
    <x v="3"/>
    <m/>
    <m/>
    <m/>
  </r>
  <r>
    <x v="235"/>
    <d v="2025-02-11T12:38:00"/>
    <n v="1400.09"/>
    <s v="Wallet"/>
    <s v="SBI"/>
    <s v="Success"/>
    <x v="0"/>
    <m/>
    <m/>
    <m/>
  </r>
  <r>
    <x v="236"/>
    <d v="2025-02-28T07:49:00"/>
    <n v="6720.18"/>
    <s v="Credit Card"/>
    <s v="Kotak"/>
    <s v="Success"/>
    <x v="0"/>
    <m/>
    <m/>
    <m/>
  </r>
  <r>
    <x v="237"/>
    <d v="2025-01-18T09:00:00"/>
    <n v="7158.05"/>
    <s v="Debit Card"/>
    <s v="HDFC"/>
    <s v="Failed"/>
    <x v="5"/>
    <m/>
    <m/>
    <m/>
  </r>
  <r>
    <x v="238"/>
    <d v="2025-03-15T14:02:00"/>
    <n v="7138.66"/>
    <s v="Debit Card"/>
    <s v="Yes Bank"/>
    <s v="Success"/>
    <x v="0"/>
    <m/>
    <m/>
    <m/>
  </r>
  <r>
    <x v="239"/>
    <d v="2025-01-09T23:52:00"/>
    <n v="1279.52"/>
    <s v="UPI"/>
    <s v="Kotak"/>
    <s v="Success"/>
    <x v="0"/>
    <m/>
    <m/>
    <m/>
  </r>
  <r>
    <x v="240"/>
    <d v="2025-02-04T09:20:00"/>
    <n v="408.72"/>
    <s v="Net Banking"/>
    <s v="Kotak"/>
    <s v="Failed"/>
    <x v="3"/>
    <m/>
    <m/>
    <m/>
  </r>
  <r>
    <x v="241"/>
    <d v="2025-01-30T05:57:00"/>
    <n v="2042.77"/>
    <s v="Credit Card"/>
    <s v="Axis"/>
    <s v="Success"/>
    <x v="0"/>
    <m/>
    <m/>
    <m/>
  </r>
  <r>
    <x v="242"/>
    <d v="2025-02-02T10:58:00"/>
    <n v="6478.75"/>
    <s v="Wallet"/>
    <s v="PNB"/>
    <s v="Success"/>
    <x v="0"/>
    <m/>
    <m/>
    <m/>
  </r>
  <r>
    <x v="243"/>
    <d v="2025-01-10T14:35:00"/>
    <n v="5563.49"/>
    <s v="Debit Card"/>
    <s v="ICICI"/>
    <s v="Success"/>
    <x v="0"/>
    <m/>
    <m/>
    <m/>
  </r>
  <r>
    <x v="244"/>
    <d v="2025-03-27T00:23:00"/>
    <n v="730.43"/>
    <s v="UPI"/>
    <s v="Kotak"/>
    <s v="Failed"/>
    <x v="4"/>
    <m/>
    <m/>
    <m/>
  </r>
  <r>
    <x v="245"/>
    <d v="2025-02-17T18:23:00"/>
    <n v="5323.11"/>
    <s v="Net Banking"/>
    <s v="SBI"/>
    <s v="Success"/>
    <x v="0"/>
    <m/>
    <m/>
    <m/>
  </r>
  <r>
    <x v="246"/>
    <d v="2025-03-01T19:54:00"/>
    <n v="5163.1099999999997"/>
    <s v="Credit Card"/>
    <s v="Kotak"/>
    <s v="Success"/>
    <x v="0"/>
    <m/>
    <m/>
    <m/>
  </r>
  <r>
    <x v="247"/>
    <d v="2025-01-26T08:42:00"/>
    <n v="6181.67"/>
    <s v="UPI"/>
    <s v="Yes Bank"/>
    <s v="Success"/>
    <x v="0"/>
    <m/>
    <m/>
    <m/>
  </r>
  <r>
    <x v="248"/>
    <d v="2025-03-08T07:33:00"/>
    <n v="656.75"/>
    <s v="Debit Card"/>
    <s v="SBI"/>
    <s v="Success"/>
    <x v="0"/>
    <m/>
    <m/>
    <m/>
  </r>
  <r>
    <x v="249"/>
    <d v="2025-02-26T04:08:00"/>
    <n v="678.34"/>
    <s v="Debit Card"/>
    <s v="SBI"/>
    <s v="Success"/>
    <x v="0"/>
    <m/>
    <m/>
    <m/>
  </r>
  <r>
    <x v="250"/>
    <d v="2025-02-22T15:17:00"/>
    <n v="3991.21"/>
    <s v="Credit Card"/>
    <s v="HDFC"/>
    <s v="Success"/>
    <x v="0"/>
    <m/>
    <m/>
    <m/>
  </r>
  <r>
    <x v="251"/>
    <d v="2025-03-28T14:56:00"/>
    <n v="5851.31"/>
    <s v="Credit Card"/>
    <s v="PNB"/>
    <s v="Failed"/>
    <x v="2"/>
    <m/>
    <m/>
    <m/>
  </r>
  <r>
    <x v="252"/>
    <d v="2025-02-26T18:41:00"/>
    <n v="1735.45"/>
    <s v="Wallet"/>
    <s v="Kotak"/>
    <s v="Success"/>
    <x v="0"/>
    <m/>
    <m/>
    <m/>
  </r>
  <r>
    <x v="253"/>
    <d v="2025-01-22T14:38:00"/>
    <n v="274.91000000000003"/>
    <s v="UPI"/>
    <s v="HDFC"/>
    <s v="Failed"/>
    <x v="5"/>
    <m/>
    <m/>
    <m/>
  </r>
  <r>
    <x v="254"/>
    <d v="2025-03-04T21:46:00"/>
    <n v="8554.07"/>
    <s v="Net Banking"/>
    <s v="Axis"/>
    <s v="Success"/>
    <x v="0"/>
    <m/>
    <m/>
    <m/>
  </r>
  <r>
    <x v="255"/>
    <d v="2025-03-15T18:28:00"/>
    <n v="1860.31"/>
    <s v="UPI"/>
    <s v="PNB"/>
    <s v="Success"/>
    <x v="0"/>
    <m/>
    <m/>
    <m/>
  </r>
  <r>
    <x v="256"/>
    <d v="2025-01-10T04:53:00"/>
    <n v="1288.0999999999999"/>
    <s v="UPI"/>
    <s v="Axis"/>
    <s v="Success"/>
    <x v="0"/>
    <m/>
    <m/>
    <m/>
  </r>
  <r>
    <x v="257"/>
    <d v="2025-01-18T01:02:00"/>
    <n v="9741.02"/>
    <s v="UPI"/>
    <s v="ICICI"/>
    <s v="Success"/>
    <x v="0"/>
    <m/>
    <m/>
    <m/>
  </r>
  <r>
    <x v="258"/>
    <d v="2025-01-31T08:28:00"/>
    <n v="6655.41"/>
    <s v="Debit Card"/>
    <s v="Axis"/>
    <s v="Failed"/>
    <x v="6"/>
    <m/>
    <m/>
    <m/>
  </r>
  <r>
    <x v="259"/>
    <d v="2025-02-14T02:12:00"/>
    <n v="268.57"/>
    <s v="Debit Card"/>
    <s v="ICICI"/>
    <s v="Success"/>
    <x v="0"/>
    <m/>
    <m/>
    <m/>
  </r>
  <r>
    <x v="260"/>
    <d v="2025-03-18T20:44:00"/>
    <n v="4885.9399999999996"/>
    <s v="UPI"/>
    <s v="Axis"/>
    <s v="Failed"/>
    <x v="4"/>
    <m/>
    <m/>
    <m/>
  </r>
  <r>
    <x v="261"/>
    <d v="2025-03-12T10:21:00"/>
    <n v="5864.85"/>
    <s v="Credit Card"/>
    <s v="HDFC"/>
    <s v="Success"/>
    <x v="0"/>
    <m/>
    <m/>
    <m/>
  </r>
  <r>
    <x v="262"/>
    <d v="2025-01-20T06:41:00"/>
    <n v="8274.15"/>
    <s v="Debit Card"/>
    <s v="Axis"/>
    <s v="Success"/>
    <x v="0"/>
    <m/>
    <m/>
    <m/>
  </r>
  <r>
    <x v="263"/>
    <d v="2025-03-24T16:24:00"/>
    <n v="1758.43"/>
    <s v="Debit Card"/>
    <s v="Axis"/>
    <s v="Success"/>
    <x v="0"/>
    <m/>
    <m/>
    <m/>
  </r>
  <r>
    <x v="264"/>
    <d v="2025-03-16T16:58:00"/>
    <n v="2084.02"/>
    <s v="Net Banking"/>
    <s v="Kotak"/>
    <s v="Success"/>
    <x v="0"/>
    <m/>
    <m/>
    <m/>
  </r>
  <r>
    <x v="265"/>
    <d v="2025-03-17T00:00:00"/>
    <n v="8966.83"/>
    <s v="Credit Card"/>
    <s v="Yes Bank"/>
    <s v="Success"/>
    <x v="0"/>
    <m/>
    <m/>
    <m/>
  </r>
  <r>
    <x v="266"/>
    <d v="2025-03-06T05:00:00"/>
    <n v="3092.14"/>
    <s v="UPI"/>
    <s v="PNB"/>
    <s v="Success"/>
    <x v="0"/>
    <m/>
    <m/>
    <m/>
  </r>
  <r>
    <x v="267"/>
    <d v="2025-03-28T13:51:00"/>
    <n v="8085.33"/>
    <s v="UPI"/>
    <s v="Yes Bank"/>
    <s v="Failed"/>
    <x v="5"/>
    <m/>
    <m/>
    <m/>
  </r>
  <r>
    <x v="268"/>
    <d v="2025-01-22T00:48:00"/>
    <n v="4515.05"/>
    <s v="Debit Card"/>
    <s v="SBI"/>
    <s v="Success"/>
    <x v="0"/>
    <m/>
    <m/>
    <m/>
  </r>
  <r>
    <x v="269"/>
    <d v="2025-02-11T17:51:00"/>
    <n v="7377.08"/>
    <s v="UPI"/>
    <s v="HDFC"/>
    <s v="Success"/>
    <x v="0"/>
    <m/>
    <m/>
    <m/>
  </r>
  <r>
    <x v="270"/>
    <d v="2025-03-13T21:06:00"/>
    <n v="4661.3900000000003"/>
    <s v="Debit Card"/>
    <s v="HDFC"/>
    <s v="Failed"/>
    <x v="3"/>
    <m/>
    <m/>
    <m/>
  </r>
  <r>
    <x v="271"/>
    <d v="2025-02-01T23:37:00"/>
    <n v="7679.09"/>
    <s v="Net Banking"/>
    <s v="HDFC"/>
    <s v="Success"/>
    <x v="0"/>
    <m/>
    <m/>
    <m/>
  </r>
  <r>
    <x v="272"/>
    <d v="2025-03-01T06:43:00"/>
    <n v="532.19000000000005"/>
    <s v="Net Banking"/>
    <s v="Axis"/>
    <s v="Success"/>
    <x v="0"/>
    <m/>
    <m/>
    <m/>
  </r>
  <r>
    <x v="273"/>
    <d v="2025-03-20T18:05:00"/>
    <n v="5982.65"/>
    <s v="Debit Card"/>
    <s v="Axis"/>
    <s v="Success"/>
    <x v="0"/>
    <m/>
    <m/>
    <m/>
  </r>
  <r>
    <x v="274"/>
    <d v="2025-01-28T09:19:00"/>
    <n v="9938.4599999999991"/>
    <s v="Wallet"/>
    <s v="Axis"/>
    <s v="Success"/>
    <x v="0"/>
    <m/>
    <m/>
    <m/>
  </r>
  <r>
    <x v="275"/>
    <d v="2025-03-08T17:47:00"/>
    <n v="7601.85"/>
    <s v="Debit Card"/>
    <s v="SBI"/>
    <s v="Success"/>
    <x v="0"/>
    <m/>
    <m/>
    <m/>
  </r>
  <r>
    <x v="276"/>
    <d v="2025-02-24T20:09:00"/>
    <n v="5148.58"/>
    <s v="Wallet"/>
    <s v="PNB"/>
    <s v="Failed"/>
    <x v="6"/>
    <m/>
    <m/>
    <m/>
  </r>
  <r>
    <x v="277"/>
    <d v="2025-01-31T22:38:00"/>
    <n v="6524.57"/>
    <s v="UPI"/>
    <s v="HDFC"/>
    <s v="Success"/>
    <x v="0"/>
    <m/>
    <m/>
    <m/>
  </r>
  <r>
    <x v="278"/>
    <d v="2025-02-09T21:18:00"/>
    <n v="3492.32"/>
    <s v="UPI"/>
    <s v="ICICI"/>
    <s v="Success"/>
    <x v="0"/>
    <m/>
    <m/>
    <m/>
  </r>
  <r>
    <x v="279"/>
    <d v="2025-02-27T08:24:00"/>
    <n v="4717.88"/>
    <s v="Credit Card"/>
    <s v="Yes Bank"/>
    <s v="Success"/>
    <x v="0"/>
    <m/>
    <m/>
    <m/>
  </r>
  <r>
    <x v="280"/>
    <d v="2025-03-06T07:19:00"/>
    <n v="8891.5300000000007"/>
    <s v="Credit Card"/>
    <s v="Kotak"/>
    <s v="Success"/>
    <x v="0"/>
    <m/>
    <m/>
    <m/>
  </r>
  <r>
    <x v="281"/>
    <d v="2025-01-08T04:37:00"/>
    <n v="6683.57"/>
    <s v="UPI"/>
    <s v="Axis"/>
    <s v="Failed"/>
    <x v="1"/>
    <m/>
    <m/>
    <m/>
  </r>
  <r>
    <x v="282"/>
    <d v="2025-02-24T00:13:00"/>
    <n v="9962.07"/>
    <s v="Debit Card"/>
    <s v="SBI"/>
    <s v="Success"/>
    <x v="0"/>
    <m/>
    <m/>
    <m/>
  </r>
  <r>
    <x v="283"/>
    <d v="2025-01-18T05:01:00"/>
    <n v="2189.2399999999998"/>
    <s v="Wallet"/>
    <s v="Kotak"/>
    <s v="Success"/>
    <x v="0"/>
    <m/>
    <m/>
    <m/>
  </r>
  <r>
    <x v="284"/>
    <d v="2025-01-04T06:45:00"/>
    <n v="6654.78"/>
    <s v="Wallet"/>
    <s v="HDFC"/>
    <s v="Success"/>
    <x v="0"/>
    <m/>
    <m/>
    <m/>
  </r>
  <r>
    <x v="285"/>
    <d v="2025-03-22T21:25:00"/>
    <n v="2674.44"/>
    <s v="Net Banking"/>
    <s v="Kotak"/>
    <s v="Success"/>
    <x v="0"/>
    <m/>
    <m/>
    <m/>
  </r>
  <r>
    <x v="286"/>
    <d v="2025-01-19T01:03:00"/>
    <n v="5758.6"/>
    <s v="UPI"/>
    <s v="SBI"/>
    <s v="Success"/>
    <x v="0"/>
    <m/>
    <m/>
    <m/>
  </r>
  <r>
    <x v="287"/>
    <d v="2025-01-02T20:30:00"/>
    <n v="6020.64"/>
    <s v="UPI"/>
    <s v="Kotak"/>
    <s v="Failed"/>
    <x v="3"/>
    <m/>
    <m/>
    <m/>
  </r>
  <r>
    <x v="288"/>
    <d v="2025-03-15T05:54:00"/>
    <n v="9437.7999999999993"/>
    <s v="UPI"/>
    <s v="HDFC"/>
    <s v="Success"/>
    <x v="0"/>
    <m/>
    <m/>
    <m/>
  </r>
  <r>
    <x v="289"/>
    <d v="2025-01-17T22:30:00"/>
    <n v="8461.2000000000007"/>
    <s v="Debit Card"/>
    <s v="SBI"/>
    <s v="Success"/>
    <x v="0"/>
    <m/>
    <m/>
    <m/>
  </r>
  <r>
    <x v="290"/>
    <d v="2025-01-18T14:17:00"/>
    <n v="3826.34"/>
    <s v="Net Banking"/>
    <s v="SBI"/>
    <s v="Failed"/>
    <x v="5"/>
    <m/>
    <m/>
    <m/>
  </r>
  <r>
    <x v="291"/>
    <d v="2025-03-23T07:28:00"/>
    <n v="1346.4"/>
    <s v="UPI"/>
    <s v="SBI"/>
    <s v="Success"/>
    <x v="0"/>
    <m/>
    <m/>
    <m/>
  </r>
  <r>
    <x v="292"/>
    <d v="2025-03-18T07:17:00"/>
    <n v="5643.35"/>
    <s v="Debit Card"/>
    <s v="Axis"/>
    <s v="Success"/>
    <x v="0"/>
    <m/>
    <m/>
    <m/>
  </r>
  <r>
    <x v="293"/>
    <d v="2025-03-23T05:26:00"/>
    <n v="2322.5500000000002"/>
    <s v="Net Banking"/>
    <s v="PNB"/>
    <s v="Success"/>
    <x v="0"/>
    <m/>
    <m/>
    <m/>
  </r>
  <r>
    <x v="294"/>
    <d v="2025-03-01T01:06:00"/>
    <n v="5632.72"/>
    <s v="Net Banking"/>
    <s v="PNB"/>
    <s v="Success"/>
    <x v="0"/>
    <m/>
    <m/>
    <m/>
  </r>
  <r>
    <x v="295"/>
    <d v="2025-01-21T03:44:00"/>
    <n v="1896.82"/>
    <s v="Credit Card"/>
    <s v="HDFC"/>
    <s v="Success"/>
    <x v="0"/>
    <m/>
    <m/>
    <m/>
  </r>
  <r>
    <x v="296"/>
    <d v="2025-02-23T20:31:00"/>
    <n v="3257.36"/>
    <s v="Credit Card"/>
    <s v="PNB"/>
    <s v="Failed"/>
    <x v="6"/>
    <m/>
    <m/>
    <m/>
  </r>
  <r>
    <x v="297"/>
    <d v="2025-01-03T06:10:00"/>
    <n v="9387.26"/>
    <s v="Wallet"/>
    <s v="Kotak"/>
    <s v="Failed"/>
    <x v="1"/>
    <m/>
    <m/>
    <m/>
  </r>
  <r>
    <x v="298"/>
    <d v="2025-02-01T02:26:00"/>
    <n v="3314.82"/>
    <s v="Debit Card"/>
    <s v="Yes Bank"/>
    <s v="Success"/>
    <x v="0"/>
    <m/>
    <m/>
    <m/>
  </r>
  <r>
    <x v="299"/>
    <d v="2025-03-04T00:24:00"/>
    <n v="4634.3100000000004"/>
    <s v="Credit Card"/>
    <s v="PNB"/>
    <s v="Failed"/>
    <x v="2"/>
    <m/>
    <m/>
    <m/>
  </r>
  <r>
    <x v="300"/>
    <d v="2025-03-16T17:31:00"/>
    <n v="7957.46"/>
    <s v="Net Banking"/>
    <s v="Kotak"/>
    <s v="Success"/>
    <x v="0"/>
    <m/>
    <m/>
    <m/>
  </r>
  <r>
    <x v="301"/>
    <d v="2025-02-25T11:48:00"/>
    <n v="5392.26"/>
    <s v="Debit Card"/>
    <s v="PNB"/>
    <s v="Failed"/>
    <x v="3"/>
    <m/>
    <m/>
    <m/>
  </r>
  <r>
    <x v="302"/>
    <d v="2025-03-12T04:56:00"/>
    <n v="8941.9699999999993"/>
    <s v="Credit Card"/>
    <s v="Axis"/>
    <s v="Success"/>
    <x v="0"/>
    <m/>
    <m/>
    <m/>
  </r>
  <r>
    <x v="303"/>
    <d v="2025-03-07T13:41:00"/>
    <n v="7187.86"/>
    <s v="Credit Card"/>
    <s v="Axis"/>
    <s v="Success"/>
    <x v="0"/>
    <m/>
    <m/>
    <m/>
  </r>
  <r>
    <x v="304"/>
    <d v="2025-01-19T22:19:00"/>
    <n v="8190.09"/>
    <s v="UPI"/>
    <s v="PNB"/>
    <s v="Success"/>
    <x v="0"/>
    <m/>
    <m/>
    <m/>
  </r>
  <r>
    <x v="305"/>
    <d v="2025-03-10T22:03:00"/>
    <n v="6642.96"/>
    <s v="Credit Card"/>
    <s v="Kotak"/>
    <s v="Success"/>
    <x v="0"/>
    <m/>
    <m/>
    <m/>
  </r>
  <r>
    <x v="306"/>
    <d v="2025-02-18T18:14:00"/>
    <n v="6013.78"/>
    <s v="Net Banking"/>
    <s v="SBI"/>
    <s v="Success"/>
    <x v="0"/>
    <m/>
    <m/>
    <m/>
  </r>
  <r>
    <x v="307"/>
    <d v="2025-01-05T08:16:00"/>
    <n v="1625.26"/>
    <s v="Net Banking"/>
    <s v="ICICI"/>
    <s v="Success"/>
    <x v="0"/>
    <m/>
    <m/>
    <m/>
  </r>
  <r>
    <x v="308"/>
    <d v="2025-02-12T11:52:00"/>
    <n v="661.15"/>
    <s v="Debit Card"/>
    <s v="Axis"/>
    <s v="Failed"/>
    <x v="5"/>
    <m/>
    <m/>
    <m/>
  </r>
  <r>
    <x v="309"/>
    <d v="2025-03-03T12:21:00"/>
    <n v="1008.81"/>
    <s v="Wallet"/>
    <s v="Axis"/>
    <s v="Success"/>
    <x v="0"/>
    <m/>
    <m/>
    <m/>
  </r>
  <r>
    <x v="310"/>
    <d v="2025-03-08T15:51:00"/>
    <n v="527.96"/>
    <s v="Net Banking"/>
    <s v="Kotak"/>
    <s v="Failed"/>
    <x v="2"/>
    <m/>
    <m/>
    <m/>
  </r>
  <r>
    <x v="311"/>
    <d v="2025-01-31T12:29:00"/>
    <n v="7996.94"/>
    <s v="Wallet"/>
    <s v="HDFC"/>
    <s v="Failed"/>
    <x v="3"/>
    <m/>
    <m/>
    <m/>
  </r>
  <r>
    <x v="312"/>
    <d v="2025-02-06T18:22:00"/>
    <n v="7422.04"/>
    <s v="UPI"/>
    <s v="Kotak"/>
    <s v="Failed"/>
    <x v="5"/>
    <m/>
    <m/>
    <m/>
  </r>
  <r>
    <x v="313"/>
    <d v="2025-03-26T11:27:00"/>
    <n v="3436.37"/>
    <s v="Wallet"/>
    <s v="Yes Bank"/>
    <s v="Success"/>
    <x v="0"/>
    <m/>
    <m/>
    <m/>
  </r>
  <r>
    <x v="314"/>
    <d v="2025-02-04T07:02:00"/>
    <n v="1896.78"/>
    <s v="Net Banking"/>
    <s v="PNB"/>
    <s v="Failed"/>
    <x v="6"/>
    <m/>
    <m/>
    <m/>
  </r>
  <r>
    <x v="315"/>
    <d v="2025-02-27T17:15:00"/>
    <n v="1937.49"/>
    <s v="Net Banking"/>
    <s v="PNB"/>
    <s v="Failed"/>
    <x v="3"/>
    <m/>
    <m/>
    <m/>
  </r>
  <r>
    <x v="316"/>
    <d v="2025-02-22T04:30:00"/>
    <n v="5649.74"/>
    <s v="Wallet"/>
    <s v="PNB"/>
    <s v="Success"/>
    <x v="0"/>
    <m/>
    <m/>
    <m/>
  </r>
  <r>
    <x v="317"/>
    <d v="2025-02-15T14:15:00"/>
    <n v="2258.7800000000002"/>
    <s v="Credit Card"/>
    <s v="SBI"/>
    <s v="Success"/>
    <x v="0"/>
    <m/>
    <m/>
    <m/>
  </r>
  <r>
    <x v="318"/>
    <d v="2025-01-16T08:25:00"/>
    <n v="9853.5"/>
    <s v="Credit Card"/>
    <s v="HDFC"/>
    <s v="Success"/>
    <x v="0"/>
    <m/>
    <m/>
    <m/>
  </r>
  <r>
    <x v="319"/>
    <d v="2025-02-11T22:24:00"/>
    <n v="5641.16"/>
    <s v="Credit Card"/>
    <s v="HDFC"/>
    <s v="Success"/>
    <x v="0"/>
    <m/>
    <m/>
    <m/>
  </r>
  <r>
    <x v="320"/>
    <d v="2025-02-09T11:59:00"/>
    <n v="4841.03"/>
    <s v="Debit Card"/>
    <s v="HDFC"/>
    <s v="Success"/>
    <x v="0"/>
    <m/>
    <m/>
    <m/>
  </r>
  <r>
    <x v="321"/>
    <d v="2025-02-28T12:04:00"/>
    <n v="7826.21"/>
    <s v="Net Banking"/>
    <s v="SBI"/>
    <s v="Success"/>
    <x v="0"/>
    <m/>
    <m/>
    <m/>
  </r>
  <r>
    <x v="322"/>
    <d v="2025-02-28T14:58:00"/>
    <n v="8624.5400000000009"/>
    <s v="Debit Card"/>
    <s v="Axis"/>
    <s v="Success"/>
    <x v="0"/>
    <m/>
    <m/>
    <m/>
  </r>
  <r>
    <x v="323"/>
    <d v="2025-01-14T19:16:00"/>
    <n v="8502.3700000000008"/>
    <s v="Debit Card"/>
    <s v="Kotak"/>
    <s v="Success"/>
    <x v="0"/>
    <m/>
    <m/>
    <m/>
  </r>
  <r>
    <x v="324"/>
    <d v="2025-01-27T18:22:00"/>
    <n v="1338.77"/>
    <s v="Wallet"/>
    <s v="Axis"/>
    <s v="Success"/>
    <x v="0"/>
    <m/>
    <m/>
    <m/>
  </r>
  <r>
    <x v="325"/>
    <d v="2025-01-30T15:05:00"/>
    <n v="8255.51"/>
    <s v="Debit Card"/>
    <s v="Axis"/>
    <s v="Failed"/>
    <x v="1"/>
    <m/>
    <m/>
    <m/>
  </r>
  <r>
    <x v="326"/>
    <d v="2025-01-28T03:51:00"/>
    <n v="4689.32"/>
    <s v="UPI"/>
    <s v="PNB"/>
    <s v="Success"/>
    <x v="0"/>
    <m/>
    <m/>
    <m/>
  </r>
  <r>
    <x v="327"/>
    <d v="2025-03-05T05:36:00"/>
    <n v="5511.54"/>
    <s v="Credit Card"/>
    <s v="ICICI"/>
    <s v="Success"/>
    <x v="0"/>
    <m/>
    <m/>
    <m/>
  </r>
  <r>
    <x v="328"/>
    <d v="2025-01-23T08:21:00"/>
    <n v="9912.58"/>
    <s v="Credit Card"/>
    <s v="Axis"/>
    <s v="Success"/>
    <x v="0"/>
    <m/>
    <m/>
    <m/>
  </r>
  <r>
    <x v="329"/>
    <d v="2025-01-13T16:27:00"/>
    <n v="1724.8"/>
    <s v="UPI"/>
    <s v="Yes Bank"/>
    <s v="Success"/>
    <x v="0"/>
    <m/>
    <m/>
    <m/>
  </r>
  <r>
    <x v="330"/>
    <d v="2025-02-11T22:00:00"/>
    <n v="4048.48"/>
    <s v="Wallet"/>
    <s v="Kotak"/>
    <s v="Success"/>
    <x v="0"/>
    <m/>
    <m/>
    <m/>
  </r>
  <r>
    <x v="331"/>
    <d v="2025-01-27T13:11:00"/>
    <n v="5784.55"/>
    <s v="Debit Card"/>
    <s v="Axis"/>
    <s v="Failed"/>
    <x v="5"/>
    <m/>
    <m/>
    <m/>
  </r>
  <r>
    <x v="332"/>
    <d v="2025-01-11T09:44:00"/>
    <n v="5025.67"/>
    <s v="Debit Card"/>
    <s v="PNB"/>
    <s v="Success"/>
    <x v="0"/>
    <m/>
    <m/>
    <m/>
  </r>
  <r>
    <x v="333"/>
    <d v="2025-01-20T17:00:00"/>
    <n v="6594.2"/>
    <s v="Wallet"/>
    <s v="Yes Bank"/>
    <s v="Success"/>
    <x v="0"/>
    <m/>
    <m/>
    <m/>
  </r>
  <r>
    <x v="334"/>
    <d v="2025-03-27T21:18:00"/>
    <n v="1086.32"/>
    <s v="Wallet"/>
    <s v="Axis"/>
    <s v="Success"/>
    <x v="0"/>
    <m/>
    <m/>
    <m/>
  </r>
  <r>
    <x v="335"/>
    <d v="2025-01-03T07:06:00"/>
    <n v="3953.72"/>
    <s v="Credit Card"/>
    <s v="ICICI"/>
    <s v="Failed"/>
    <x v="6"/>
    <m/>
    <m/>
    <m/>
  </r>
  <r>
    <x v="336"/>
    <d v="2025-02-27T17:23:00"/>
    <n v="5240.03"/>
    <s v="Credit Card"/>
    <s v="Axis"/>
    <s v="Failed"/>
    <x v="4"/>
    <m/>
    <m/>
    <m/>
  </r>
  <r>
    <x v="337"/>
    <d v="2025-02-02T15:03:00"/>
    <n v="6810.47"/>
    <s v="UPI"/>
    <s v="Kotak"/>
    <s v="Success"/>
    <x v="0"/>
    <m/>
    <m/>
    <m/>
  </r>
  <r>
    <x v="338"/>
    <d v="2025-02-18T04:26:00"/>
    <n v="9474.51"/>
    <s v="UPI"/>
    <s v="Axis"/>
    <s v="Failed"/>
    <x v="6"/>
    <m/>
    <m/>
    <m/>
  </r>
  <r>
    <x v="339"/>
    <d v="2025-02-07T13:18:00"/>
    <n v="2155.04"/>
    <s v="Debit Card"/>
    <s v="ICICI"/>
    <s v="Success"/>
    <x v="0"/>
    <m/>
    <m/>
    <m/>
  </r>
  <r>
    <x v="340"/>
    <d v="2025-03-17T11:40:00"/>
    <n v="7056.09"/>
    <s v="Wallet"/>
    <s v="HDFC"/>
    <s v="Success"/>
    <x v="0"/>
    <m/>
    <m/>
    <m/>
  </r>
  <r>
    <x v="341"/>
    <d v="2025-01-15T16:19:00"/>
    <n v="120.58"/>
    <s v="Wallet"/>
    <s v="Kotak"/>
    <s v="Success"/>
    <x v="0"/>
    <m/>
    <m/>
    <m/>
  </r>
  <r>
    <x v="342"/>
    <d v="2025-02-04T07:43:00"/>
    <n v="7625.5"/>
    <s v="Debit Card"/>
    <s v="PNB"/>
    <s v="Failed"/>
    <x v="1"/>
    <m/>
    <m/>
    <m/>
  </r>
  <r>
    <x v="343"/>
    <d v="2025-03-24T13:18:00"/>
    <n v="4034.24"/>
    <s v="Debit Card"/>
    <s v="Axis"/>
    <s v="Success"/>
    <x v="0"/>
    <m/>
    <m/>
    <m/>
  </r>
  <r>
    <x v="344"/>
    <d v="2025-01-16T16:23:00"/>
    <n v="6693.99"/>
    <s v="Wallet"/>
    <s v="HDFC"/>
    <s v="Failed"/>
    <x v="5"/>
    <m/>
    <m/>
    <m/>
  </r>
  <r>
    <x v="345"/>
    <d v="2025-01-01T23:13:00"/>
    <n v="3014.81"/>
    <s v="Wallet"/>
    <s v="ICICI"/>
    <s v="Success"/>
    <x v="0"/>
    <m/>
    <m/>
    <m/>
  </r>
  <r>
    <x v="346"/>
    <d v="2025-01-13T04:04:00"/>
    <n v="5695.66"/>
    <s v="UPI"/>
    <s v="PNB"/>
    <s v="Success"/>
    <x v="0"/>
    <m/>
    <m/>
    <m/>
  </r>
  <r>
    <x v="347"/>
    <d v="2025-03-20T10:09:00"/>
    <n v="5582.73"/>
    <s v="UPI"/>
    <s v="Yes Bank"/>
    <s v="Success"/>
    <x v="0"/>
    <m/>
    <m/>
    <m/>
  </r>
  <r>
    <x v="348"/>
    <d v="2025-02-09T14:46:00"/>
    <n v="6188.93"/>
    <s v="Net Banking"/>
    <s v="Kotak"/>
    <s v="Success"/>
    <x v="0"/>
    <m/>
    <m/>
    <m/>
  </r>
  <r>
    <x v="349"/>
    <d v="2025-01-26T03:48:00"/>
    <n v="6652.2"/>
    <s v="Debit Card"/>
    <s v="PNB"/>
    <s v="Success"/>
    <x v="0"/>
    <m/>
    <m/>
    <m/>
  </r>
  <r>
    <x v="350"/>
    <d v="2025-03-11T01:00:00"/>
    <n v="9326.4599999999991"/>
    <s v="Credit Card"/>
    <s v="HDFC"/>
    <s v="Success"/>
    <x v="0"/>
    <m/>
    <m/>
    <m/>
  </r>
  <r>
    <x v="351"/>
    <d v="2025-03-27T10:42:00"/>
    <n v="1894.01"/>
    <s v="Credit Card"/>
    <s v="PNB"/>
    <s v="Failed"/>
    <x v="3"/>
    <m/>
    <m/>
    <m/>
  </r>
  <r>
    <x v="352"/>
    <d v="2025-01-19T06:58:00"/>
    <n v="2344.61"/>
    <s v="Wallet"/>
    <s v="Kotak"/>
    <s v="Success"/>
    <x v="0"/>
    <m/>
    <m/>
    <m/>
  </r>
  <r>
    <x v="353"/>
    <d v="2025-01-30T00:44:00"/>
    <n v="2987.85"/>
    <s v="Debit Card"/>
    <s v="HDFC"/>
    <s v="Success"/>
    <x v="0"/>
    <m/>
    <m/>
    <m/>
  </r>
  <r>
    <x v="354"/>
    <d v="2025-03-27T09:51:00"/>
    <n v="5561.18"/>
    <s v="Debit Card"/>
    <s v="ICICI"/>
    <s v="Success"/>
    <x v="0"/>
    <m/>
    <m/>
    <m/>
  </r>
  <r>
    <x v="355"/>
    <d v="2025-03-30T12:16:00"/>
    <n v="7314.24"/>
    <s v="UPI"/>
    <s v="ICICI"/>
    <s v="Success"/>
    <x v="0"/>
    <m/>
    <m/>
    <m/>
  </r>
  <r>
    <x v="356"/>
    <d v="2025-03-31T17:36:00"/>
    <n v="9919.15"/>
    <s v="UPI"/>
    <s v="PNB"/>
    <s v="Success"/>
    <x v="0"/>
    <m/>
    <m/>
    <m/>
  </r>
  <r>
    <x v="357"/>
    <d v="2025-03-27T22:35:00"/>
    <n v="5700.83"/>
    <s v="Wallet"/>
    <s v="ICICI"/>
    <s v="Failed"/>
    <x v="2"/>
    <m/>
    <m/>
    <m/>
  </r>
  <r>
    <x v="358"/>
    <d v="2025-01-23T06:35:00"/>
    <n v="2305.38"/>
    <s v="UPI"/>
    <s v="Kotak"/>
    <s v="Failed"/>
    <x v="4"/>
    <m/>
    <m/>
    <m/>
  </r>
  <r>
    <x v="359"/>
    <d v="2025-01-09T07:46:00"/>
    <n v="766.5"/>
    <s v="Net Banking"/>
    <s v="Kotak"/>
    <s v="Failed"/>
    <x v="4"/>
    <m/>
    <m/>
    <m/>
  </r>
  <r>
    <x v="360"/>
    <d v="2025-03-14T19:55:00"/>
    <n v="6219.37"/>
    <s v="Credit Card"/>
    <s v="Axis"/>
    <s v="Success"/>
    <x v="0"/>
    <m/>
    <m/>
    <m/>
  </r>
  <r>
    <x v="361"/>
    <d v="2025-01-20T12:09:00"/>
    <n v="9398.58"/>
    <s v="Net Banking"/>
    <s v="ICICI"/>
    <s v="Success"/>
    <x v="0"/>
    <m/>
    <m/>
    <m/>
  </r>
  <r>
    <x v="362"/>
    <d v="2025-02-23T01:12:00"/>
    <n v="9726.2900000000009"/>
    <s v="Wallet"/>
    <s v="Axis"/>
    <s v="Failed"/>
    <x v="4"/>
    <m/>
    <m/>
    <m/>
  </r>
  <r>
    <x v="363"/>
    <d v="2025-02-21T18:37:00"/>
    <n v="3986.29"/>
    <s v="Wallet"/>
    <s v="PNB"/>
    <s v="Success"/>
    <x v="0"/>
    <m/>
    <m/>
    <m/>
  </r>
  <r>
    <x v="364"/>
    <d v="2025-01-02T07:43:00"/>
    <n v="6718.96"/>
    <s v="Debit Card"/>
    <s v="ICICI"/>
    <s v="Failed"/>
    <x v="2"/>
    <m/>
    <m/>
    <m/>
  </r>
  <r>
    <x v="365"/>
    <d v="2025-01-25T06:06:00"/>
    <n v="3698.76"/>
    <s v="Credit Card"/>
    <s v="HDFC"/>
    <s v="Success"/>
    <x v="0"/>
    <m/>
    <m/>
    <m/>
  </r>
  <r>
    <x v="366"/>
    <d v="2025-02-17T06:08:00"/>
    <n v="3851.46"/>
    <s v="Credit Card"/>
    <s v="HDFC"/>
    <s v="Success"/>
    <x v="0"/>
    <m/>
    <m/>
    <m/>
  </r>
  <r>
    <x v="367"/>
    <d v="2025-02-13T08:31:00"/>
    <n v="6343.06"/>
    <s v="Debit Card"/>
    <s v="ICICI"/>
    <s v="Success"/>
    <x v="0"/>
    <m/>
    <m/>
    <m/>
  </r>
  <r>
    <x v="368"/>
    <d v="2025-01-07T04:19:00"/>
    <n v="4293.71"/>
    <s v="Debit Card"/>
    <s v="HDFC"/>
    <s v="Success"/>
    <x v="0"/>
    <m/>
    <m/>
    <m/>
  </r>
  <r>
    <x v="369"/>
    <d v="2025-02-21T11:08:00"/>
    <n v="7113.5"/>
    <s v="Wallet"/>
    <s v="SBI"/>
    <s v="Success"/>
    <x v="0"/>
    <m/>
    <m/>
    <m/>
  </r>
  <r>
    <x v="370"/>
    <d v="2025-02-15T03:15:00"/>
    <n v="6403.14"/>
    <s v="UPI"/>
    <s v="SBI"/>
    <s v="Success"/>
    <x v="0"/>
    <m/>
    <m/>
    <m/>
  </r>
  <r>
    <x v="371"/>
    <d v="2025-03-29T15:26:00"/>
    <n v="8870.89"/>
    <s v="UPI"/>
    <s v="ICICI"/>
    <s v="Success"/>
    <x v="0"/>
    <m/>
    <m/>
    <m/>
  </r>
  <r>
    <x v="372"/>
    <d v="2025-02-16T16:02:00"/>
    <n v="4229.1000000000004"/>
    <s v="Wallet"/>
    <s v="Yes Bank"/>
    <s v="Success"/>
    <x v="0"/>
    <m/>
    <m/>
    <m/>
  </r>
  <r>
    <x v="373"/>
    <d v="2025-01-31T06:34:00"/>
    <n v="1488.42"/>
    <s v="Debit Card"/>
    <s v="ICICI"/>
    <s v="Failed"/>
    <x v="1"/>
    <m/>
    <m/>
    <m/>
  </r>
  <r>
    <x v="374"/>
    <d v="2025-02-13T20:37:00"/>
    <n v="1962.05"/>
    <s v="Net Banking"/>
    <s v="Axis"/>
    <s v="Success"/>
    <x v="0"/>
    <m/>
    <m/>
    <m/>
  </r>
  <r>
    <x v="375"/>
    <d v="2025-02-08T14:51:00"/>
    <n v="5429.8"/>
    <s v="Net Banking"/>
    <s v="Axis"/>
    <s v="Success"/>
    <x v="0"/>
    <m/>
    <m/>
    <m/>
  </r>
  <r>
    <x v="376"/>
    <d v="2025-02-28T11:37:00"/>
    <n v="3027.04"/>
    <s v="UPI"/>
    <s v="PNB"/>
    <s v="Success"/>
    <x v="0"/>
    <m/>
    <m/>
    <m/>
  </r>
  <r>
    <x v="377"/>
    <d v="2025-02-12T11:22:00"/>
    <n v="1919.69"/>
    <s v="UPI"/>
    <s v="PNB"/>
    <s v="Success"/>
    <x v="0"/>
    <m/>
    <m/>
    <m/>
  </r>
  <r>
    <x v="378"/>
    <d v="2025-03-06T17:40:00"/>
    <n v="8769.2800000000007"/>
    <s v="Credit Card"/>
    <s v="Yes Bank"/>
    <s v="Success"/>
    <x v="0"/>
    <m/>
    <m/>
    <m/>
  </r>
  <r>
    <x v="379"/>
    <d v="2025-02-14T15:48:00"/>
    <n v="7794.63"/>
    <s v="Wallet"/>
    <s v="Yes Bank"/>
    <s v="Success"/>
    <x v="0"/>
    <m/>
    <m/>
    <m/>
  </r>
  <r>
    <x v="380"/>
    <d v="2025-02-02T01:20:00"/>
    <n v="1835.55"/>
    <s v="UPI"/>
    <s v="SBI"/>
    <s v="Success"/>
    <x v="0"/>
    <m/>
    <m/>
    <m/>
  </r>
  <r>
    <x v="381"/>
    <d v="2025-01-08T14:14:00"/>
    <n v="4536.57"/>
    <s v="UPI"/>
    <s v="Axis"/>
    <s v="Success"/>
    <x v="0"/>
    <m/>
    <m/>
    <m/>
  </r>
  <r>
    <x v="382"/>
    <d v="2025-03-21T22:08:00"/>
    <n v="5183.8100000000004"/>
    <s v="Debit Card"/>
    <s v="SBI"/>
    <s v="Success"/>
    <x v="0"/>
    <m/>
    <m/>
    <m/>
  </r>
  <r>
    <x v="383"/>
    <d v="2025-01-22T18:11:00"/>
    <n v="5596.39"/>
    <s v="Net Banking"/>
    <s v="Yes Bank"/>
    <s v="Success"/>
    <x v="0"/>
    <m/>
    <m/>
    <m/>
  </r>
  <r>
    <x v="384"/>
    <d v="2025-01-02T05:15:00"/>
    <n v="8274.89"/>
    <s v="Debit Card"/>
    <s v="Kotak"/>
    <s v="Success"/>
    <x v="0"/>
    <m/>
    <m/>
    <m/>
  </r>
  <r>
    <x v="385"/>
    <d v="2025-01-25T18:55:00"/>
    <n v="3120.95"/>
    <s v="Credit Card"/>
    <s v="Axis"/>
    <s v="Success"/>
    <x v="0"/>
    <m/>
    <m/>
    <m/>
  </r>
  <r>
    <x v="386"/>
    <d v="2025-02-15T03:55:00"/>
    <n v="9541.09"/>
    <s v="Net Banking"/>
    <s v="HDFC"/>
    <s v="Success"/>
    <x v="0"/>
    <m/>
    <m/>
    <m/>
  </r>
  <r>
    <x v="387"/>
    <d v="2025-01-15T06:38:00"/>
    <n v="7631.86"/>
    <s v="Wallet"/>
    <s v="Kotak"/>
    <s v="Success"/>
    <x v="0"/>
    <m/>
    <m/>
    <m/>
  </r>
  <r>
    <x v="388"/>
    <d v="2025-01-09T01:03:00"/>
    <n v="9009.02"/>
    <s v="UPI"/>
    <s v="Axis"/>
    <s v="Success"/>
    <x v="0"/>
    <m/>
    <m/>
    <m/>
  </r>
  <r>
    <x v="389"/>
    <d v="2025-03-30T04:49:00"/>
    <n v="9749.19"/>
    <s v="Net Banking"/>
    <s v="Axis"/>
    <s v="Success"/>
    <x v="0"/>
    <m/>
    <m/>
    <m/>
  </r>
  <r>
    <x v="390"/>
    <d v="2025-03-09T17:02:00"/>
    <n v="5934.1"/>
    <s v="Credit Card"/>
    <s v="PNB"/>
    <s v="Success"/>
    <x v="0"/>
    <m/>
    <m/>
    <m/>
  </r>
  <r>
    <x v="391"/>
    <d v="2025-03-01T01:17:00"/>
    <n v="355.99"/>
    <s v="UPI"/>
    <s v="Axis"/>
    <s v="Success"/>
    <x v="0"/>
    <m/>
    <m/>
    <m/>
  </r>
  <r>
    <x v="392"/>
    <d v="2025-02-22T16:59:00"/>
    <n v="1667.08"/>
    <s v="Debit Card"/>
    <s v="Yes Bank"/>
    <s v="Success"/>
    <x v="0"/>
    <m/>
    <m/>
    <m/>
  </r>
  <r>
    <x v="393"/>
    <d v="2025-01-16T12:56:00"/>
    <n v="7819.44"/>
    <s v="Net Banking"/>
    <s v="ICICI"/>
    <s v="Success"/>
    <x v="0"/>
    <m/>
    <m/>
    <m/>
  </r>
  <r>
    <x v="394"/>
    <d v="2025-03-15T05:26:00"/>
    <n v="5757.16"/>
    <s v="Net Banking"/>
    <s v="PNB"/>
    <s v="Failed"/>
    <x v="5"/>
    <m/>
    <m/>
    <m/>
  </r>
  <r>
    <x v="395"/>
    <d v="2025-01-02T19:42:00"/>
    <n v="9706.74"/>
    <s v="Wallet"/>
    <s v="SBI"/>
    <s v="Success"/>
    <x v="0"/>
    <m/>
    <m/>
    <m/>
  </r>
  <r>
    <x v="396"/>
    <d v="2025-01-02T16:41:00"/>
    <n v="3844.09"/>
    <s v="Credit Card"/>
    <s v="ICICI"/>
    <s v="Success"/>
    <x v="0"/>
    <m/>
    <m/>
    <m/>
  </r>
  <r>
    <x v="397"/>
    <d v="2025-02-18T13:02:00"/>
    <n v="9361.8700000000008"/>
    <s v="Wallet"/>
    <s v="SBI"/>
    <s v="Failed"/>
    <x v="6"/>
    <m/>
    <m/>
    <m/>
  </r>
  <r>
    <x v="398"/>
    <d v="2025-01-17T17:12:00"/>
    <n v="1138.49"/>
    <s v="Wallet"/>
    <s v="SBI"/>
    <s v="Success"/>
    <x v="0"/>
    <m/>
    <m/>
    <m/>
  </r>
  <r>
    <x v="399"/>
    <d v="2025-02-27T08:17:00"/>
    <n v="1070.97"/>
    <s v="Net Banking"/>
    <s v="Axis"/>
    <s v="Success"/>
    <x v="0"/>
    <m/>
    <m/>
    <m/>
  </r>
  <r>
    <x v="400"/>
    <d v="2025-02-27T00:33:00"/>
    <n v="7781.99"/>
    <s v="UPI"/>
    <s v="Axis"/>
    <s v="Success"/>
    <x v="0"/>
    <m/>
    <m/>
    <m/>
  </r>
  <r>
    <x v="401"/>
    <d v="2025-03-14T05:18:00"/>
    <n v="6599.22"/>
    <s v="Wallet"/>
    <s v="Axis"/>
    <s v="Success"/>
    <x v="0"/>
    <m/>
    <m/>
    <m/>
  </r>
  <r>
    <x v="402"/>
    <d v="2025-01-02T05:20:00"/>
    <n v="7557.95"/>
    <s v="Wallet"/>
    <s v="Yes Bank"/>
    <s v="Success"/>
    <x v="0"/>
    <m/>
    <m/>
    <m/>
  </r>
  <r>
    <x v="403"/>
    <d v="2025-03-09T05:38:00"/>
    <n v="8327.4699999999993"/>
    <s v="UPI"/>
    <s v="Kotak"/>
    <s v="Failed"/>
    <x v="2"/>
    <m/>
    <m/>
    <m/>
  </r>
  <r>
    <x v="404"/>
    <d v="2025-02-06T03:09:00"/>
    <n v="188.9"/>
    <s v="UPI"/>
    <s v="ICICI"/>
    <s v="Success"/>
    <x v="0"/>
    <m/>
    <m/>
    <m/>
  </r>
  <r>
    <x v="405"/>
    <d v="2025-02-27T16:13:00"/>
    <n v="1213.3499999999999"/>
    <s v="UPI"/>
    <s v="HDFC"/>
    <s v="Success"/>
    <x v="0"/>
    <m/>
    <m/>
    <m/>
  </r>
  <r>
    <x v="406"/>
    <d v="2025-03-29T11:05:00"/>
    <n v="3627.39"/>
    <s v="Credit Card"/>
    <s v="Yes Bank"/>
    <s v="Success"/>
    <x v="0"/>
    <m/>
    <m/>
    <m/>
  </r>
  <r>
    <x v="407"/>
    <d v="2025-02-05T14:25:00"/>
    <n v="7246.23"/>
    <s v="Debit Card"/>
    <s v="PNB"/>
    <s v="Failed"/>
    <x v="2"/>
    <m/>
    <m/>
    <m/>
  </r>
  <r>
    <x v="408"/>
    <d v="2025-01-30T03:43:00"/>
    <n v="4063"/>
    <s v="Wallet"/>
    <s v="PNB"/>
    <s v="Success"/>
    <x v="0"/>
    <m/>
    <m/>
    <m/>
  </r>
  <r>
    <x v="409"/>
    <d v="2025-03-22T17:25:00"/>
    <n v="4173.01"/>
    <s v="Debit Card"/>
    <s v="Yes Bank"/>
    <s v="Success"/>
    <x v="0"/>
    <m/>
    <m/>
    <m/>
  </r>
  <r>
    <x v="410"/>
    <d v="2025-03-13T17:01:00"/>
    <n v="4759.38"/>
    <s v="Wallet"/>
    <s v="SBI"/>
    <s v="Success"/>
    <x v="0"/>
    <m/>
    <m/>
    <m/>
  </r>
  <r>
    <x v="411"/>
    <d v="2025-03-02T21:07:00"/>
    <n v="5408.24"/>
    <s v="Net Banking"/>
    <s v="PNB"/>
    <s v="Success"/>
    <x v="0"/>
    <m/>
    <m/>
    <m/>
  </r>
  <r>
    <x v="412"/>
    <d v="2025-01-21T04:30:00"/>
    <n v="6258.15"/>
    <s v="UPI"/>
    <s v="PNB"/>
    <s v="Success"/>
    <x v="0"/>
    <m/>
    <m/>
    <m/>
  </r>
  <r>
    <x v="413"/>
    <d v="2025-03-14T18:18:00"/>
    <n v="4503.26"/>
    <s v="Credit Card"/>
    <s v="SBI"/>
    <s v="Success"/>
    <x v="0"/>
    <m/>
    <m/>
    <m/>
  </r>
  <r>
    <x v="414"/>
    <d v="2025-02-22T01:56:00"/>
    <n v="3447.82"/>
    <s v="Debit Card"/>
    <s v="Yes Bank"/>
    <s v="Success"/>
    <x v="0"/>
    <m/>
    <m/>
    <m/>
  </r>
  <r>
    <x v="415"/>
    <d v="2025-01-19T03:15:00"/>
    <n v="8335.01"/>
    <s v="Wallet"/>
    <s v="ICICI"/>
    <s v="Success"/>
    <x v="0"/>
    <m/>
    <m/>
    <m/>
  </r>
  <r>
    <x v="416"/>
    <d v="2025-03-12T23:25:00"/>
    <n v="8870.16"/>
    <s v="Net Banking"/>
    <s v="PNB"/>
    <s v="Success"/>
    <x v="0"/>
    <m/>
    <m/>
    <m/>
  </r>
  <r>
    <x v="417"/>
    <d v="2025-01-02T07:31:00"/>
    <n v="7546.26"/>
    <s v="Debit Card"/>
    <s v="HDFC"/>
    <s v="Success"/>
    <x v="0"/>
    <m/>
    <m/>
    <m/>
  </r>
  <r>
    <x v="418"/>
    <d v="2025-02-10T03:54:00"/>
    <n v="2052.61"/>
    <s v="Debit Card"/>
    <s v="PNB"/>
    <s v="Success"/>
    <x v="0"/>
    <m/>
    <m/>
    <m/>
  </r>
  <r>
    <x v="419"/>
    <d v="2025-02-23T21:36:00"/>
    <n v="3916"/>
    <s v="Wallet"/>
    <s v="HDFC"/>
    <s v="Success"/>
    <x v="0"/>
    <m/>
    <m/>
    <m/>
  </r>
  <r>
    <x v="420"/>
    <d v="2025-02-16T19:04:00"/>
    <n v="5453.54"/>
    <s v="UPI"/>
    <s v="PNB"/>
    <s v="Failed"/>
    <x v="3"/>
    <m/>
    <m/>
    <m/>
  </r>
  <r>
    <x v="421"/>
    <d v="2025-02-06T15:50:00"/>
    <n v="7049.93"/>
    <s v="UPI"/>
    <s v="Kotak"/>
    <s v="Success"/>
    <x v="0"/>
    <m/>
    <m/>
    <m/>
  </r>
  <r>
    <x v="422"/>
    <d v="2025-01-04T03:22:00"/>
    <n v="3421.42"/>
    <s v="UPI"/>
    <s v="ICICI"/>
    <s v="Failed"/>
    <x v="4"/>
    <m/>
    <m/>
    <m/>
  </r>
  <r>
    <x v="423"/>
    <d v="2025-02-21T17:57:00"/>
    <n v="1722.4"/>
    <s v="Wallet"/>
    <s v="PNB"/>
    <s v="Success"/>
    <x v="0"/>
    <m/>
    <m/>
    <m/>
  </r>
  <r>
    <x v="424"/>
    <d v="2025-03-10T23:49:00"/>
    <n v="7027.59"/>
    <s v="Debit Card"/>
    <s v="SBI"/>
    <s v="Success"/>
    <x v="0"/>
    <m/>
    <m/>
    <m/>
  </r>
  <r>
    <x v="425"/>
    <d v="2025-02-24T14:21:00"/>
    <n v="358.59"/>
    <s v="Credit Card"/>
    <s v="SBI"/>
    <s v="Success"/>
    <x v="0"/>
    <m/>
    <m/>
    <m/>
  </r>
  <r>
    <x v="426"/>
    <d v="2025-01-16T17:05:00"/>
    <n v="4156.42"/>
    <s v="UPI"/>
    <s v="Kotak"/>
    <s v="Success"/>
    <x v="0"/>
    <m/>
    <m/>
    <m/>
  </r>
  <r>
    <x v="427"/>
    <d v="2025-01-11T10:17:00"/>
    <n v="7649.9"/>
    <s v="Wallet"/>
    <s v="Kotak"/>
    <s v="Failed"/>
    <x v="5"/>
    <m/>
    <m/>
    <m/>
  </r>
  <r>
    <x v="428"/>
    <d v="2025-03-31T23:47:00"/>
    <n v="9373.9699999999993"/>
    <s v="Credit Card"/>
    <s v="ICICI"/>
    <s v="Success"/>
    <x v="0"/>
    <m/>
    <m/>
    <m/>
  </r>
  <r>
    <x v="429"/>
    <d v="2025-01-17T09:55:00"/>
    <n v="4780.6000000000004"/>
    <s v="Net Banking"/>
    <s v="Axis"/>
    <s v="Success"/>
    <x v="0"/>
    <m/>
    <m/>
    <m/>
  </r>
  <r>
    <x v="430"/>
    <d v="2025-01-18T18:18:00"/>
    <n v="2237.36"/>
    <s v="Net Banking"/>
    <s v="ICICI"/>
    <s v="Success"/>
    <x v="0"/>
    <m/>
    <m/>
    <m/>
  </r>
  <r>
    <x v="431"/>
    <d v="2025-01-05T11:14:00"/>
    <n v="1990.23"/>
    <s v="UPI"/>
    <s v="Kotak"/>
    <s v="Success"/>
    <x v="0"/>
    <m/>
    <m/>
    <m/>
  </r>
  <r>
    <x v="432"/>
    <d v="2025-02-17T11:42:00"/>
    <n v="1698.85"/>
    <s v="Wallet"/>
    <s v="HDFC"/>
    <s v="Success"/>
    <x v="0"/>
    <m/>
    <m/>
    <m/>
  </r>
  <r>
    <x v="433"/>
    <d v="2025-02-17T09:55:00"/>
    <n v="6824.46"/>
    <s v="Wallet"/>
    <s v="Kotak"/>
    <s v="Failed"/>
    <x v="3"/>
    <m/>
    <m/>
    <m/>
  </r>
  <r>
    <x v="434"/>
    <d v="2025-02-13T01:18:00"/>
    <n v="2562.85"/>
    <s v="UPI"/>
    <s v="HDFC"/>
    <s v="Success"/>
    <x v="0"/>
    <m/>
    <m/>
    <m/>
  </r>
  <r>
    <x v="435"/>
    <d v="2025-03-18T09:57:00"/>
    <n v="7208.94"/>
    <s v="Credit Card"/>
    <s v="Yes Bank"/>
    <s v="Success"/>
    <x v="0"/>
    <m/>
    <m/>
    <m/>
  </r>
  <r>
    <x v="436"/>
    <d v="2025-01-10T08:12:00"/>
    <n v="7087.98"/>
    <s v="Wallet"/>
    <s v="PNB"/>
    <s v="Success"/>
    <x v="0"/>
    <m/>
    <m/>
    <m/>
  </r>
  <r>
    <x v="437"/>
    <d v="2025-03-13T03:14:00"/>
    <n v="7051.44"/>
    <s v="Wallet"/>
    <s v="ICICI"/>
    <s v="Success"/>
    <x v="0"/>
    <m/>
    <m/>
    <m/>
  </r>
  <r>
    <x v="438"/>
    <d v="2025-03-18T04:12:00"/>
    <n v="9514.19"/>
    <s v="Wallet"/>
    <s v="Kotak"/>
    <s v="Success"/>
    <x v="0"/>
    <m/>
    <m/>
    <m/>
  </r>
  <r>
    <x v="439"/>
    <d v="2025-02-12T08:33:00"/>
    <n v="7464.12"/>
    <s v="Credit Card"/>
    <s v="HDFC"/>
    <s v="Success"/>
    <x v="0"/>
    <m/>
    <m/>
    <m/>
  </r>
  <r>
    <x v="440"/>
    <d v="2025-03-17T07:43:00"/>
    <n v="6380.34"/>
    <s v="Debit Card"/>
    <s v="Yes Bank"/>
    <s v="Success"/>
    <x v="0"/>
    <m/>
    <m/>
    <m/>
  </r>
  <r>
    <x v="441"/>
    <d v="2025-03-04T00:22:00"/>
    <n v="3003.73"/>
    <s v="Debit Card"/>
    <s v="HDFC"/>
    <s v="Success"/>
    <x v="0"/>
    <m/>
    <m/>
    <m/>
  </r>
  <r>
    <x v="442"/>
    <d v="2025-02-23T18:13:00"/>
    <n v="3756.58"/>
    <s v="Wallet"/>
    <s v="Kotak"/>
    <s v="Success"/>
    <x v="0"/>
    <m/>
    <m/>
    <m/>
  </r>
  <r>
    <x v="443"/>
    <d v="2025-03-14T20:30:00"/>
    <n v="2247.2800000000002"/>
    <s v="Net Banking"/>
    <s v="PNB"/>
    <s v="Failed"/>
    <x v="6"/>
    <m/>
    <m/>
    <m/>
  </r>
  <r>
    <x v="444"/>
    <d v="2025-02-13T20:24:00"/>
    <n v="7459.91"/>
    <s v="Credit Card"/>
    <s v="PNB"/>
    <s v="Success"/>
    <x v="0"/>
    <m/>
    <m/>
    <m/>
  </r>
  <r>
    <x v="445"/>
    <d v="2025-03-30T16:37:00"/>
    <n v="5696.98"/>
    <s v="Debit Card"/>
    <s v="Axis"/>
    <s v="Success"/>
    <x v="0"/>
    <m/>
    <m/>
    <m/>
  </r>
  <r>
    <x v="446"/>
    <d v="2025-03-29T09:24:00"/>
    <n v="8437.86"/>
    <s v="Debit Card"/>
    <s v="SBI"/>
    <s v="Failed"/>
    <x v="6"/>
    <m/>
    <m/>
    <m/>
  </r>
  <r>
    <x v="447"/>
    <d v="2025-03-25T09:05:00"/>
    <n v="5193.59"/>
    <s v="UPI"/>
    <s v="SBI"/>
    <s v="Success"/>
    <x v="0"/>
    <m/>
    <m/>
    <m/>
  </r>
  <r>
    <x v="448"/>
    <d v="2025-03-27T14:15:00"/>
    <n v="4420.25"/>
    <s v="UPI"/>
    <s v="ICICI"/>
    <s v="Failed"/>
    <x v="2"/>
    <m/>
    <m/>
    <m/>
  </r>
  <r>
    <x v="449"/>
    <d v="2025-03-08T17:16:00"/>
    <n v="5499.88"/>
    <s v="Wallet"/>
    <s v="HDFC"/>
    <s v="Success"/>
    <x v="0"/>
    <m/>
    <m/>
    <m/>
  </r>
  <r>
    <x v="450"/>
    <d v="2025-03-30T02:46:00"/>
    <n v="3776.96"/>
    <s v="Wallet"/>
    <s v="Axis"/>
    <s v="Success"/>
    <x v="0"/>
    <m/>
    <m/>
    <m/>
  </r>
  <r>
    <x v="451"/>
    <d v="2025-02-04T07:20:00"/>
    <n v="5180.4799999999996"/>
    <s v="UPI"/>
    <s v="SBI"/>
    <s v="Success"/>
    <x v="0"/>
    <m/>
    <m/>
    <m/>
  </r>
  <r>
    <x v="452"/>
    <d v="2025-01-27T00:54:00"/>
    <n v="9864.4699999999993"/>
    <s v="Debit Card"/>
    <s v="Yes Bank"/>
    <s v="Success"/>
    <x v="0"/>
    <m/>
    <m/>
    <m/>
  </r>
  <r>
    <x v="453"/>
    <d v="2025-03-26T22:55:00"/>
    <n v="8846.56"/>
    <s v="UPI"/>
    <s v="Kotak"/>
    <s v="Success"/>
    <x v="0"/>
    <m/>
    <m/>
    <m/>
  </r>
  <r>
    <x v="454"/>
    <d v="2025-01-15T11:42:00"/>
    <n v="6375.1"/>
    <s v="Wallet"/>
    <s v="HDFC"/>
    <s v="Success"/>
    <x v="0"/>
    <m/>
    <m/>
    <m/>
  </r>
  <r>
    <x v="455"/>
    <d v="2025-03-31T21:43:00"/>
    <n v="9433.51"/>
    <s v="Debit Card"/>
    <s v="Yes Bank"/>
    <s v="Success"/>
    <x v="0"/>
    <m/>
    <m/>
    <m/>
  </r>
  <r>
    <x v="456"/>
    <d v="2025-02-04T17:03:00"/>
    <n v="607.5"/>
    <s v="UPI"/>
    <s v="PNB"/>
    <s v="Success"/>
    <x v="0"/>
    <m/>
    <m/>
    <m/>
  </r>
  <r>
    <x v="457"/>
    <d v="2025-02-27T02:46:00"/>
    <n v="5389.43"/>
    <s v="Wallet"/>
    <s v="Yes Bank"/>
    <s v="Success"/>
    <x v="0"/>
    <m/>
    <m/>
    <m/>
  </r>
  <r>
    <x v="458"/>
    <d v="2025-03-22T16:19:00"/>
    <n v="3702.26"/>
    <s v="UPI"/>
    <s v="Yes Bank"/>
    <s v="Success"/>
    <x v="0"/>
    <m/>
    <m/>
    <m/>
  </r>
  <r>
    <x v="459"/>
    <d v="2025-02-16T21:36:00"/>
    <n v="8660.5300000000007"/>
    <s v="Credit Card"/>
    <s v="SBI"/>
    <s v="Failed"/>
    <x v="1"/>
    <m/>
    <m/>
    <m/>
  </r>
  <r>
    <x v="460"/>
    <d v="2025-02-13T10:09:00"/>
    <n v="6793.95"/>
    <s v="Credit Card"/>
    <s v="ICICI"/>
    <s v="Success"/>
    <x v="0"/>
    <m/>
    <m/>
    <m/>
  </r>
  <r>
    <x v="461"/>
    <d v="2025-02-25T01:54:00"/>
    <n v="3682.13"/>
    <s v="Wallet"/>
    <s v="Yes Bank"/>
    <s v="Success"/>
    <x v="0"/>
    <m/>
    <m/>
    <m/>
  </r>
  <r>
    <x v="462"/>
    <d v="2025-01-06T06:06:00"/>
    <n v="9579.74"/>
    <s v="UPI"/>
    <s v="PNB"/>
    <s v="Failed"/>
    <x v="2"/>
    <m/>
    <m/>
    <m/>
  </r>
  <r>
    <x v="463"/>
    <d v="2025-02-07T20:41:00"/>
    <n v="7508.96"/>
    <s v="Credit Card"/>
    <s v="Yes Bank"/>
    <s v="Success"/>
    <x v="0"/>
    <m/>
    <m/>
    <m/>
  </r>
  <r>
    <x v="464"/>
    <d v="2025-02-28T02:25:00"/>
    <n v="344.88"/>
    <s v="Credit Card"/>
    <s v="Yes Bank"/>
    <s v="Success"/>
    <x v="0"/>
    <m/>
    <m/>
    <m/>
  </r>
  <r>
    <x v="465"/>
    <d v="2025-02-14T07:15:00"/>
    <n v="6191.51"/>
    <s v="Debit Card"/>
    <s v="Yes Bank"/>
    <s v="Success"/>
    <x v="0"/>
    <m/>
    <m/>
    <m/>
  </r>
  <r>
    <x v="466"/>
    <d v="2025-01-25T06:28:00"/>
    <n v="1898.84"/>
    <s v="Net Banking"/>
    <s v="Axis"/>
    <s v="Success"/>
    <x v="0"/>
    <m/>
    <m/>
    <m/>
  </r>
  <r>
    <x v="467"/>
    <d v="2025-02-01T20:55:00"/>
    <n v="5887.58"/>
    <s v="Debit Card"/>
    <s v="Yes Bank"/>
    <s v="Success"/>
    <x v="0"/>
    <m/>
    <m/>
    <m/>
  </r>
  <r>
    <x v="468"/>
    <d v="2025-03-19T04:46:00"/>
    <n v="8269.07"/>
    <s v="Wallet"/>
    <s v="PNB"/>
    <s v="Success"/>
    <x v="0"/>
    <m/>
    <m/>
    <m/>
  </r>
  <r>
    <x v="469"/>
    <d v="2025-01-04T19:46:00"/>
    <n v="6994.89"/>
    <s v="Wallet"/>
    <s v="PNB"/>
    <s v="Failed"/>
    <x v="2"/>
    <m/>
    <m/>
    <m/>
  </r>
  <r>
    <x v="470"/>
    <d v="2025-01-24T04:28:00"/>
    <n v="822.97"/>
    <s v="Debit Card"/>
    <s v="Kotak"/>
    <s v="Failed"/>
    <x v="1"/>
    <m/>
    <m/>
    <m/>
  </r>
  <r>
    <x v="471"/>
    <d v="2025-01-05T02:30:00"/>
    <n v="4121.57"/>
    <s v="Debit Card"/>
    <s v="HDFC"/>
    <s v="Success"/>
    <x v="0"/>
    <m/>
    <m/>
    <m/>
  </r>
  <r>
    <x v="472"/>
    <d v="2025-02-12T14:05:00"/>
    <n v="6941.72"/>
    <s v="Net Banking"/>
    <s v="ICICI"/>
    <s v="Success"/>
    <x v="0"/>
    <m/>
    <m/>
    <m/>
  </r>
  <r>
    <x v="473"/>
    <d v="2025-01-21T00:27:00"/>
    <n v="2992.19"/>
    <s v="Wallet"/>
    <s v="SBI"/>
    <s v="Success"/>
    <x v="0"/>
    <m/>
    <m/>
    <m/>
  </r>
  <r>
    <x v="474"/>
    <d v="2025-02-05T06:20:00"/>
    <n v="8037.46"/>
    <s v="UPI"/>
    <s v="PNB"/>
    <s v="Success"/>
    <x v="0"/>
    <m/>
    <m/>
    <m/>
  </r>
  <r>
    <x v="475"/>
    <d v="2025-01-18T06:56:00"/>
    <n v="3245.14"/>
    <s v="Debit Card"/>
    <s v="ICICI"/>
    <s v="Success"/>
    <x v="0"/>
    <m/>
    <m/>
    <m/>
  </r>
  <r>
    <x v="476"/>
    <d v="2025-03-26T06:10:00"/>
    <n v="9196.1299999999992"/>
    <s v="Credit Card"/>
    <s v="PNB"/>
    <s v="Success"/>
    <x v="0"/>
    <m/>
    <m/>
    <m/>
  </r>
  <r>
    <x v="477"/>
    <d v="2025-01-04T08:22:00"/>
    <n v="9088.5300000000007"/>
    <s v="Debit Card"/>
    <s v="HDFC"/>
    <s v="Success"/>
    <x v="0"/>
    <m/>
    <m/>
    <m/>
  </r>
  <r>
    <x v="478"/>
    <d v="2025-02-28T23:53:00"/>
    <n v="4007.53"/>
    <s v="Net Banking"/>
    <s v="HDFC"/>
    <s v="Success"/>
    <x v="0"/>
    <m/>
    <m/>
    <m/>
  </r>
  <r>
    <x v="479"/>
    <d v="2025-03-15T11:48:00"/>
    <n v="8077.4"/>
    <s v="Wallet"/>
    <s v="PNB"/>
    <s v="Success"/>
    <x v="0"/>
    <m/>
    <m/>
    <m/>
  </r>
  <r>
    <x v="480"/>
    <d v="2025-02-17T05:31:00"/>
    <n v="8610.36"/>
    <s v="Net Banking"/>
    <s v="Axis"/>
    <s v="Success"/>
    <x v="0"/>
    <m/>
    <m/>
    <m/>
  </r>
  <r>
    <x v="481"/>
    <d v="2025-02-08T00:24:00"/>
    <n v="8346.74"/>
    <s v="Credit Card"/>
    <s v="ICICI"/>
    <s v="Failed"/>
    <x v="5"/>
    <m/>
    <m/>
    <m/>
  </r>
  <r>
    <x v="482"/>
    <d v="2025-02-12T20:32:00"/>
    <n v="7148.4"/>
    <s v="UPI"/>
    <s v="Axis"/>
    <s v="Success"/>
    <x v="0"/>
    <m/>
    <m/>
    <m/>
  </r>
  <r>
    <x v="483"/>
    <d v="2025-01-04T07:16:00"/>
    <n v="8315.3700000000008"/>
    <s v="UPI"/>
    <s v="SBI"/>
    <s v="Success"/>
    <x v="0"/>
    <m/>
    <m/>
    <m/>
  </r>
  <r>
    <x v="484"/>
    <d v="2025-02-11T09:19:00"/>
    <n v="2467.1"/>
    <s v="Wallet"/>
    <s v="Kotak"/>
    <s v="Success"/>
    <x v="0"/>
    <m/>
    <m/>
    <m/>
  </r>
  <r>
    <x v="485"/>
    <d v="2025-03-15T00:30:00"/>
    <n v="2319.25"/>
    <s v="Net Banking"/>
    <s v="SBI"/>
    <s v="Success"/>
    <x v="0"/>
    <m/>
    <m/>
    <m/>
  </r>
  <r>
    <x v="486"/>
    <d v="2025-03-31T19:25:00"/>
    <n v="3927.06"/>
    <s v="UPI"/>
    <s v="ICICI"/>
    <s v="Success"/>
    <x v="0"/>
    <m/>
    <m/>
    <m/>
  </r>
  <r>
    <x v="487"/>
    <d v="2025-01-13T21:26:00"/>
    <n v="6754.41"/>
    <s v="Debit Card"/>
    <s v="Kotak"/>
    <s v="Failed"/>
    <x v="6"/>
    <m/>
    <m/>
    <m/>
  </r>
  <r>
    <x v="488"/>
    <d v="2025-01-15T16:26:00"/>
    <n v="3903.31"/>
    <s v="Debit Card"/>
    <s v="SBI"/>
    <s v="Success"/>
    <x v="0"/>
    <m/>
    <m/>
    <m/>
  </r>
  <r>
    <x v="489"/>
    <d v="2025-01-15T22:26:00"/>
    <n v="319.52"/>
    <s v="UPI"/>
    <s v="Yes Bank"/>
    <s v="Success"/>
    <x v="0"/>
    <m/>
    <m/>
    <m/>
  </r>
  <r>
    <x v="490"/>
    <d v="2025-02-14T01:13:00"/>
    <n v="6994.35"/>
    <s v="Debit Card"/>
    <s v="ICICI"/>
    <s v="Success"/>
    <x v="0"/>
    <m/>
    <m/>
    <m/>
  </r>
  <r>
    <x v="491"/>
    <d v="2025-02-14T18:46:00"/>
    <n v="3698.56"/>
    <s v="Debit Card"/>
    <s v="Yes Bank"/>
    <s v="Success"/>
    <x v="0"/>
    <m/>
    <m/>
    <m/>
  </r>
  <r>
    <x v="492"/>
    <d v="2025-02-22T13:18:00"/>
    <n v="1330.84"/>
    <s v="UPI"/>
    <s v="Yes Bank"/>
    <s v="Success"/>
    <x v="0"/>
    <m/>
    <m/>
    <m/>
  </r>
  <r>
    <x v="493"/>
    <d v="2025-01-10T14:07:00"/>
    <n v="854.41"/>
    <s v="UPI"/>
    <s v="HDFC"/>
    <s v="Success"/>
    <x v="0"/>
    <m/>
    <m/>
    <m/>
  </r>
  <r>
    <x v="494"/>
    <d v="2025-03-23T18:21:00"/>
    <n v="1195.8399999999999"/>
    <s v="UPI"/>
    <s v="HDFC"/>
    <s v="Failed"/>
    <x v="6"/>
    <m/>
    <m/>
    <m/>
  </r>
  <r>
    <x v="495"/>
    <d v="2025-03-08T05:45:00"/>
    <n v="2520.37"/>
    <s v="Credit Card"/>
    <s v="Yes Bank"/>
    <s v="Success"/>
    <x v="0"/>
    <m/>
    <m/>
    <m/>
  </r>
  <r>
    <x v="496"/>
    <d v="2025-03-27T06:55:00"/>
    <n v="3137.77"/>
    <s v="Debit Card"/>
    <s v="SBI"/>
    <s v="Success"/>
    <x v="0"/>
    <m/>
    <m/>
    <m/>
  </r>
  <r>
    <x v="497"/>
    <d v="2025-01-31T00:29:00"/>
    <n v="2433.12"/>
    <s v="Debit Card"/>
    <s v="Kotak"/>
    <s v="Failed"/>
    <x v="1"/>
    <m/>
    <m/>
    <m/>
  </r>
  <r>
    <x v="498"/>
    <d v="2025-01-12T18:41:00"/>
    <n v="9784.14"/>
    <s v="UPI"/>
    <s v="PNB"/>
    <s v="Success"/>
    <x v="0"/>
    <m/>
    <m/>
    <m/>
  </r>
  <r>
    <x v="499"/>
    <d v="2025-03-09T23:01:00"/>
    <n v="6864.92"/>
    <s v="Credit Card"/>
    <s v="Yes Bank"/>
    <s v="Success"/>
    <x v="0"/>
    <m/>
    <m/>
    <m/>
  </r>
  <r>
    <x v="500"/>
    <d v="2025-02-11T08:00:00"/>
    <n v="4249.26"/>
    <s v="Wallet"/>
    <s v="Yes Bank"/>
    <s v="Success"/>
    <x v="0"/>
    <m/>
    <m/>
    <m/>
  </r>
  <r>
    <x v="501"/>
    <d v="2025-01-13T17:52:00"/>
    <n v="1282.58"/>
    <s v="Net Banking"/>
    <s v="SBI"/>
    <s v="Success"/>
    <x v="0"/>
    <m/>
    <m/>
    <m/>
  </r>
  <r>
    <x v="502"/>
    <d v="2025-02-20T01:24:00"/>
    <n v="1891.04"/>
    <s v="UPI"/>
    <s v="ICICI"/>
    <s v="Failed"/>
    <x v="4"/>
    <m/>
    <m/>
    <m/>
  </r>
  <r>
    <x v="503"/>
    <d v="2025-02-23T17:29:00"/>
    <n v="5787.06"/>
    <s v="Net Banking"/>
    <s v="PNB"/>
    <s v="Success"/>
    <x v="0"/>
    <m/>
    <m/>
    <m/>
  </r>
  <r>
    <x v="504"/>
    <d v="2025-01-21T10:10:00"/>
    <n v="2386.89"/>
    <s v="Wallet"/>
    <s v="ICICI"/>
    <s v="Failed"/>
    <x v="3"/>
    <m/>
    <m/>
    <m/>
  </r>
  <r>
    <x v="505"/>
    <d v="2025-02-09T10:27:00"/>
    <n v="3478.56"/>
    <s v="Wallet"/>
    <s v="HDFC"/>
    <s v="Success"/>
    <x v="0"/>
    <m/>
    <m/>
    <m/>
  </r>
  <r>
    <x v="506"/>
    <d v="2025-03-20T00:57:00"/>
    <n v="6931.91"/>
    <s v="Wallet"/>
    <s v="SBI"/>
    <s v="Success"/>
    <x v="0"/>
    <m/>
    <m/>
    <m/>
  </r>
  <r>
    <x v="507"/>
    <d v="2025-03-29T07:27:00"/>
    <n v="1629.99"/>
    <s v="Net Banking"/>
    <s v="PNB"/>
    <s v="Success"/>
    <x v="0"/>
    <m/>
    <m/>
    <m/>
  </r>
  <r>
    <x v="508"/>
    <d v="2025-03-13T06:29:00"/>
    <n v="2637.61"/>
    <s v="UPI"/>
    <s v="ICICI"/>
    <s v="Failed"/>
    <x v="2"/>
    <m/>
    <m/>
    <m/>
  </r>
  <r>
    <x v="509"/>
    <d v="2025-03-09T08:33:00"/>
    <n v="2886.43"/>
    <s v="Debit Card"/>
    <s v="ICICI"/>
    <s v="Success"/>
    <x v="0"/>
    <m/>
    <m/>
    <m/>
  </r>
  <r>
    <x v="510"/>
    <d v="2025-01-09T01:11:00"/>
    <n v="7018.69"/>
    <s v="Net Banking"/>
    <s v="ICICI"/>
    <s v="Failed"/>
    <x v="2"/>
    <m/>
    <m/>
    <m/>
  </r>
  <r>
    <x v="511"/>
    <d v="2025-01-19T17:54:00"/>
    <n v="5943.91"/>
    <s v="Debit Card"/>
    <s v="PNB"/>
    <s v="Success"/>
    <x v="0"/>
    <m/>
    <m/>
    <m/>
  </r>
  <r>
    <x v="512"/>
    <d v="2025-01-13T07:56:00"/>
    <n v="6982.52"/>
    <s v="Debit Card"/>
    <s v="Yes Bank"/>
    <s v="Success"/>
    <x v="0"/>
    <m/>
    <m/>
    <m/>
  </r>
  <r>
    <x v="513"/>
    <d v="2025-02-19T06:09:00"/>
    <n v="2020.52"/>
    <s v="Wallet"/>
    <s v="HDFC"/>
    <s v="Success"/>
    <x v="0"/>
    <m/>
    <m/>
    <m/>
  </r>
  <r>
    <x v="514"/>
    <d v="2025-01-01T14:23:00"/>
    <n v="6234.63"/>
    <s v="Debit Card"/>
    <s v="SBI"/>
    <s v="Success"/>
    <x v="0"/>
    <m/>
    <m/>
    <m/>
  </r>
  <r>
    <x v="515"/>
    <d v="2025-02-13T04:22:00"/>
    <n v="2432.5300000000002"/>
    <s v="Debit Card"/>
    <s v="Yes Bank"/>
    <s v="Success"/>
    <x v="0"/>
    <m/>
    <m/>
    <m/>
  </r>
  <r>
    <x v="516"/>
    <d v="2025-02-04T13:43:00"/>
    <n v="9583.5499999999993"/>
    <s v="Net Banking"/>
    <s v="Axis"/>
    <s v="Success"/>
    <x v="0"/>
    <m/>
    <m/>
    <m/>
  </r>
  <r>
    <x v="517"/>
    <d v="2025-03-22T10:35:00"/>
    <n v="4327.12"/>
    <s v="Net Banking"/>
    <s v="PNB"/>
    <s v="Failed"/>
    <x v="1"/>
    <m/>
    <m/>
    <m/>
  </r>
  <r>
    <x v="518"/>
    <d v="2025-01-10T08:09:00"/>
    <n v="9243.16"/>
    <s v="Wallet"/>
    <s v="PNB"/>
    <s v="Success"/>
    <x v="0"/>
    <m/>
    <m/>
    <m/>
  </r>
  <r>
    <x v="519"/>
    <d v="2025-02-12T07:53:00"/>
    <n v="9742.8700000000008"/>
    <s v="Net Banking"/>
    <s v="HDFC"/>
    <s v="Success"/>
    <x v="0"/>
    <m/>
    <m/>
    <m/>
  </r>
  <r>
    <x v="520"/>
    <d v="2025-03-22T20:42:00"/>
    <n v="130.91999999999999"/>
    <s v="Wallet"/>
    <s v="HDFC"/>
    <s v="Failed"/>
    <x v="1"/>
    <m/>
    <m/>
    <m/>
  </r>
  <r>
    <x v="521"/>
    <d v="2025-02-03T04:03:00"/>
    <n v="181.26"/>
    <s v="Wallet"/>
    <s v="HDFC"/>
    <s v="Success"/>
    <x v="0"/>
    <m/>
    <m/>
    <m/>
  </r>
  <r>
    <x v="522"/>
    <d v="2025-01-02T10:21:00"/>
    <n v="9329.17"/>
    <s v="Net Banking"/>
    <s v="Yes Bank"/>
    <s v="Success"/>
    <x v="0"/>
    <m/>
    <m/>
    <m/>
  </r>
  <r>
    <x v="523"/>
    <d v="2025-02-20T23:11:00"/>
    <n v="126.72"/>
    <s v="Credit Card"/>
    <s v="Axis"/>
    <s v="Failed"/>
    <x v="4"/>
    <m/>
    <m/>
    <m/>
  </r>
  <r>
    <x v="524"/>
    <d v="2025-02-23T08:04:00"/>
    <n v="8242.1299999999992"/>
    <s v="Wallet"/>
    <s v="HDFC"/>
    <s v="Failed"/>
    <x v="6"/>
    <m/>
    <m/>
    <m/>
  </r>
  <r>
    <x v="525"/>
    <d v="2025-01-07T07:14:00"/>
    <n v="9290.44"/>
    <s v="Debit Card"/>
    <s v="Yes Bank"/>
    <s v="Failed"/>
    <x v="2"/>
    <m/>
    <m/>
    <m/>
  </r>
  <r>
    <x v="526"/>
    <d v="2025-02-28T05:48:00"/>
    <n v="8677.64"/>
    <s v="Credit Card"/>
    <s v="SBI"/>
    <s v="Success"/>
    <x v="0"/>
    <m/>
    <m/>
    <m/>
  </r>
  <r>
    <x v="527"/>
    <d v="2025-03-28T01:57:00"/>
    <n v="8610.0300000000007"/>
    <s v="Net Banking"/>
    <s v="SBI"/>
    <s v="Success"/>
    <x v="0"/>
    <m/>
    <m/>
    <m/>
  </r>
  <r>
    <x v="528"/>
    <d v="2025-02-07T07:40:00"/>
    <n v="4084.55"/>
    <s v="Debit Card"/>
    <s v="SBI"/>
    <s v="Failed"/>
    <x v="1"/>
    <m/>
    <m/>
    <m/>
  </r>
  <r>
    <x v="529"/>
    <d v="2025-02-05T12:17:00"/>
    <n v="9574.5300000000007"/>
    <s v="Net Banking"/>
    <s v="Yes Bank"/>
    <s v="Success"/>
    <x v="0"/>
    <m/>
    <m/>
    <m/>
  </r>
  <r>
    <x v="530"/>
    <d v="2025-03-12T21:08:00"/>
    <n v="6103.6"/>
    <s v="Debit Card"/>
    <s v="Yes Bank"/>
    <s v="Success"/>
    <x v="0"/>
    <m/>
    <m/>
    <m/>
  </r>
  <r>
    <x v="531"/>
    <d v="2025-02-09T17:28:00"/>
    <n v="4144.21"/>
    <s v="Debit Card"/>
    <s v="Axis"/>
    <s v="Success"/>
    <x v="0"/>
    <m/>
    <m/>
    <m/>
  </r>
  <r>
    <x v="532"/>
    <d v="2025-02-02T13:21:00"/>
    <n v="1144.0899999999999"/>
    <s v="UPI"/>
    <s v="ICICI"/>
    <s v="Failed"/>
    <x v="1"/>
    <m/>
    <m/>
    <m/>
  </r>
  <r>
    <x v="533"/>
    <d v="2025-01-21T17:58:00"/>
    <n v="6389.02"/>
    <s v="UPI"/>
    <s v="Yes Bank"/>
    <s v="Failed"/>
    <x v="3"/>
    <m/>
    <m/>
    <m/>
  </r>
  <r>
    <x v="534"/>
    <d v="2025-03-10T03:00:00"/>
    <n v="3043.7"/>
    <s v="UPI"/>
    <s v="ICICI"/>
    <s v="Success"/>
    <x v="0"/>
    <m/>
    <m/>
    <m/>
  </r>
  <r>
    <x v="535"/>
    <d v="2025-02-12T01:25:00"/>
    <n v="6253.91"/>
    <s v="UPI"/>
    <s v="HDFC"/>
    <s v="Success"/>
    <x v="0"/>
    <m/>
    <m/>
    <m/>
  </r>
  <r>
    <x v="536"/>
    <d v="2025-03-14T10:15:00"/>
    <n v="6743.09"/>
    <s v="Wallet"/>
    <s v="SBI"/>
    <s v="Success"/>
    <x v="0"/>
    <m/>
    <m/>
    <m/>
  </r>
  <r>
    <x v="537"/>
    <d v="2025-02-08T00:40:00"/>
    <n v="6855.68"/>
    <s v="Debit Card"/>
    <s v="HDFC"/>
    <s v="Failed"/>
    <x v="1"/>
    <m/>
    <m/>
    <m/>
  </r>
  <r>
    <x v="538"/>
    <d v="2025-02-02T10:15:00"/>
    <n v="9176.2000000000007"/>
    <s v="Debit Card"/>
    <s v="Kotak"/>
    <s v="Success"/>
    <x v="0"/>
    <m/>
    <m/>
    <m/>
  </r>
  <r>
    <x v="539"/>
    <d v="2025-03-14T05:31:00"/>
    <n v="4564.0600000000004"/>
    <s v="UPI"/>
    <s v="ICICI"/>
    <s v="Success"/>
    <x v="0"/>
    <m/>
    <m/>
    <m/>
  </r>
  <r>
    <x v="540"/>
    <d v="2025-03-10T15:56:00"/>
    <n v="1823.71"/>
    <s v="UPI"/>
    <s v="Yes Bank"/>
    <s v="Success"/>
    <x v="0"/>
    <m/>
    <m/>
    <m/>
  </r>
  <r>
    <x v="541"/>
    <d v="2025-01-25T19:56:00"/>
    <n v="7951.02"/>
    <s v="Net Banking"/>
    <s v="Yes Bank"/>
    <s v="Success"/>
    <x v="0"/>
    <m/>
    <m/>
    <m/>
  </r>
  <r>
    <x v="542"/>
    <d v="2025-03-06T01:15:00"/>
    <n v="3030.05"/>
    <s v="UPI"/>
    <s v="HDFC"/>
    <s v="Success"/>
    <x v="0"/>
    <m/>
    <m/>
    <m/>
  </r>
  <r>
    <x v="543"/>
    <d v="2025-02-15T18:43:00"/>
    <n v="5121.37"/>
    <s v="Net Banking"/>
    <s v="Axis"/>
    <s v="Success"/>
    <x v="0"/>
    <m/>
    <m/>
    <m/>
  </r>
  <r>
    <x v="544"/>
    <d v="2025-03-06T12:46:00"/>
    <n v="4778.34"/>
    <s v="Debit Card"/>
    <s v="PNB"/>
    <s v="Success"/>
    <x v="0"/>
    <m/>
    <m/>
    <m/>
  </r>
  <r>
    <x v="545"/>
    <d v="2025-01-02T06:05:00"/>
    <n v="4960.4799999999996"/>
    <s v="Wallet"/>
    <s v="Axis"/>
    <s v="Success"/>
    <x v="0"/>
    <m/>
    <m/>
    <m/>
  </r>
  <r>
    <x v="546"/>
    <d v="2025-03-28T16:17:00"/>
    <n v="117.23"/>
    <s v="UPI"/>
    <s v="HDFC"/>
    <s v="Success"/>
    <x v="0"/>
    <m/>
    <m/>
    <m/>
  </r>
  <r>
    <x v="547"/>
    <d v="2025-01-17T06:58:00"/>
    <n v="6919.91"/>
    <s v="Credit Card"/>
    <s v="SBI"/>
    <s v="Success"/>
    <x v="0"/>
    <m/>
    <m/>
    <m/>
  </r>
  <r>
    <x v="548"/>
    <d v="2025-03-13T20:35:00"/>
    <n v="4310.87"/>
    <s v="UPI"/>
    <s v="ICICI"/>
    <s v="Success"/>
    <x v="0"/>
    <m/>
    <m/>
    <m/>
  </r>
  <r>
    <x v="549"/>
    <d v="2025-03-26T11:50:00"/>
    <n v="5332.36"/>
    <s v="UPI"/>
    <s v="Axis"/>
    <s v="Success"/>
    <x v="0"/>
    <m/>
    <m/>
    <m/>
  </r>
  <r>
    <x v="550"/>
    <d v="2025-01-23T13:19:00"/>
    <n v="3286.27"/>
    <s v="Credit Card"/>
    <s v="PNB"/>
    <s v="Success"/>
    <x v="0"/>
    <m/>
    <m/>
    <m/>
  </r>
  <r>
    <x v="551"/>
    <d v="2025-02-03T12:14:00"/>
    <n v="1972.73"/>
    <s v="Net Banking"/>
    <s v="HDFC"/>
    <s v="Failed"/>
    <x v="3"/>
    <m/>
    <m/>
    <m/>
  </r>
  <r>
    <x v="552"/>
    <d v="2025-03-05T20:59:00"/>
    <n v="880.04"/>
    <s v="Credit Card"/>
    <s v="ICICI"/>
    <s v="Success"/>
    <x v="0"/>
    <m/>
    <m/>
    <m/>
  </r>
  <r>
    <x v="553"/>
    <d v="2025-02-12T09:33:00"/>
    <n v="3657.96"/>
    <s v="UPI"/>
    <s v="SBI"/>
    <s v="Failed"/>
    <x v="5"/>
    <m/>
    <m/>
    <m/>
  </r>
  <r>
    <x v="554"/>
    <d v="2025-03-31T11:08:00"/>
    <n v="9326.52"/>
    <s v="Wallet"/>
    <s v="SBI"/>
    <s v="Success"/>
    <x v="0"/>
    <m/>
    <m/>
    <m/>
  </r>
  <r>
    <x v="555"/>
    <d v="2025-01-01T22:01:00"/>
    <n v="5946.28"/>
    <s v="UPI"/>
    <s v="SBI"/>
    <s v="Failed"/>
    <x v="3"/>
    <m/>
    <m/>
    <m/>
  </r>
  <r>
    <x v="556"/>
    <d v="2025-02-26T11:41:00"/>
    <n v="4723.03"/>
    <s v="Net Banking"/>
    <s v="Axis"/>
    <s v="Failed"/>
    <x v="5"/>
    <m/>
    <m/>
    <m/>
  </r>
  <r>
    <x v="557"/>
    <d v="2025-01-15T01:20:00"/>
    <n v="8536.6299999999992"/>
    <s v="Net Banking"/>
    <s v="ICICI"/>
    <s v="Failed"/>
    <x v="6"/>
    <m/>
    <m/>
    <m/>
  </r>
  <r>
    <x v="558"/>
    <d v="2025-03-13T08:40:00"/>
    <n v="6062.92"/>
    <s v="Debit Card"/>
    <s v="SBI"/>
    <s v="Success"/>
    <x v="0"/>
    <m/>
    <m/>
    <m/>
  </r>
  <r>
    <x v="559"/>
    <d v="2025-01-29T03:59:00"/>
    <n v="5077.8599999999997"/>
    <s v="Net Banking"/>
    <s v="ICICI"/>
    <s v="Failed"/>
    <x v="6"/>
    <m/>
    <m/>
    <m/>
  </r>
  <r>
    <x v="560"/>
    <d v="2025-03-04T20:08:00"/>
    <n v="5196.1499999999996"/>
    <s v="Credit Card"/>
    <s v="HDFC"/>
    <s v="Success"/>
    <x v="0"/>
    <m/>
    <m/>
    <m/>
  </r>
  <r>
    <x v="561"/>
    <d v="2025-02-08T03:25:00"/>
    <n v="9532.2900000000009"/>
    <s v="Wallet"/>
    <s v="Yes Bank"/>
    <s v="Success"/>
    <x v="0"/>
    <m/>
    <m/>
    <m/>
  </r>
  <r>
    <x v="562"/>
    <d v="2025-01-16T15:37:00"/>
    <n v="563.16"/>
    <s v="UPI"/>
    <s v="PNB"/>
    <s v="Success"/>
    <x v="0"/>
    <m/>
    <m/>
    <m/>
  </r>
  <r>
    <x v="563"/>
    <d v="2025-03-04T10:29:00"/>
    <n v="648.29999999999995"/>
    <s v="Wallet"/>
    <s v="PNB"/>
    <s v="Failed"/>
    <x v="2"/>
    <m/>
    <m/>
    <m/>
  </r>
  <r>
    <x v="564"/>
    <d v="2025-01-30T02:21:00"/>
    <n v="5496.06"/>
    <s v="Net Banking"/>
    <s v="Yes Bank"/>
    <s v="Success"/>
    <x v="0"/>
    <m/>
    <m/>
    <m/>
  </r>
  <r>
    <x v="565"/>
    <d v="2025-01-03T00:24:00"/>
    <n v="3526.03"/>
    <s v="Wallet"/>
    <s v="HDFC"/>
    <s v="Success"/>
    <x v="0"/>
    <m/>
    <m/>
    <m/>
  </r>
  <r>
    <x v="566"/>
    <d v="2025-01-21T18:47:00"/>
    <n v="504.92"/>
    <s v="Wallet"/>
    <s v="SBI"/>
    <s v="Success"/>
    <x v="0"/>
    <m/>
    <m/>
    <m/>
  </r>
  <r>
    <x v="567"/>
    <d v="2025-01-10T17:20:00"/>
    <n v="9479.74"/>
    <s v="Net Banking"/>
    <s v="ICICI"/>
    <s v="Success"/>
    <x v="0"/>
    <m/>
    <m/>
    <m/>
  </r>
  <r>
    <x v="568"/>
    <d v="2025-03-08T05:18:00"/>
    <n v="6730.84"/>
    <s v="Net Banking"/>
    <s v="HDFC"/>
    <s v="Success"/>
    <x v="0"/>
    <m/>
    <m/>
    <m/>
  </r>
  <r>
    <x v="569"/>
    <d v="2025-01-28T05:18:00"/>
    <n v="3592.35"/>
    <s v="UPI"/>
    <s v="Kotak"/>
    <s v="Success"/>
    <x v="0"/>
    <m/>
    <m/>
    <m/>
  </r>
  <r>
    <x v="570"/>
    <d v="2025-03-25T04:30:00"/>
    <n v="5530.21"/>
    <s v="Net Banking"/>
    <s v="SBI"/>
    <s v="Success"/>
    <x v="0"/>
    <m/>
    <m/>
    <m/>
  </r>
  <r>
    <x v="571"/>
    <d v="2025-01-09T21:41:00"/>
    <n v="731.45"/>
    <s v="Debit Card"/>
    <s v="PNB"/>
    <s v="Success"/>
    <x v="0"/>
    <m/>
    <m/>
    <m/>
  </r>
  <r>
    <x v="572"/>
    <d v="2025-03-05T15:36:00"/>
    <n v="4186.3900000000003"/>
    <s v="UPI"/>
    <s v="SBI"/>
    <s v="Success"/>
    <x v="0"/>
    <m/>
    <m/>
    <m/>
  </r>
  <r>
    <x v="573"/>
    <d v="2025-01-28T05:39:00"/>
    <n v="5299.2"/>
    <s v="Net Banking"/>
    <s v="Axis"/>
    <s v="Success"/>
    <x v="0"/>
    <m/>
    <m/>
    <m/>
  </r>
  <r>
    <x v="574"/>
    <d v="2025-03-22T01:59:00"/>
    <n v="6957.79"/>
    <s v="Net Banking"/>
    <s v="SBI"/>
    <s v="Success"/>
    <x v="0"/>
    <m/>
    <m/>
    <m/>
  </r>
  <r>
    <x v="575"/>
    <d v="2025-03-27T21:09:00"/>
    <n v="8834.6"/>
    <s v="Net Banking"/>
    <s v="Yes Bank"/>
    <s v="Success"/>
    <x v="0"/>
    <m/>
    <m/>
    <m/>
  </r>
  <r>
    <x v="576"/>
    <d v="2025-01-04T10:46:00"/>
    <n v="4411.3100000000004"/>
    <s v="Debit Card"/>
    <s v="HDFC"/>
    <s v="Success"/>
    <x v="0"/>
    <m/>
    <m/>
    <m/>
  </r>
  <r>
    <x v="577"/>
    <d v="2025-02-02T19:58:00"/>
    <n v="2726.14"/>
    <s v="Net Banking"/>
    <s v="Axis"/>
    <s v="Success"/>
    <x v="0"/>
    <m/>
    <m/>
    <m/>
  </r>
  <r>
    <x v="578"/>
    <d v="2025-01-23T13:34:00"/>
    <n v="7418.38"/>
    <s v="Net Banking"/>
    <s v="HDFC"/>
    <s v="Success"/>
    <x v="0"/>
    <m/>
    <m/>
    <m/>
  </r>
  <r>
    <x v="579"/>
    <d v="2025-01-17T05:18:00"/>
    <n v="1126.8900000000001"/>
    <s v="UPI"/>
    <s v="ICICI"/>
    <s v="Success"/>
    <x v="0"/>
    <m/>
    <m/>
    <m/>
  </r>
  <r>
    <x v="580"/>
    <d v="2025-03-03T04:24:00"/>
    <n v="5014.12"/>
    <s v="Credit Card"/>
    <s v="Yes Bank"/>
    <s v="Success"/>
    <x v="0"/>
    <m/>
    <m/>
    <m/>
  </r>
  <r>
    <x v="581"/>
    <d v="2025-02-11T19:33:00"/>
    <n v="5263.28"/>
    <s v="Wallet"/>
    <s v="ICICI"/>
    <s v="Success"/>
    <x v="0"/>
    <m/>
    <m/>
    <m/>
  </r>
  <r>
    <x v="582"/>
    <d v="2025-01-10T18:58:00"/>
    <n v="9264.3700000000008"/>
    <s v="Credit Card"/>
    <s v="Axis"/>
    <s v="Failed"/>
    <x v="5"/>
    <m/>
    <m/>
    <m/>
  </r>
  <r>
    <x v="583"/>
    <d v="2025-03-27T10:07:00"/>
    <n v="9408.91"/>
    <s v="Debit Card"/>
    <s v="Kotak"/>
    <s v="Success"/>
    <x v="0"/>
    <m/>
    <m/>
    <m/>
  </r>
  <r>
    <x v="584"/>
    <d v="2025-03-31T19:42:00"/>
    <n v="1549.95"/>
    <s v="Wallet"/>
    <s v="ICICI"/>
    <s v="Success"/>
    <x v="0"/>
    <m/>
    <m/>
    <m/>
  </r>
  <r>
    <x v="585"/>
    <d v="2025-03-30T14:01:00"/>
    <n v="5361.15"/>
    <s v="Debit Card"/>
    <s v="ICICI"/>
    <s v="Failed"/>
    <x v="5"/>
    <m/>
    <m/>
    <m/>
  </r>
  <r>
    <x v="586"/>
    <d v="2025-02-11T14:32:00"/>
    <n v="8175.99"/>
    <s v="Credit Card"/>
    <s v="Kotak"/>
    <s v="Failed"/>
    <x v="6"/>
    <m/>
    <m/>
    <m/>
  </r>
  <r>
    <x v="587"/>
    <d v="2025-03-09T03:34:00"/>
    <n v="4479.76"/>
    <s v="Wallet"/>
    <s v="ICICI"/>
    <s v="Failed"/>
    <x v="6"/>
    <m/>
    <m/>
    <m/>
  </r>
  <r>
    <x v="588"/>
    <d v="2025-01-22T13:51:00"/>
    <n v="6799.75"/>
    <s v="UPI"/>
    <s v="Yes Bank"/>
    <s v="Success"/>
    <x v="0"/>
    <m/>
    <m/>
    <m/>
  </r>
  <r>
    <x v="589"/>
    <d v="2025-01-23T11:20:00"/>
    <n v="8925.44"/>
    <s v="Wallet"/>
    <s v="Axis"/>
    <s v="Success"/>
    <x v="0"/>
    <m/>
    <m/>
    <m/>
  </r>
  <r>
    <x v="590"/>
    <d v="2025-03-09T19:01:00"/>
    <n v="6414.16"/>
    <s v="Net Banking"/>
    <s v="HDFC"/>
    <s v="Failed"/>
    <x v="6"/>
    <m/>
    <m/>
    <m/>
  </r>
  <r>
    <x v="591"/>
    <d v="2025-01-29T11:38:00"/>
    <n v="9549.5"/>
    <s v="Debit Card"/>
    <s v="Kotak"/>
    <s v="Failed"/>
    <x v="5"/>
    <m/>
    <m/>
    <m/>
  </r>
  <r>
    <x v="592"/>
    <d v="2025-01-30T12:09:00"/>
    <n v="5078.76"/>
    <s v="Credit Card"/>
    <s v="Axis"/>
    <s v="Failed"/>
    <x v="3"/>
    <m/>
    <m/>
    <m/>
  </r>
  <r>
    <x v="593"/>
    <d v="2025-02-21T07:48:00"/>
    <n v="4903.6000000000004"/>
    <s v="Wallet"/>
    <s v="PNB"/>
    <s v="Success"/>
    <x v="0"/>
    <m/>
    <m/>
    <m/>
  </r>
  <r>
    <x v="594"/>
    <d v="2025-03-06T18:29:00"/>
    <n v="5014.3900000000003"/>
    <s v="Debit Card"/>
    <s v="ICICI"/>
    <s v="Success"/>
    <x v="0"/>
    <m/>
    <m/>
    <m/>
  </r>
  <r>
    <x v="595"/>
    <d v="2025-03-05T06:14:00"/>
    <n v="8179.39"/>
    <s v="Net Banking"/>
    <s v="HDFC"/>
    <s v="Success"/>
    <x v="0"/>
    <m/>
    <m/>
    <m/>
  </r>
  <r>
    <x v="596"/>
    <d v="2025-01-17T06:20:00"/>
    <n v="3593.23"/>
    <s v="Net Banking"/>
    <s v="ICICI"/>
    <s v="Success"/>
    <x v="0"/>
    <m/>
    <m/>
    <m/>
  </r>
  <r>
    <x v="597"/>
    <d v="2025-03-31T14:27:00"/>
    <n v="6685.94"/>
    <s v="Credit Card"/>
    <s v="HDFC"/>
    <s v="Success"/>
    <x v="0"/>
    <m/>
    <m/>
    <m/>
  </r>
  <r>
    <x v="598"/>
    <d v="2025-02-04T12:42:00"/>
    <n v="9274.93"/>
    <s v="UPI"/>
    <s v="ICICI"/>
    <s v="Success"/>
    <x v="0"/>
    <m/>
    <m/>
    <m/>
  </r>
  <r>
    <x v="599"/>
    <d v="2025-03-11T01:48:00"/>
    <n v="8315.11"/>
    <s v="Wallet"/>
    <s v="SBI"/>
    <s v="Success"/>
    <x v="0"/>
    <m/>
    <m/>
    <m/>
  </r>
  <r>
    <x v="600"/>
    <d v="2025-03-19T07:50:00"/>
    <n v="5388.46"/>
    <s v="UPI"/>
    <s v="Yes Bank"/>
    <s v="Success"/>
    <x v="0"/>
    <m/>
    <m/>
    <m/>
  </r>
  <r>
    <x v="601"/>
    <d v="2025-03-26T05:36:00"/>
    <n v="2637.66"/>
    <s v="Wallet"/>
    <s v="Axis"/>
    <s v="Success"/>
    <x v="0"/>
    <m/>
    <m/>
    <m/>
  </r>
  <r>
    <x v="602"/>
    <d v="2025-02-20T13:52:00"/>
    <n v="937.43"/>
    <s v="UPI"/>
    <s v="PNB"/>
    <s v="Success"/>
    <x v="0"/>
    <m/>
    <m/>
    <m/>
  </r>
  <r>
    <x v="603"/>
    <d v="2025-01-29T13:59:00"/>
    <n v="7619.04"/>
    <s v="Debit Card"/>
    <s v="Kotak"/>
    <s v="Success"/>
    <x v="0"/>
    <m/>
    <m/>
    <m/>
  </r>
  <r>
    <x v="604"/>
    <d v="2025-03-31T23:02:00"/>
    <n v="9635.67"/>
    <s v="Net Banking"/>
    <s v="PNB"/>
    <s v="Success"/>
    <x v="0"/>
    <m/>
    <m/>
    <m/>
  </r>
  <r>
    <x v="605"/>
    <d v="2025-02-18T22:53:00"/>
    <n v="3660.51"/>
    <s v="Net Banking"/>
    <s v="SBI"/>
    <s v="Success"/>
    <x v="0"/>
    <m/>
    <m/>
    <m/>
  </r>
  <r>
    <x v="606"/>
    <d v="2025-03-06T18:08:00"/>
    <n v="405.15"/>
    <s v="Wallet"/>
    <s v="Yes Bank"/>
    <s v="Success"/>
    <x v="0"/>
    <m/>
    <m/>
    <m/>
  </r>
  <r>
    <x v="607"/>
    <d v="2025-03-28T21:35:00"/>
    <n v="5868.46"/>
    <s v="Net Banking"/>
    <s v="HDFC"/>
    <s v="Success"/>
    <x v="0"/>
    <m/>
    <m/>
    <m/>
  </r>
  <r>
    <x v="608"/>
    <d v="2025-01-25T09:51:00"/>
    <n v="9519.44"/>
    <s v="UPI"/>
    <s v="SBI"/>
    <s v="Failed"/>
    <x v="6"/>
    <m/>
    <m/>
    <m/>
  </r>
  <r>
    <x v="609"/>
    <d v="2025-01-06T10:06:00"/>
    <n v="8175.11"/>
    <s v="UPI"/>
    <s v="SBI"/>
    <s v="Success"/>
    <x v="0"/>
    <m/>
    <m/>
    <m/>
  </r>
  <r>
    <x v="610"/>
    <d v="2025-03-30T17:31:00"/>
    <n v="185.37"/>
    <s v="UPI"/>
    <s v="Kotak"/>
    <s v="Success"/>
    <x v="0"/>
    <m/>
    <m/>
    <m/>
  </r>
  <r>
    <x v="611"/>
    <d v="2025-03-11T09:24:00"/>
    <n v="6316.5"/>
    <s v="Credit Card"/>
    <s v="SBI"/>
    <s v="Success"/>
    <x v="0"/>
    <m/>
    <m/>
    <m/>
  </r>
  <r>
    <x v="612"/>
    <d v="2025-02-28T08:57:00"/>
    <n v="6652.18"/>
    <s v="Debit Card"/>
    <s v="HDFC"/>
    <s v="Success"/>
    <x v="0"/>
    <m/>
    <m/>
    <m/>
  </r>
  <r>
    <x v="613"/>
    <d v="2025-03-10T08:12:00"/>
    <n v="5563.52"/>
    <s v="UPI"/>
    <s v="Yes Bank"/>
    <s v="Success"/>
    <x v="0"/>
    <m/>
    <m/>
    <m/>
  </r>
  <r>
    <x v="614"/>
    <d v="2025-02-15T02:13:00"/>
    <n v="4882.3500000000004"/>
    <s v="Debit Card"/>
    <s v="Kotak"/>
    <s v="Failed"/>
    <x v="2"/>
    <m/>
    <m/>
    <m/>
  </r>
  <r>
    <x v="615"/>
    <d v="2025-02-03T16:25:00"/>
    <n v="3039.71"/>
    <s v="UPI"/>
    <s v="ICICI"/>
    <s v="Success"/>
    <x v="0"/>
    <m/>
    <m/>
    <m/>
  </r>
  <r>
    <x v="616"/>
    <d v="2025-02-22T19:13:00"/>
    <n v="7918.55"/>
    <s v="Wallet"/>
    <s v="Kotak"/>
    <s v="Failed"/>
    <x v="6"/>
    <m/>
    <m/>
    <m/>
  </r>
  <r>
    <x v="617"/>
    <d v="2025-01-22T08:42:00"/>
    <n v="367.6"/>
    <s v="Net Banking"/>
    <s v="Kotak"/>
    <s v="Success"/>
    <x v="0"/>
    <m/>
    <m/>
    <m/>
  </r>
  <r>
    <x v="618"/>
    <d v="2025-01-17T17:49:00"/>
    <n v="8312.0400000000009"/>
    <s v="Credit Card"/>
    <s v="PNB"/>
    <s v="Success"/>
    <x v="0"/>
    <m/>
    <m/>
    <m/>
  </r>
  <r>
    <x v="619"/>
    <d v="2025-02-02T02:31:00"/>
    <n v="8033.15"/>
    <s v="Credit Card"/>
    <s v="PNB"/>
    <s v="Success"/>
    <x v="0"/>
    <m/>
    <m/>
    <m/>
  </r>
  <r>
    <x v="620"/>
    <d v="2025-03-29T07:43:00"/>
    <n v="1068.69"/>
    <s v="Wallet"/>
    <s v="ICICI"/>
    <s v="Success"/>
    <x v="0"/>
    <m/>
    <m/>
    <m/>
  </r>
  <r>
    <x v="621"/>
    <d v="2025-01-08T21:28:00"/>
    <n v="79.86"/>
    <s v="UPI"/>
    <s v="HDFC"/>
    <s v="Success"/>
    <x v="0"/>
    <m/>
    <m/>
    <m/>
  </r>
  <r>
    <x v="622"/>
    <d v="2025-03-21T19:40:00"/>
    <n v="1170.95"/>
    <s v="Debit Card"/>
    <s v="ICICI"/>
    <s v="Success"/>
    <x v="0"/>
    <m/>
    <m/>
    <m/>
  </r>
  <r>
    <x v="623"/>
    <d v="2025-02-05T12:51:00"/>
    <n v="7653.89"/>
    <s v="Wallet"/>
    <s v="HDFC"/>
    <s v="Success"/>
    <x v="0"/>
    <m/>
    <m/>
    <m/>
  </r>
  <r>
    <x v="624"/>
    <d v="2025-01-14T02:50:00"/>
    <n v="297.02999999999997"/>
    <s v="Credit Card"/>
    <s v="Yes Bank"/>
    <s v="Success"/>
    <x v="0"/>
    <m/>
    <m/>
    <m/>
  </r>
  <r>
    <x v="625"/>
    <d v="2025-01-20T06:47:00"/>
    <n v="9165.57"/>
    <s v="Credit Card"/>
    <s v="Axis"/>
    <s v="Success"/>
    <x v="0"/>
    <m/>
    <m/>
    <m/>
  </r>
  <r>
    <x v="626"/>
    <d v="2025-02-01T13:58:00"/>
    <n v="5683.37"/>
    <s v="UPI"/>
    <s v="PNB"/>
    <s v="Success"/>
    <x v="0"/>
    <m/>
    <m/>
    <m/>
  </r>
  <r>
    <x v="627"/>
    <d v="2025-01-26T20:42:00"/>
    <n v="9626.32"/>
    <s v="UPI"/>
    <s v="SBI"/>
    <s v="Success"/>
    <x v="0"/>
    <m/>
    <m/>
    <m/>
  </r>
  <r>
    <x v="628"/>
    <d v="2025-03-16T18:13:00"/>
    <n v="7787.6"/>
    <s v="Net Banking"/>
    <s v="Kotak"/>
    <s v="Failed"/>
    <x v="6"/>
    <m/>
    <m/>
    <m/>
  </r>
  <r>
    <x v="629"/>
    <d v="2025-02-14T05:26:00"/>
    <n v="3200.64"/>
    <s v="Debit Card"/>
    <s v="Yes Bank"/>
    <s v="Failed"/>
    <x v="6"/>
    <m/>
    <m/>
    <m/>
  </r>
  <r>
    <x v="630"/>
    <d v="2025-01-05T23:49:00"/>
    <n v="8824.61"/>
    <s v="Debit Card"/>
    <s v="Axis"/>
    <s v="Success"/>
    <x v="0"/>
    <m/>
    <m/>
    <m/>
  </r>
  <r>
    <x v="631"/>
    <d v="2025-03-09T10:07:00"/>
    <n v="1435.27"/>
    <s v="Wallet"/>
    <s v="HDFC"/>
    <s v="Failed"/>
    <x v="2"/>
    <m/>
    <m/>
    <m/>
  </r>
  <r>
    <x v="632"/>
    <d v="2025-02-01T04:58:00"/>
    <n v="2038.91"/>
    <s v="Debit Card"/>
    <s v="Kotak"/>
    <s v="Success"/>
    <x v="0"/>
    <m/>
    <m/>
    <m/>
  </r>
  <r>
    <x v="633"/>
    <d v="2025-02-15T13:08:00"/>
    <n v="665.7"/>
    <s v="UPI"/>
    <s v="ICICI"/>
    <s v="Success"/>
    <x v="0"/>
    <m/>
    <m/>
    <m/>
  </r>
  <r>
    <x v="634"/>
    <d v="2025-03-28T07:36:00"/>
    <n v="8022.96"/>
    <s v="Credit Card"/>
    <s v="Kotak"/>
    <s v="Success"/>
    <x v="0"/>
    <m/>
    <m/>
    <m/>
  </r>
  <r>
    <x v="635"/>
    <d v="2025-03-29T09:49:00"/>
    <n v="5370.71"/>
    <s v="Wallet"/>
    <s v="Axis"/>
    <s v="Success"/>
    <x v="0"/>
    <m/>
    <m/>
    <m/>
  </r>
  <r>
    <x v="636"/>
    <d v="2025-01-05T01:23:00"/>
    <n v="3484.17"/>
    <s v="Wallet"/>
    <s v="Axis"/>
    <s v="Success"/>
    <x v="0"/>
    <m/>
    <m/>
    <m/>
  </r>
  <r>
    <x v="637"/>
    <d v="2025-02-03T08:16:00"/>
    <n v="8444.06"/>
    <s v="Net Banking"/>
    <s v="HDFC"/>
    <s v="Failed"/>
    <x v="3"/>
    <m/>
    <m/>
    <m/>
  </r>
  <r>
    <x v="638"/>
    <d v="2025-02-24T15:09:00"/>
    <n v="5223.24"/>
    <s v="Net Banking"/>
    <s v="ICICI"/>
    <s v="Failed"/>
    <x v="5"/>
    <m/>
    <m/>
    <m/>
  </r>
  <r>
    <x v="639"/>
    <d v="2025-01-03T16:53:00"/>
    <n v="9783.09"/>
    <s v="Net Banking"/>
    <s v="Axis"/>
    <s v="Success"/>
    <x v="0"/>
    <m/>
    <m/>
    <m/>
  </r>
  <r>
    <x v="640"/>
    <d v="2025-01-06T16:50:00"/>
    <n v="8772.84"/>
    <s v="Credit Card"/>
    <s v="SBI"/>
    <s v="Success"/>
    <x v="0"/>
    <m/>
    <m/>
    <m/>
  </r>
  <r>
    <x v="641"/>
    <d v="2025-01-15T21:17:00"/>
    <n v="4659.4399999999996"/>
    <s v="UPI"/>
    <s v="PNB"/>
    <s v="Failed"/>
    <x v="1"/>
    <m/>
    <m/>
    <m/>
  </r>
  <r>
    <x v="642"/>
    <d v="2025-01-13T18:29:00"/>
    <n v="3707"/>
    <s v="UPI"/>
    <s v="SBI"/>
    <s v="Success"/>
    <x v="0"/>
    <m/>
    <m/>
    <m/>
  </r>
  <r>
    <x v="643"/>
    <d v="2025-01-02T06:03:00"/>
    <n v="5008.74"/>
    <s v="Wallet"/>
    <s v="Kotak"/>
    <s v="Failed"/>
    <x v="3"/>
    <m/>
    <m/>
    <m/>
  </r>
  <r>
    <x v="644"/>
    <d v="2025-02-13T22:26:00"/>
    <n v="3611.06"/>
    <s v="Wallet"/>
    <s v="SBI"/>
    <s v="Success"/>
    <x v="0"/>
    <m/>
    <m/>
    <m/>
  </r>
  <r>
    <x v="645"/>
    <d v="2025-03-28T10:00:00"/>
    <n v="5392.62"/>
    <s v="Net Banking"/>
    <s v="SBI"/>
    <s v="Failed"/>
    <x v="1"/>
    <m/>
    <m/>
    <m/>
  </r>
  <r>
    <x v="646"/>
    <d v="2025-03-14T10:37:00"/>
    <n v="8110.34"/>
    <s v="UPI"/>
    <s v="Axis"/>
    <s v="Success"/>
    <x v="0"/>
    <m/>
    <m/>
    <m/>
  </r>
  <r>
    <x v="647"/>
    <d v="2025-02-05T16:39:00"/>
    <n v="1653.93"/>
    <s v="UPI"/>
    <s v="Kotak"/>
    <s v="Failed"/>
    <x v="3"/>
    <m/>
    <m/>
    <m/>
  </r>
  <r>
    <x v="648"/>
    <d v="2025-01-02T10:18:00"/>
    <n v="5763.57"/>
    <s v="Debit Card"/>
    <s v="Yes Bank"/>
    <s v="Success"/>
    <x v="0"/>
    <m/>
    <m/>
    <m/>
  </r>
  <r>
    <x v="649"/>
    <d v="2025-02-26T11:36:00"/>
    <n v="7221.67"/>
    <s v="UPI"/>
    <s v="Kotak"/>
    <s v="Success"/>
    <x v="0"/>
    <m/>
    <m/>
    <m/>
  </r>
  <r>
    <x v="650"/>
    <d v="2025-03-14T11:32:00"/>
    <n v="4629.63"/>
    <s v="Credit Card"/>
    <s v="PNB"/>
    <s v="Success"/>
    <x v="0"/>
    <m/>
    <m/>
    <m/>
  </r>
  <r>
    <x v="651"/>
    <d v="2025-02-02T20:35:00"/>
    <n v="8814.0300000000007"/>
    <s v="Debit Card"/>
    <s v="ICICI"/>
    <s v="Success"/>
    <x v="0"/>
    <m/>
    <m/>
    <m/>
  </r>
  <r>
    <x v="652"/>
    <d v="2025-01-09T12:46:00"/>
    <n v="2228.71"/>
    <s v="Wallet"/>
    <s v="ICICI"/>
    <s v="Success"/>
    <x v="0"/>
    <m/>
    <m/>
    <m/>
  </r>
  <r>
    <x v="653"/>
    <d v="2025-02-11T08:24:00"/>
    <n v="8931.98"/>
    <s v="UPI"/>
    <s v="Kotak"/>
    <s v="Success"/>
    <x v="0"/>
    <m/>
    <m/>
    <m/>
  </r>
  <r>
    <x v="654"/>
    <d v="2025-01-20T09:40:00"/>
    <n v="380.48"/>
    <s v="Wallet"/>
    <s v="SBI"/>
    <s v="Success"/>
    <x v="0"/>
    <m/>
    <m/>
    <m/>
  </r>
  <r>
    <x v="655"/>
    <d v="2025-01-27T10:47:00"/>
    <n v="1635.26"/>
    <s v="Debit Card"/>
    <s v="SBI"/>
    <s v="Failed"/>
    <x v="3"/>
    <m/>
    <m/>
    <m/>
  </r>
  <r>
    <x v="656"/>
    <d v="2025-01-17T19:15:00"/>
    <n v="8348.27"/>
    <s v="Wallet"/>
    <s v="ICICI"/>
    <s v="Success"/>
    <x v="0"/>
    <m/>
    <m/>
    <m/>
  </r>
  <r>
    <x v="657"/>
    <d v="2025-01-22T22:43:00"/>
    <n v="6535.37"/>
    <s v="UPI"/>
    <s v="ICICI"/>
    <s v="Success"/>
    <x v="0"/>
    <m/>
    <m/>
    <m/>
  </r>
  <r>
    <x v="658"/>
    <d v="2025-03-21T08:19:00"/>
    <n v="4105.3500000000004"/>
    <s v="Debit Card"/>
    <s v="HDFC"/>
    <s v="Success"/>
    <x v="0"/>
    <m/>
    <m/>
    <m/>
  </r>
  <r>
    <x v="659"/>
    <d v="2025-01-31T21:56:00"/>
    <n v="6789.54"/>
    <s v="Debit Card"/>
    <s v="HDFC"/>
    <s v="Failed"/>
    <x v="6"/>
    <m/>
    <m/>
    <m/>
  </r>
  <r>
    <x v="660"/>
    <d v="2025-01-17T22:35:00"/>
    <n v="8128.49"/>
    <s v="Wallet"/>
    <s v="SBI"/>
    <s v="Success"/>
    <x v="0"/>
    <m/>
    <m/>
    <m/>
  </r>
  <r>
    <x v="661"/>
    <d v="2025-01-11T00:46:00"/>
    <n v="8344.7999999999993"/>
    <s v="Debit Card"/>
    <s v="PNB"/>
    <s v="Failed"/>
    <x v="1"/>
    <m/>
    <m/>
    <m/>
  </r>
  <r>
    <x v="662"/>
    <d v="2025-01-13T02:20:00"/>
    <n v="6011.39"/>
    <s v="Net Banking"/>
    <s v="Yes Bank"/>
    <s v="Failed"/>
    <x v="1"/>
    <m/>
    <m/>
    <m/>
  </r>
  <r>
    <x v="663"/>
    <d v="2025-03-25T05:21:00"/>
    <n v="9730.2999999999993"/>
    <s v="UPI"/>
    <s v="ICICI"/>
    <s v="Success"/>
    <x v="0"/>
    <m/>
    <m/>
    <m/>
  </r>
  <r>
    <x v="664"/>
    <d v="2025-02-26T19:18:00"/>
    <n v="8188.47"/>
    <s v="Debit Card"/>
    <s v="SBI"/>
    <s v="Success"/>
    <x v="0"/>
    <m/>
    <m/>
    <m/>
  </r>
  <r>
    <x v="665"/>
    <d v="2025-03-19T09:19:00"/>
    <n v="4992.4799999999996"/>
    <s v="Wallet"/>
    <s v="PNB"/>
    <s v="Success"/>
    <x v="0"/>
    <m/>
    <m/>
    <m/>
  </r>
  <r>
    <x v="666"/>
    <d v="2025-01-18T15:31:00"/>
    <n v="3670.16"/>
    <s v="Debit Card"/>
    <s v="Kotak"/>
    <s v="Failed"/>
    <x v="3"/>
    <m/>
    <m/>
    <m/>
  </r>
  <r>
    <x v="667"/>
    <d v="2025-01-05T14:29:00"/>
    <n v="3508.66"/>
    <s v="Net Banking"/>
    <s v="HDFC"/>
    <s v="Success"/>
    <x v="0"/>
    <m/>
    <m/>
    <m/>
  </r>
  <r>
    <x v="668"/>
    <d v="2025-03-20T19:32:00"/>
    <n v="5876.46"/>
    <s v="Debit Card"/>
    <s v="Kotak"/>
    <s v="Success"/>
    <x v="0"/>
    <m/>
    <m/>
    <m/>
  </r>
  <r>
    <x v="669"/>
    <d v="2025-01-19T02:57:00"/>
    <n v="3386.82"/>
    <s v="Net Banking"/>
    <s v="HDFC"/>
    <s v="Success"/>
    <x v="0"/>
    <m/>
    <m/>
    <m/>
  </r>
  <r>
    <x v="670"/>
    <d v="2025-02-28T13:06:00"/>
    <n v="6769.09"/>
    <s v="Net Banking"/>
    <s v="HDFC"/>
    <s v="Success"/>
    <x v="0"/>
    <m/>
    <m/>
    <m/>
  </r>
  <r>
    <x v="671"/>
    <d v="2025-01-07T20:23:00"/>
    <n v="7235.28"/>
    <s v="Credit Card"/>
    <s v="ICICI"/>
    <s v="Success"/>
    <x v="0"/>
    <m/>
    <m/>
    <m/>
  </r>
  <r>
    <x v="672"/>
    <d v="2025-01-25T08:07:00"/>
    <n v="2586.7600000000002"/>
    <s v="UPI"/>
    <s v="PNB"/>
    <s v="Success"/>
    <x v="0"/>
    <m/>
    <m/>
    <m/>
  </r>
  <r>
    <x v="673"/>
    <d v="2025-01-30T14:42:00"/>
    <n v="9453.26"/>
    <s v="Debit Card"/>
    <s v="HDFC"/>
    <s v="Success"/>
    <x v="0"/>
    <m/>
    <m/>
    <m/>
  </r>
  <r>
    <x v="674"/>
    <d v="2025-01-31T15:35:00"/>
    <n v="1438.94"/>
    <s v="Wallet"/>
    <s v="PNB"/>
    <s v="Success"/>
    <x v="0"/>
    <m/>
    <m/>
    <m/>
  </r>
  <r>
    <x v="675"/>
    <d v="2025-02-03T18:25:00"/>
    <n v="6041.28"/>
    <s v="Wallet"/>
    <s v="Axis"/>
    <s v="Failed"/>
    <x v="4"/>
    <m/>
    <m/>
    <m/>
  </r>
  <r>
    <x v="676"/>
    <d v="2025-03-11T12:00:00"/>
    <n v="8662.02"/>
    <s v="UPI"/>
    <s v="Kotak"/>
    <s v="Success"/>
    <x v="0"/>
    <m/>
    <m/>
    <m/>
  </r>
  <r>
    <x v="677"/>
    <d v="2025-02-26T21:32:00"/>
    <n v="9295.84"/>
    <s v="Wallet"/>
    <s v="PNB"/>
    <s v="Success"/>
    <x v="0"/>
    <m/>
    <m/>
    <m/>
  </r>
  <r>
    <x v="678"/>
    <d v="2025-01-04T02:22:00"/>
    <n v="6905.1"/>
    <s v="UPI"/>
    <s v="HDFC"/>
    <s v="Success"/>
    <x v="0"/>
    <m/>
    <m/>
    <m/>
  </r>
  <r>
    <x v="679"/>
    <d v="2025-02-25T23:09:00"/>
    <n v="4023.51"/>
    <s v="UPI"/>
    <s v="Axis"/>
    <s v="Success"/>
    <x v="0"/>
    <m/>
    <m/>
    <m/>
  </r>
  <r>
    <x v="680"/>
    <d v="2025-02-08T09:02:00"/>
    <n v="7923.72"/>
    <s v="UPI"/>
    <s v="PNB"/>
    <s v="Success"/>
    <x v="0"/>
    <m/>
    <m/>
    <m/>
  </r>
  <r>
    <x v="681"/>
    <d v="2025-02-16T10:04:00"/>
    <n v="3857.65"/>
    <s v="Wallet"/>
    <s v="HDFC"/>
    <s v="Success"/>
    <x v="0"/>
    <m/>
    <m/>
    <m/>
  </r>
  <r>
    <x v="682"/>
    <d v="2025-01-15T00:48:00"/>
    <n v="4923.68"/>
    <s v="Credit Card"/>
    <s v="ICICI"/>
    <s v="Success"/>
    <x v="0"/>
    <m/>
    <m/>
    <m/>
  </r>
  <r>
    <x v="683"/>
    <d v="2025-03-08T15:49:00"/>
    <n v="2331.52"/>
    <s v="Wallet"/>
    <s v="Kotak"/>
    <s v="Success"/>
    <x v="0"/>
    <m/>
    <m/>
    <m/>
  </r>
  <r>
    <x v="684"/>
    <d v="2025-03-23T14:59:00"/>
    <n v="2512.7600000000002"/>
    <s v="Debit Card"/>
    <s v="Axis"/>
    <s v="Success"/>
    <x v="0"/>
    <m/>
    <m/>
    <m/>
  </r>
  <r>
    <x v="685"/>
    <d v="2025-01-01T05:20:00"/>
    <n v="481.58"/>
    <s v="Net Banking"/>
    <s v="ICICI"/>
    <s v="Failed"/>
    <x v="1"/>
    <m/>
    <m/>
    <m/>
  </r>
  <r>
    <x v="686"/>
    <d v="2025-02-14T11:52:00"/>
    <n v="9624.6"/>
    <s v="Net Banking"/>
    <s v="PNB"/>
    <s v="Success"/>
    <x v="0"/>
    <m/>
    <m/>
    <m/>
  </r>
  <r>
    <x v="687"/>
    <d v="2025-03-09T17:41:00"/>
    <n v="5657.14"/>
    <s v="Debit Card"/>
    <s v="PNB"/>
    <s v="Failed"/>
    <x v="3"/>
    <m/>
    <m/>
    <m/>
  </r>
  <r>
    <x v="688"/>
    <d v="2025-03-21T21:01:00"/>
    <n v="9273.43"/>
    <s v="Debit Card"/>
    <s v="HDFC"/>
    <s v="Success"/>
    <x v="0"/>
    <m/>
    <m/>
    <m/>
  </r>
  <r>
    <x v="689"/>
    <d v="2025-02-20T04:32:00"/>
    <n v="4975.82"/>
    <s v="Wallet"/>
    <s v="SBI"/>
    <s v="Success"/>
    <x v="0"/>
    <m/>
    <m/>
    <m/>
  </r>
  <r>
    <x v="690"/>
    <d v="2025-03-01T02:13:00"/>
    <n v="5645.5"/>
    <s v="Debit Card"/>
    <s v="Kotak"/>
    <s v="Success"/>
    <x v="0"/>
    <m/>
    <m/>
    <m/>
  </r>
  <r>
    <x v="691"/>
    <d v="2025-01-11T14:11:00"/>
    <n v="1669.2"/>
    <s v="Wallet"/>
    <s v="Kotak"/>
    <s v="Failed"/>
    <x v="3"/>
    <m/>
    <m/>
    <m/>
  </r>
  <r>
    <x v="692"/>
    <d v="2025-01-08T10:34:00"/>
    <n v="7695.05"/>
    <s v="Wallet"/>
    <s v="Kotak"/>
    <s v="Failed"/>
    <x v="4"/>
    <m/>
    <m/>
    <m/>
  </r>
  <r>
    <x v="693"/>
    <d v="2025-01-19T18:17:00"/>
    <n v="2649.23"/>
    <s v="Net Banking"/>
    <s v="Yes Bank"/>
    <s v="Success"/>
    <x v="0"/>
    <m/>
    <m/>
    <m/>
  </r>
  <r>
    <x v="694"/>
    <d v="2025-02-10T05:10:00"/>
    <n v="8141.61"/>
    <s v="Net Banking"/>
    <s v="SBI"/>
    <s v="Success"/>
    <x v="0"/>
    <m/>
    <m/>
    <m/>
  </r>
  <r>
    <x v="695"/>
    <d v="2025-03-18T02:53:00"/>
    <n v="7972.81"/>
    <s v="Net Banking"/>
    <s v="Axis"/>
    <s v="Success"/>
    <x v="0"/>
    <m/>
    <m/>
    <m/>
  </r>
  <r>
    <x v="696"/>
    <d v="2025-03-02T11:05:00"/>
    <n v="2438.5500000000002"/>
    <s v="UPI"/>
    <s v="Yes Bank"/>
    <s v="Success"/>
    <x v="0"/>
    <m/>
    <m/>
    <m/>
  </r>
  <r>
    <x v="697"/>
    <d v="2025-03-01T13:15:00"/>
    <n v="9198.41"/>
    <s v="Credit Card"/>
    <s v="SBI"/>
    <s v="Success"/>
    <x v="0"/>
    <m/>
    <m/>
    <m/>
  </r>
  <r>
    <x v="698"/>
    <d v="2025-03-16T20:12:00"/>
    <n v="7249.12"/>
    <s v="UPI"/>
    <s v="ICICI"/>
    <s v="Success"/>
    <x v="0"/>
    <m/>
    <m/>
    <m/>
  </r>
  <r>
    <x v="699"/>
    <d v="2025-01-30T04:41:00"/>
    <n v="6742.25"/>
    <s v="Wallet"/>
    <s v="Axis"/>
    <s v="Success"/>
    <x v="0"/>
    <m/>
    <m/>
    <m/>
  </r>
  <r>
    <x v="700"/>
    <d v="2025-03-12T02:37:00"/>
    <n v="4708.09"/>
    <s v="Wallet"/>
    <s v="PNB"/>
    <s v="Success"/>
    <x v="0"/>
    <m/>
    <m/>
    <m/>
  </r>
  <r>
    <x v="701"/>
    <d v="2025-01-23T22:08:00"/>
    <n v="3678.12"/>
    <s v="Debit Card"/>
    <s v="ICICI"/>
    <s v="Success"/>
    <x v="0"/>
    <m/>
    <m/>
    <m/>
  </r>
  <r>
    <x v="702"/>
    <d v="2025-01-22T09:52:00"/>
    <n v="1901.92"/>
    <s v="Net Banking"/>
    <s v="ICICI"/>
    <s v="Success"/>
    <x v="0"/>
    <m/>
    <m/>
    <m/>
  </r>
  <r>
    <x v="703"/>
    <d v="2025-01-13T00:03:00"/>
    <n v="5640.09"/>
    <s v="UPI"/>
    <s v="Kotak"/>
    <s v="Success"/>
    <x v="0"/>
    <m/>
    <m/>
    <m/>
  </r>
  <r>
    <x v="704"/>
    <d v="2025-01-20T16:44:00"/>
    <n v="5738.05"/>
    <s v="Net Banking"/>
    <s v="PNB"/>
    <s v="Success"/>
    <x v="0"/>
    <m/>
    <m/>
    <m/>
  </r>
  <r>
    <x v="705"/>
    <d v="2025-03-30T14:01:00"/>
    <n v="5933.53"/>
    <s v="Net Banking"/>
    <s v="SBI"/>
    <s v="Success"/>
    <x v="0"/>
    <m/>
    <m/>
    <m/>
  </r>
  <r>
    <x v="706"/>
    <d v="2025-03-04T16:21:00"/>
    <n v="7280.28"/>
    <s v="Debit Card"/>
    <s v="Yes Bank"/>
    <s v="Success"/>
    <x v="0"/>
    <m/>
    <m/>
    <m/>
  </r>
  <r>
    <x v="707"/>
    <d v="2025-01-09T07:02:00"/>
    <n v="5087.3100000000004"/>
    <s v="Wallet"/>
    <s v="Yes Bank"/>
    <s v="Success"/>
    <x v="0"/>
    <m/>
    <m/>
    <m/>
  </r>
  <r>
    <x v="708"/>
    <d v="2025-02-12T23:37:00"/>
    <n v="8821.6299999999992"/>
    <s v="Debit Card"/>
    <s v="PNB"/>
    <s v="Success"/>
    <x v="0"/>
    <m/>
    <m/>
    <m/>
  </r>
  <r>
    <x v="709"/>
    <d v="2025-03-22T05:39:00"/>
    <n v="6386.48"/>
    <s v="Wallet"/>
    <s v="HDFC"/>
    <s v="Success"/>
    <x v="0"/>
    <m/>
    <m/>
    <m/>
  </r>
  <r>
    <x v="710"/>
    <d v="2025-03-05T16:14:00"/>
    <n v="8272.06"/>
    <s v="Net Banking"/>
    <s v="ICICI"/>
    <s v="Success"/>
    <x v="0"/>
    <m/>
    <m/>
    <m/>
  </r>
  <r>
    <x v="711"/>
    <d v="2025-02-05T10:06:00"/>
    <n v="2223.8200000000002"/>
    <s v="Wallet"/>
    <s v="PNB"/>
    <s v="Success"/>
    <x v="0"/>
    <m/>
    <m/>
    <m/>
  </r>
  <r>
    <x v="712"/>
    <d v="2025-03-01T13:54:00"/>
    <n v="3516.36"/>
    <s v="UPI"/>
    <s v="Kotak"/>
    <s v="Success"/>
    <x v="0"/>
    <m/>
    <m/>
    <m/>
  </r>
  <r>
    <x v="713"/>
    <d v="2025-02-02T03:20:00"/>
    <n v="302.99"/>
    <s v="Debit Card"/>
    <s v="Axis"/>
    <s v="Success"/>
    <x v="0"/>
    <m/>
    <m/>
    <m/>
  </r>
  <r>
    <x v="714"/>
    <d v="2025-01-13T09:52:00"/>
    <n v="6539.61"/>
    <s v="Debit Card"/>
    <s v="SBI"/>
    <s v="Success"/>
    <x v="0"/>
    <m/>
    <m/>
    <m/>
  </r>
  <r>
    <x v="715"/>
    <d v="2025-03-05T12:05:00"/>
    <n v="5336.1"/>
    <s v="UPI"/>
    <s v="Axis"/>
    <s v="Success"/>
    <x v="0"/>
    <m/>
    <m/>
    <m/>
  </r>
  <r>
    <x v="716"/>
    <d v="2025-01-15T01:11:00"/>
    <n v="5900.15"/>
    <s v="Credit Card"/>
    <s v="HDFC"/>
    <s v="Success"/>
    <x v="0"/>
    <m/>
    <m/>
    <m/>
  </r>
  <r>
    <x v="717"/>
    <d v="2025-02-07T22:00:00"/>
    <n v="9827.6200000000008"/>
    <s v="Debit Card"/>
    <s v="Axis"/>
    <s v="Success"/>
    <x v="0"/>
    <m/>
    <m/>
    <m/>
  </r>
  <r>
    <x v="718"/>
    <d v="2025-02-09T17:55:00"/>
    <n v="7744.88"/>
    <s v="Net Banking"/>
    <s v="Axis"/>
    <s v="Success"/>
    <x v="0"/>
    <m/>
    <m/>
    <m/>
  </r>
  <r>
    <x v="719"/>
    <d v="2025-02-09T04:46:00"/>
    <n v="6801.84"/>
    <s v="Credit Card"/>
    <s v="PNB"/>
    <s v="Success"/>
    <x v="0"/>
    <m/>
    <m/>
    <m/>
  </r>
  <r>
    <x v="720"/>
    <d v="2025-03-21T00:40:00"/>
    <n v="3766.65"/>
    <s v="Wallet"/>
    <s v="HDFC"/>
    <s v="Failed"/>
    <x v="6"/>
    <m/>
    <m/>
    <m/>
  </r>
  <r>
    <x v="721"/>
    <d v="2025-02-09T08:54:00"/>
    <n v="5378.87"/>
    <s v="Debit Card"/>
    <s v="PNB"/>
    <s v="Success"/>
    <x v="0"/>
    <m/>
    <m/>
    <m/>
  </r>
  <r>
    <x v="722"/>
    <d v="2025-03-19T10:20:00"/>
    <n v="7838.92"/>
    <s v="UPI"/>
    <s v="Yes Bank"/>
    <s v="Failed"/>
    <x v="5"/>
    <m/>
    <m/>
    <m/>
  </r>
  <r>
    <x v="723"/>
    <d v="2025-01-27T13:58:00"/>
    <n v="3359.68"/>
    <s v="Net Banking"/>
    <s v="PNB"/>
    <s v="Success"/>
    <x v="0"/>
    <m/>
    <m/>
    <m/>
  </r>
  <r>
    <x v="724"/>
    <d v="2025-03-18T14:53:00"/>
    <n v="7395.55"/>
    <s v="Debit Card"/>
    <s v="Yes Bank"/>
    <s v="Success"/>
    <x v="0"/>
    <m/>
    <m/>
    <m/>
  </r>
  <r>
    <x v="725"/>
    <d v="2025-03-28T11:42:00"/>
    <n v="7586.21"/>
    <s v="UPI"/>
    <s v="Yes Bank"/>
    <s v="Success"/>
    <x v="0"/>
    <m/>
    <m/>
    <m/>
  </r>
  <r>
    <x v="726"/>
    <d v="2025-03-15T09:57:00"/>
    <n v="3138.37"/>
    <s v="Debit Card"/>
    <s v="Kotak"/>
    <s v="Success"/>
    <x v="0"/>
    <m/>
    <m/>
    <m/>
  </r>
  <r>
    <x v="727"/>
    <d v="2025-01-12T23:22:00"/>
    <n v="3968.33"/>
    <s v="Net Banking"/>
    <s v="Kotak"/>
    <s v="Failed"/>
    <x v="2"/>
    <m/>
    <m/>
    <m/>
  </r>
  <r>
    <x v="728"/>
    <d v="2025-01-08T16:13:00"/>
    <n v="8270.23"/>
    <s v="Wallet"/>
    <s v="Kotak"/>
    <s v="Failed"/>
    <x v="5"/>
    <m/>
    <m/>
    <m/>
  </r>
  <r>
    <x v="729"/>
    <d v="2025-01-25T06:58:00"/>
    <n v="2757.26"/>
    <s v="Net Banking"/>
    <s v="Axis"/>
    <s v="Success"/>
    <x v="0"/>
    <m/>
    <m/>
    <m/>
  </r>
  <r>
    <x v="730"/>
    <d v="2025-03-05T16:08:00"/>
    <n v="906.49"/>
    <s v="Debit Card"/>
    <s v="Axis"/>
    <s v="Success"/>
    <x v="0"/>
    <m/>
    <m/>
    <m/>
  </r>
  <r>
    <x v="731"/>
    <d v="2025-02-28T21:45:00"/>
    <n v="8554.99"/>
    <s v="Wallet"/>
    <s v="Kotak"/>
    <s v="Success"/>
    <x v="0"/>
    <m/>
    <m/>
    <m/>
  </r>
  <r>
    <x v="732"/>
    <d v="2025-02-23T15:04:00"/>
    <n v="6243.93"/>
    <s v="Wallet"/>
    <s v="ICICI"/>
    <s v="Success"/>
    <x v="0"/>
    <m/>
    <m/>
    <m/>
  </r>
  <r>
    <x v="733"/>
    <d v="2025-03-16T09:23:00"/>
    <n v="8878.98"/>
    <s v="Credit Card"/>
    <s v="Kotak"/>
    <s v="Success"/>
    <x v="0"/>
    <m/>
    <m/>
    <m/>
  </r>
  <r>
    <x v="734"/>
    <d v="2025-02-12T08:27:00"/>
    <n v="4088.01"/>
    <s v="Net Banking"/>
    <s v="SBI"/>
    <s v="Failed"/>
    <x v="5"/>
    <m/>
    <m/>
    <m/>
  </r>
  <r>
    <x v="735"/>
    <d v="2025-02-24T02:28:00"/>
    <n v="8524.73"/>
    <s v="Debit Card"/>
    <s v="PNB"/>
    <s v="Success"/>
    <x v="0"/>
    <m/>
    <m/>
    <m/>
  </r>
  <r>
    <x v="736"/>
    <d v="2025-01-03T04:31:00"/>
    <n v="3580.52"/>
    <s v="Wallet"/>
    <s v="SBI"/>
    <s v="Success"/>
    <x v="0"/>
    <m/>
    <m/>
    <m/>
  </r>
  <r>
    <x v="737"/>
    <d v="2025-01-27T11:52:00"/>
    <n v="7831.92"/>
    <s v="Net Banking"/>
    <s v="ICICI"/>
    <s v="Failed"/>
    <x v="2"/>
    <m/>
    <m/>
    <m/>
  </r>
  <r>
    <x v="738"/>
    <d v="2025-03-26T10:25:00"/>
    <n v="6686.54"/>
    <s v="Debit Card"/>
    <s v="ICICI"/>
    <s v="Success"/>
    <x v="0"/>
    <m/>
    <m/>
    <m/>
  </r>
  <r>
    <x v="739"/>
    <d v="2025-03-26T23:25:00"/>
    <n v="3191.9"/>
    <s v="Net Banking"/>
    <s v="HDFC"/>
    <s v="Success"/>
    <x v="0"/>
    <m/>
    <m/>
    <m/>
  </r>
  <r>
    <x v="740"/>
    <d v="2025-01-12T11:05:00"/>
    <n v="3394.56"/>
    <s v="Debit Card"/>
    <s v="Axis"/>
    <s v="Success"/>
    <x v="0"/>
    <m/>
    <m/>
    <m/>
  </r>
  <r>
    <x v="741"/>
    <d v="2025-01-29T23:23:00"/>
    <n v="9936.48"/>
    <s v="UPI"/>
    <s v="Kotak"/>
    <s v="Success"/>
    <x v="0"/>
    <m/>
    <m/>
    <m/>
  </r>
  <r>
    <x v="742"/>
    <d v="2025-02-15T00:03:00"/>
    <n v="8430.36"/>
    <s v="UPI"/>
    <s v="PNB"/>
    <s v="Success"/>
    <x v="0"/>
    <m/>
    <m/>
    <m/>
  </r>
  <r>
    <x v="743"/>
    <d v="2025-03-07T06:09:00"/>
    <n v="857.64"/>
    <s v="Wallet"/>
    <s v="Axis"/>
    <s v="Success"/>
    <x v="0"/>
    <m/>
    <m/>
    <m/>
  </r>
  <r>
    <x v="744"/>
    <d v="2025-01-05T03:42:00"/>
    <n v="3296.66"/>
    <s v="Debit Card"/>
    <s v="Kotak"/>
    <s v="Failed"/>
    <x v="4"/>
    <m/>
    <m/>
    <m/>
  </r>
  <r>
    <x v="745"/>
    <d v="2025-01-21T13:59:00"/>
    <n v="5916.92"/>
    <s v="Wallet"/>
    <s v="Axis"/>
    <s v="Success"/>
    <x v="0"/>
    <m/>
    <m/>
    <m/>
  </r>
  <r>
    <x v="746"/>
    <d v="2025-02-25T19:16:00"/>
    <n v="5108.8500000000004"/>
    <s v="UPI"/>
    <s v="HDFC"/>
    <s v="Success"/>
    <x v="0"/>
    <m/>
    <m/>
    <m/>
  </r>
  <r>
    <x v="747"/>
    <d v="2025-01-09T06:32:00"/>
    <n v="4168.03"/>
    <s v="Credit Card"/>
    <s v="PNB"/>
    <s v="Success"/>
    <x v="0"/>
    <m/>
    <m/>
    <m/>
  </r>
  <r>
    <x v="748"/>
    <d v="2025-01-05T16:06:00"/>
    <n v="766.85"/>
    <s v="Net Banking"/>
    <s v="HDFC"/>
    <s v="Success"/>
    <x v="0"/>
    <m/>
    <m/>
    <m/>
  </r>
  <r>
    <x v="749"/>
    <d v="2025-01-26T13:12:00"/>
    <n v="4577.76"/>
    <s v="Net Banking"/>
    <s v="Yes Bank"/>
    <s v="Success"/>
    <x v="0"/>
    <m/>
    <m/>
    <m/>
  </r>
  <r>
    <x v="750"/>
    <d v="2025-03-31T00:05:00"/>
    <n v="8455.89"/>
    <s v="Wallet"/>
    <s v="Kotak"/>
    <s v="Success"/>
    <x v="0"/>
    <m/>
    <m/>
    <m/>
  </r>
  <r>
    <x v="751"/>
    <d v="2025-01-13T01:41:00"/>
    <n v="5276.01"/>
    <s v="Net Banking"/>
    <s v="Yes Bank"/>
    <s v="Success"/>
    <x v="0"/>
    <m/>
    <m/>
    <m/>
  </r>
  <r>
    <x v="752"/>
    <d v="2025-01-22T04:21:00"/>
    <n v="5231.71"/>
    <s v="Debit Card"/>
    <s v="PNB"/>
    <s v="Success"/>
    <x v="0"/>
    <m/>
    <m/>
    <m/>
  </r>
  <r>
    <x v="753"/>
    <d v="2025-01-27T23:08:00"/>
    <n v="1202.83"/>
    <s v="Credit Card"/>
    <s v="SBI"/>
    <s v="Success"/>
    <x v="0"/>
    <m/>
    <m/>
    <m/>
  </r>
  <r>
    <x v="754"/>
    <d v="2025-02-28T10:31:00"/>
    <n v="7190.75"/>
    <s v="Credit Card"/>
    <s v="Yes Bank"/>
    <s v="Failed"/>
    <x v="4"/>
    <m/>
    <m/>
    <m/>
  </r>
  <r>
    <x v="755"/>
    <d v="2025-03-18T06:47:00"/>
    <n v="4621.9399999999996"/>
    <s v="Net Banking"/>
    <s v="Yes Bank"/>
    <s v="Success"/>
    <x v="0"/>
    <m/>
    <m/>
    <m/>
  </r>
  <r>
    <x v="756"/>
    <d v="2025-03-20T21:16:00"/>
    <n v="2635.85"/>
    <s v="Debit Card"/>
    <s v="PNB"/>
    <s v="Failed"/>
    <x v="6"/>
    <m/>
    <m/>
    <m/>
  </r>
  <r>
    <x v="757"/>
    <d v="2025-03-16T19:10:00"/>
    <n v="787.27"/>
    <s v="Credit Card"/>
    <s v="SBI"/>
    <s v="Success"/>
    <x v="0"/>
    <m/>
    <m/>
    <m/>
  </r>
  <r>
    <x v="758"/>
    <d v="2025-03-20T19:25:00"/>
    <n v="3055.67"/>
    <s v="UPI"/>
    <s v="Yes Bank"/>
    <s v="Success"/>
    <x v="0"/>
    <m/>
    <m/>
    <m/>
  </r>
  <r>
    <x v="759"/>
    <d v="2025-02-07T19:42:00"/>
    <n v="3559.52"/>
    <s v="Credit Card"/>
    <s v="Kotak"/>
    <s v="Success"/>
    <x v="0"/>
    <m/>
    <m/>
    <m/>
  </r>
  <r>
    <x v="760"/>
    <d v="2025-01-26T15:32:00"/>
    <n v="3964.63"/>
    <s v="UPI"/>
    <s v="Yes Bank"/>
    <s v="Success"/>
    <x v="0"/>
    <m/>
    <m/>
    <m/>
  </r>
  <r>
    <x v="761"/>
    <d v="2025-03-11T15:32:00"/>
    <n v="6572.06"/>
    <s v="Debit Card"/>
    <s v="ICICI"/>
    <s v="Success"/>
    <x v="0"/>
    <m/>
    <m/>
    <m/>
  </r>
  <r>
    <x v="762"/>
    <d v="2025-01-19T19:57:00"/>
    <n v="618.54999999999995"/>
    <s v="Net Banking"/>
    <s v="PNB"/>
    <s v="Success"/>
    <x v="0"/>
    <m/>
    <m/>
    <m/>
  </r>
  <r>
    <x v="763"/>
    <d v="2025-03-27T14:18:00"/>
    <n v="3053.77"/>
    <s v="Net Banking"/>
    <s v="PNB"/>
    <s v="Success"/>
    <x v="0"/>
    <m/>
    <m/>
    <m/>
  </r>
  <r>
    <x v="764"/>
    <d v="2025-01-02T00:37:00"/>
    <n v="843.16"/>
    <s v="UPI"/>
    <s v="ICICI"/>
    <s v="Failed"/>
    <x v="4"/>
    <m/>
    <m/>
    <m/>
  </r>
  <r>
    <x v="765"/>
    <d v="2025-01-22T08:30:00"/>
    <n v="2819.22"/>
    <s v="Credit Card"/>
    <s v="PNB"/>
    <s v="Success"/>
    <x v="0"/>
    <m/>
    <m/>
    <m/>
  </r>
  <r>
    <x v="766"/>
    <d v="2025-02-23T09:21:00"/>
    <n v="142.46"/>
    <s v="Credit Card"/>
    <s v="HDFC"/>
    <s v="Failed"/>
    <x v="3"/>
    <m/>
    <m/>
    <m/>
  </r>
  <r>
    <x v="767"/>
    <d v="2025-03-23T07:41:00"/>
    <n v="2422.2600000000002"/>
    <s v="Credit Card"/>
    <s v="SBI"/>
    <s v="Success"/>
    <x v="0"/>
    <m/>
    <m/>
    <m/>
  </r>
  <r>
    <x v="768"/>
    <d v="2025-01-12T18:25:00"/>
    <n v="5393.58"/>
    <s v="Credit Card"/>
    <s v="Axis"/>
    <s v="Success"/>
    <x v="0"/>
    <m/>
    <m/>
    <m/>
  </r>
  <r>
    <x v="769"/>
    <d v="2025-02-16T09:03:00"/>
    <n v="8191.23"/>
    <s v="Debit Card"/>
    <s v="SBI"/>
    <s v="Failed"/>
    <x v="6"/>
    <m/>
    <m/>
    <m/>
  </r>
  <r>
    <x v="770"/>
    <d v="2025-02-05T01:47:00"/>
    <n v="8168.94"/>
    <s v="Net Banking"/>
    <s v="Kotak"/>
    <s v="Success"/>
    <x v="0"/>
    <m/>
    <m/>
    <m/>
  </r>
  <r>
    <x v="771"/>
    <d v="2025-02-03T01:42:00"/>
    <n v="1156.48"/>
    <s v="Net Banking"/>
    <s v="Axis"/>
    <s v="Failed"/>
    <x v="1"/>
    <m/>
    <m/>
    <m/>
  </r>
  <r>
    <x v="772"/>
    <d v="2025-01-26T07:55:00"/>
    <n v="4693.2700000000004"/>
    <s v="Debit Card"/>
    <s v="Axis"/>
    <s v="Success"/>
    <x v="0"/>
    <m/>
    <m/>
    <m/>
  </r>
  <r>
    <x v="773"/>
    <d v="2025-01-20T07:39:00"/>
    <n v="5246.66"/>
    <s v="Wallet"/>
    <s v="SBI"/>
    <s v="Success"/>
    <x v="0"/>
    <m/>
    <m/>
    <m/>
  </r>
  <r>
    <x v="774"/>
    <d v="2025-01-10T03:59:00"/>
    <n v="5671.31"/>
    <s v="Debit Card"/>
    <s v="PNB"/>
    <s v="Failed"/>
    <x v="6"/>
    <m/>
    <m/>
    <m/>
  </r>
  <r>
    <x v="775"/>
    <d v="2025-02-20T12:01:00"/>
    <n v="3129.5"/>
    <s v="Credit Card"/>
    <s v="SBI"/>
    <s v="Success"/>
    <x v="0"/>
    <m/>
    <m/>
    <m/>
  </r>
  <r>
    <x v="776"/>
    <d v="2025-03-24T15:11:00"/>
    <n v="5585.29"/>
    <s v="UPI"/>
    <s v="Yes Bank"/>
    <s v="Success"/>
    <x v="0"/>
    <m/>
    <m/>
    <m/>
  </r>
  <r>
    <x v="777"/>
    <d v="2025-03-06T09:16:00"/>
    <n v="4800.8999999999996"/>
    <s v="Net Banking"/>
    <s v="Yes Bank"/>
    <s v="Success"/>
    <x v="0"/>
    <m/>
    <m/>
    <m/>
  </r>
  <r>
    <x v="778"/>
    <d v="2025-02-04T12:10:00"/>
    <n v="2389.52"/>
    <s v="Wallet"/>
    <s v="SBI"/>
    <s v="Success"/>
    <x v="0"/>
    <m/>
    <m/>
    <m/>
  </r>
  <r>
    <x v="779"/>
    <d v="2025-01-11T03:16:00"/>
    <n v="1326.27"/>
    <s v="Credit Card"/>
    <s v="ICICI"/>
    <s v="Success"/>
    <x v="0"/>
    <m/>
    <m/>
    <m/>
  </r>
  <r>
    <x v="780"/>
    <d v="2025-03-16T03:05:00"/>
    <n v="7743.5"/>
    <s v="Net Banking"/>
    <s v="Kotak"/>
    <s v="Failed"/>
    <x v="4"/>
    <m/>
    <m/>
    <m/>
  </r>
  <r>
    <x v="781"/>
    <d v="2025-02-24T05:13:00"/>
    <n v="7229.92"/>
    <s v="Wallet"/>
    <s v="Kotak"/>
    <s v="Failed"/>
    <x v="6"/>
    <m/>
    <m/>
    <m/>
  </r>
  <r>
    <x v="782"/>
    <d v="2025-02-14T13:02:00"/>
    <n v="2662.44"/>
    <s v="Debit Card"/>
    <s v="Yes Bank"/>
    <s v="Success"/>
    <x v="0"/>
    <m/>
    <m/>
    <m/>
  </r>
  <r>
    <x v="783"/>
    <d v="2025-03-15T23:01:00"/>
    <n v="5204.93"/>
    <s v="Wallet"/>
    <s v="ICICI"/>
    <s v="Success"/>
    <x v="0"/>
    <m/>
    <m/>
    <m/>
  </r>
  <r>
    <x v="784"/>
    <d v="2025-01-17T22:55:00"/>
    <n v="6704.32"/>
    <s v="UPI"/>
    <s v="PNB"/>
    <s v="Success"/>
    <x v="0"/>
    <m/>
    <m/>
    <m/>
  </r>
  <r>
    <x v="785"/>
    <d v="2025-03-21T10:29:00"/>
    <n v="1423.29"/>
    <s v="UPI"/>
    <s v="ICICI"/>
    <s v="Success"/>
    <x v="0"/>
    <m/>
    <m/>
    <m/>
  </r>
  <r>
    <x v="786"/>
    <d v="2025-01-07T14:32:00"/>
    <n v="4844.21"/>
    <s v="Credit Card"/>
    <s v="ICICI"/>
    <s v="Success"/>
    <x v="0"/>
    <m/>
    <m/>
    <m/>
  </r>
  <r>
    <x v="787"/>
    <d v="2025-03-24T07:22:00"/>
    <n v="4797.3"/>
    <s v="Debit Card"/>
    <s v="ICICI"/>
    <s v="Success"/>
    <x v="0"/>
    <m/>
    <m/>
    <m/>
  </r>
  <r>
    <x v="788"/>
    <d v="2025-02-01T15:18:00"/>
    <n v="3061.2"/>
    <s v="Debit Card"/>
    <s v="PNB"/>
    <s v="Success"/>
    <x v="0"/>
    <m/>
    <m/>
    <m/>
  </r>
  <r>
    <x v="789"/>
    <d v="2025-01-22T15:57:00"/>
    <n v="4893.3900000000003"/>
    <s v="Net Banking"/>
    <s v="Kotak"/>
    <s v="Success"/>
    <x v="0"/>
    <m/>
    <m/>
    <m/>
  </r>
  <r>
    <x v="790"/>
    <d v="2025-02-02T09:53:00"/>
    <n v="5428"/>
    <s v="Wallet"/>
    <s v="Axis"/>
    <s v="Success"/>
    <x v="0"/>
    <m/>
    <m/>
    <m/>
  </r>
  <r>
    <x v="791"/>
    <d v="2025-03-16T03:08:00"/>
    <n v="675.24"/>
    <s v="Net Banking"/>
    <s v="HDFC"/>
    <s v="Success"/>
    <x v="0"/>
    <m/>
    <m/>
    <m/>
  </r>
  <r>
    <x v="792"/>
    <d v="2025-02-10T12:04:00"/>
    <n v="5994.48"/>
    <s v="Debit Card"/>
    <s v="Yes Bank"/>
    <s v="Failed"/>
    <x v="6"/>
    <m/>
    <m/>
    <m/>
  </r>
  <r>
    <x v="793"/>
    <d v="2025-02-12T11:22:00"/>
    <n v="8538.83"/>
    <s v="Net Banking"/>
    <s v="Yes Bank"/>
    <s v="Success"/>
    <x v="0"/>
    <m/>
    <m/>
    <m/>
  </r>
  <r>
    <x v="794"/>
    <d v="2025-02-17T01:32:00"/>
    <n v="4828.0600000000004"/>
    <s v="UPI"/>
    <s v="Kotak"/>
    <s v="Success"/>
    <x v="0"/>
    <m/>
    <m/>
    <m/>
  </r>
  <r>
    <x v="795"/>
    <d v="2025-02-11T09:41:00"/>
    <n v="6660.31"/>
    <s v="Credit Card"/>
    <s v="HDFC"/>
    <s v="Success"/>
    <x v="0"/>
    <m/>
    <m/>
    <m/>
  </r>
  <r>
    <x v="796"/>
    <d v="2025-03-09T13:19:00"/>
    <n v="3119.86"/>
    <s v="UPI"/>
    <s v="ICICI"/>
    <s v="Failed"/>
    <x v="1"/>
    <m/>
    <m/>
    <m/>
  </r>
  <r>
    <x v="797"/>
    <d v="2025-02-15T01:58:00"/>
    <n v="3525.21"/>
    <s v="Wallet"/>
    <s v="Kotak"/>
    <s v="Success"/>
    <x v="0"/>
    <m/>
    <m/>
    <m/>
  </r>
  <r>
    <x v="798"/>
    <d v="2025-03-12T13:57:00"/>
    <n v="3959.32"/>
    <s v="Net Banking"/>
    <s v="HDFC"/>
    <s v="Success"/>
    <x v="0"/>
    <m/>
    <m/>
    <m/>
  </r>
  <r>
    <x v="799"/>
    <d v="2025-03-11T13:28:00"/>
    <n v="5851.91"/>
    <s v="Credit Card"/>
    <s v="HDFC"/>
    <s v="Success"/>
    <x v="0"/>
    <m/>
    <m/>
    <m/>
  </r>
  <r>
    <x v="800"/>
    <d v="2025-02-15T20:26:00"/>
    <n v="3586.92"/>
    <s v="Net Banking"/>
    <s v="ICICI"/>
    <s v="Success"/>
    <x v="0"/>
    <m/>
    <m/>
    <m/>
  </r>
  <r>
    <x v="801"/>
    <d v="2025-02-05T19:39:00"/>
    <n v="1101.5999999999999"/>
    <s v="UPI"/>
    <s v="Yes Bank"/>
    <s v="Success"/>
    <x v="0"/>
    <m/>
    <m/>
    <m/>
  </r>
  <r>
    <x v="802"/>
    <d v="2025-03-11T23:02:00"/>
    <n v="5661.33"/>
    <s v="Credit Card"/>
    <s v="SBI"/>
    <s v="Success"/>
    <x v="0"/>
    <m/>
    <m/>
    <m/>
  </r>
  <r>
    <x v="803"/>
    <d v="2025-03-09T19:58:00"/>
    <n v="1371.07"/>
    <s v="UPI"/>
    <s v="Yes Bank"/>
    <s v="Success"/>
    <x v="0"/>
    <m/>
    <m/>
    <m/>
  </r>
  <r>
    <x v="804"/>
    <d v="2025-02-08T07:34:00"/>
    <n v="8569.14"/>
    <s v="Credit Card"/>
    <s v="Axis"/>
    <s v="Failed"/>
    <x v="2"/>
    <m/>
    <m/>
    <m/>
  </r>
  <r>
    <x v="805"/>
    <d v="2025-01-10T00:07:00"/>
    <n v="3332.41"/>
    <s v="Debit Card"/>
    <s v="Kotak"/>
    <s v="Success"/>
    <x v="0"/>
    <m/>
    <m/>
    <m/>
  </r>
  <r>
    <x v="806"/>
    <d v="2025-01-09T19:20:00"/>
    <n v="1410.07"/>
    <s v="UPI"/>
    <s v="Axis"/>
    <s v="Success"/>
    <x v="0"/>
    <m/>
    <m/>
    <m/>
  </r>
  <r>
    <x v="807"/>
    <d v="2025-03-03T12:01:00"/>
    <n v="8305.2099999999991"/>
    <s v="Debit Card"/>
    <s v="SBI"/>
    <s v="Success"/>
    <x v="0"/>
    <m/>
    <m/>
    <m/>
  </r>
  <r>
    <x v="808"/>
    <d v="2025-03-26T03:15:00"/>
    <n v="1566.46"/>
    <s v="Credit Card"/>
    <s v="ICICI"/>
    <s v="Success"/>
    <x v="0"/>
    <m/>
    <m/>
    <m/>
  </r>
  <r>
    <x v="809"/>
    <d v="2025-01-09T16:09:00"/>
    <n v="7188.9"/>
    <s v="Net Banking"/>
    <s v="HDFC"/>
    <s v="Success"/>
    <x v="0"/>
    <m/>
    <m/>
    <m/>
  </r>
  <r>
    <x v="810"/>
    <d v="2025-03-12T19:26:00"/>
    <n v="7558.92"/>
    <s v="Credit Card"/>
    <s v="SBI"/>
    <s v="Success"/>
    <x v="0"/>
    <m/>
    <m/>
    <m/>
  </r>
  <r>
    <x v="811"/>
    <d v="2025-01-08T02:11:00"/>
    <n v="9406.5"/>
    <s v="Wallet"/>
    <s v="Kotak"/>
    <s v="Success"/>
    <x v="0"/>
    <m/>
    <m/>
    <m/>
  </r>
  <r>
    <x v="812"/>
    <d v="2025-03-20T20:54:00"/>
    <n v="8853.98"/>
    <s v="Net Banking"/>
    <s v="Axis"/>
    <s v="Success"/>
    <x v="0"/>
    <m/>
    <m/>
    <m/>
  </r>
  <r>
    <x v="813"/>
    <d v="2025-02-14T07:44:00"/>
    <n v="6788.95"/>
    <s v="UPI"/>
    <s v="Yes Bank"/>
    <s v="Success"/>
    <x v="0"/>
    <m/>
    <m/>
    <m/>
  </r>
  <r>
    <x v="814"/>
    <d v="2025-03-19T00:44:00"/>
    <n v="4583.34"/>
    <s v="Debit Card"/>
    <s v="SBI"/>
    <s v="Success"/>
    <x v="0"/>
    <m/>
    <m/>
    <m/>
  </r>
  <r>
    <x v="815"/>
    <d v="2025-03-28T12:57:00"/>
    <n v="1664.44"/>
    <s v="Wallet"/>
    <s v="Axis"/>
    <s v="Success"/>
    <x v="0"/>
    <m/>
    <m/>
    <m/>
  </r>
  <r>
    <x v="816"/>
    <d v="2025-01-30T11:19:00"/>
    <n v="7590.3"/>
    <s v="Net Banking"/>
    <s v="PNB"/>
    <s v="Success"/>
    <x v="0"/>
    <m/>
    <m/>
    <m/>
  </r>
  <r>
    <x v="817"/>
    <d v="2025-03-10T18:35:00"/>
    <n v="9856.34"/>
    <s v="UPI"/>
    <s v="ICICI"/>
    <s v="Success"/>
    <x v="0"/>
    <m/>
    <m/>
    <m/>
  </r>
  <r>
    <x v="818"/>
    <d v="2025-02-05T11:25:00"/>
    <n v="3287.54"/>
    <s v="Net Banking"/>
    <s v="Axis"/>
    <s v="Success"/>
    <x v="0"/>
    <m/>
    <m/>
    <m/>
  </r>
  <r>
    <x v="819"/>
    <d v="2025-01-27T14:03:00"/>
    <n v="5857.8"/>
    <s v="Credit Card"/>
    <s v="SBI"/>
    <s v="Success"/>
    <x v="0"/>
    <m/>
    <m/>
    <m/>
  </r>
  <r>
    <x v="820"/>
    <d v="2025-01-07T01:40:00"/>
    <n v="3308.15"/>
    <s v="Credit Card"/>
    <s v="Kotak"/>
    <s v="Success"/>
    <x v="0"/>
    <m/>
    <m/>
    <m/>
  </r>
  <r>
    <x v="821"/>
    <d v="2025-01-15T12:11:00"/>
    <n v="9555.06"/>
    <s v="Wallet"/>
    <s v="Yes Bank"/>
    <s v="Success"/>
    <x v="0"/>
    <m/>
    <m/>
    <m/>
  </r>
  <r>
    <x v="822"/>
    <d v="2025-02-07T17:29:00"/>
    <n v="2860.83"/>
    <s v="Debit Card"/>
    <s v="SBI"/>
    <s v="Success"/>
    <x v="0"/>
    <m/>
    <m/>
    <m/>
  </r>
  <r>
    <x v="823"/>
    <d v="2025-01-27T12:21:00"/>
    <n v="888.77"/>
    <s v="Net Banking"/>
    <s v="SBI"/>
    <s v="Success"/>
    <x v="0"/>
    <m/>
    <m/>
    <m/>
  </r>
  <r>
    <x v="824"/>
    <d v="2025-02-18T02:11:00"/>
    <n v="650.9"/>
    <s v="Net Banking"/>
    <s v="Axis"/>
    <s v="Success"/>
    <x v="0"/>
    <m/>
    <m/>
    <m/>
  </r>
  <r>
    <x v="825"/>
    <d v="2025-03-30T05:22:00"/>
    <n v="6092.26"/>
    <s v="Debit Card"/>
    <s v="HDFC"/>
    <s v="Success"/>
    <x v="0"/>
    <m/>
    <m/>
    <m/>
  </r>
  <r>
    <x v="826"/>
    <d v="2025-01-09T05:34:00"/>
    <n v="1840.29"/>
    <s v="Credit Card"/>
    <s v="Yes Bank"/>
    <s v="Success"/>
    <x v="0"/>
    <m/>
    <m/>
    <m/>
  </r>
  <r>
    <x v="827"/>
    <d v="2025-02-03T03:57:00"/>
    <n v="9625.11"/>
    <s v="Wallet"/>
    <s v="HDFC"/>
    <s v="Failed"/>
    <x v="4"/>
    <m/>
    <m/>
    <m/>
  </r>
  <r>
    <x v="828"/>
    <d v="2025-03-11T05:56:00"/>
    <n v="9750.24"/>
    <s v="UPI"/>
    <s v="SBI"/>
    <s v="Success"/>
    <x v="0"/>
    <m/>
    <m/>
    <m/>
  </r>
  <r>
    <x v="829"/>
    <d v="2025-03-26T02:33:00"/>
    <n v="8963.18"/>
    <s v="Credit Card"/>
    <s v="Yes Bank"/>
    <s v="Success"/>
    <x v="0"/>
    <m/>
    <m/>
    <m/>
  </r>
  <r>
    <x v="830"/>
    <d v="2025-02-02T05:15:00"/>
    <n v="676.92"/>
    <s v="Net Banking"/>
    <s v="PNB"/>
    <s v="Failed"/>
    <x v="3"/>
    <m/>
    <m/>
    <m/>
  </r>
  <r>
    <x v="831"/>
    <d v="2025-03-22T15:14:00"/>
    <n v="5527.02"/>
    <s v="UPI"/>
    <s v="SBI"/>
    <s v="Success"/>
    <x v="0"/>
    <m/>
    <m/>
    <m/>
  </r>
  <r>
    <x v="832"/>
    <d v="2025-02-03T21:27:00"/>
    <n v="1053.05"/>
    <s v="Wallet"/>
    <s v="Axis"/>
    <s v="Failed"/>
    <x v="5"/>
    <m/>
    <m/>
    <m/>
  </r>
  <r>
    <x v="833"/>
    <d v="2025-02-06T11:40:00"/>
    <n v="990.04"/>
    <s v="Debit Card"/>
    <s v="PNB"/>
    <s v="Success"/>
    <x v="0"/>
    <m/>
    <m/>
    <m/>
  </r>
  <r>
    <x v="834"/>
    <d v="2025-03-02T13:35:00"/>
    <n v="4124.6099999999997"/>
    <s v="Wallet"/>
    <s v="Kotak"/>
    <s v="Success"/>
    <x v="0"/>
    <m/>
    <m/>
    <m/>
  </r>
  <r>
    <x v="835"/>
    <d v="2025-03-27T22:18:00"/>
    <n v="6856.37"/>
    <s v="Net Banking"/>
    <s v="Yes Bank"/>
    <s v="Success"/>
    <x v="0"/>
    <m/>
    <m/>
    <m/>
  </r>
  <r>
    <x v="836"/>
    <d v="2025-01-30T13:25:00"/>
    <n v="6094.34"/>
    <s v="Debit Card"/>
    <s v="SBI"/>
    <s v="Failed"/>
    <x v="6"/>
    <m/>
    <m/>
    <m/>
  </r>
  <r>
    <x v="837"/>
    <d v="2025-02-02T02:43:00"/>
    <n v="5820.74"/>
    <s v="Credit Card"/>
    <s v="Yes Bank"/>
    <s v="Success"/>
    <x v="0"/>
    <m/>
    <m/>
    <m/>
  </r>
  <r>
    <x v="838"/>
    <d v="2025-02-24T05:17:00"/>
    <n v="6196.09"/>
    <s v="Wallet"/>
    <s v="Axis"/>
    <s v="Success"/>
    <x v="0"/>
    <m/>
    <m/>
    <m/>
  </r>
  <r>
    <x v="839"/>
    <d v="2025-03-30T00:06:00"/>
    <n v="6916.78"/>
    <s v="Credit Card"/>
    <s v="HDFC"/>
    <s v="Success"/>
    <x v="0"/>
    <m/>
    <m/>
    <m/>
  </r>
  <r>
    <x v="840"/>
    <d v="2025-02-24T15:48:00"/>
    <n v="8403.8799999999992"/>
    <s v="Credit Card"/>
    <s v="Yes Bank"/>
    <s v="Success"/>
    <x v="0"/>
    <m/>
    <m/>
    <m/>
  </r>
  <r>
    <x v="841"/>
    <d v="2025-02-11T17:00:00"/>
    <n v="8385.49"/>
    <s v="Credit Card"/>
    <s v="ICICI"/>
    <s v="Success"/>
    <x v="0"/>
    <m/>
    <m/>
    <m/>
  </r>
  <r>
    <x v="842"/>
    <d v="2025-01-17T08:45:00"/>
    <n v="1335.6"/>
    <s v="Net Banking"/>
    <s v="SBI"/>
    <s v="Failed"/>
    <x v="6"/>
    <m/>
    <m/>
    <m/>
  </r>
  <r>
    <x v="843"/>
    <d v="2025-02-18T12:55:00"/>
    <n v="1922.68"/>
    <s v="UPI"/>
    <s v="SBI"/>
    <s v="Success"/>
    <x v="0"/>
    <m/>
    <m/>
    <m/>
  </r>
  <r>
    <x v="844"/>
    <d v="2025-03-05T05:10:00"/>
    <n v="8477.58"/>
    <s v="UPI"/>
    <s v="PNB"/>
    <s v="Success"/>
    <x v="0"/>
    <m/>
    <m/>
    <m/>
  </r>
  <r>
    <x v="845"/>
    <d v="2025-01-09T18:47:00"/>
    <n v="320.08"/>
    <s v="Net Banking"/>
    <s v="Axis"/>
    <s v="Success"/>
    <x v="0"/>
    <m/>
    <m/>
    <m/>
  </r>
  <r>
    <x v="846"/>
    <d v="2025-01-21T08:35:00"/>
    <n v="3417.06"/>
    <s v="Net Banking"/>
    <s v="Yes Bank"/>
    <s v="Success"/>
    <x v="0"/>
    <m/>
    <m/>
    <m/>
  </r>
  <r>
    <x v="847"/>
    <d v="2025-01-25T04:21:00"/>
    <n v="2214.3000000000002"/>
    <s v="UPI"/>
    <s v="SBI"/>
    <s v="Failed"/>
    <x v="1"/>
    <m/>
    <m/>
    <m/>
  </r>
  <r>
    <x v="848"/>
    <d v="2025-02-14T14:31:00"/>
    <n v="4400.1099999999997"/>
    <s v="Debit Card"/>
    <s v="Kotak"/>
    <s v="Success"/>
    <x v="0"/>
    <m/>
    <m/>
    <m/>
  </r>
  <r>
    <x v="849"/>
    <d v="2025-02-07T03:21:00"/>
    <n v="5550.22"/>
    <s v="UPI"/>
    <s v="Yes Bank"/>
    <s v="Success"/>
    <x v="0"/>
    <m/>
    <m/>
    <m/>
  </r>
  <r>
    <x v="850"/>
    <d v="2025-01-05T07:34:00"/>
    <n v="6058.5"/>
    <s v="Credit Card"/>
    <s v="HDFC"/>
    <s v="Success"/>
    <x v="0"/>
    <m/>
    <m/>
    <m/>
  </r>
  <r>
    <x v="851"/>
    <d v="2025-01-17T11:15:00"/>
    <n v="6637.34"/>
    <s v="UPI"/>
    <s v="SBI"/>
    <s v="Success"/>
    <x v="0"/>
    <m/>
    <m/>
    <m/>
  </r>
  <r>
    <x v="852"/>
    <d v="2025-03-20T06:51:00"/>
    <n v="6283.79"/>
    <s v="Credit Card"/>
    <s v="ICICI"/>
    <s v="Success"/>
    <x v="0"/>
    <m/>
    <m/>
    <m/>
  </r>
  <r>
    <x v="853"/>
    <d v="2025-02-06T00:59:00"/>
    <n v="7055.93"/>
    <s v="Wallet"/>
    <s v="Yes Bank"/>
    <s v="Success"/>
    <x v="0"/>
    <m/>
    <m/>
    <m/>
  </r>
  <r>
    <x v="854"/>
    <d v="2025-02-13T16:29:00"/>
    <n v="47.61"/>
    <s v="Debit Card"/>
    <s v="Kotak"/>
    <s v="Success"/>
    <x v="0"/>
    <m/>
    <m/>
    <m/>
  </r>
  <r>
    <x v="855"/>
    <d v="2025-02-01T03:20:00"/>
    <n v="9289.7800000000007"/>
    <s v="Net Banking"/>
    <s v="PNB"/>
    <s v="Success"/>
    <x v="0"/>
    <m/>
    <m/>
    <m/>
  </r>
  <r>
    <x v="856"/>
    <d v="2025-03-07T15:31:00"/>
    <n v="4668.66"/>
    <s v="UPI"/>
    <s v="ICICI"/>
    <s v="Failed"/>
    <x v="1"/>
    <m/>
    <m/>
    <m/>
  </r>
  <r>
    <x v="857"/>
    <d v="2025-02-11T08:33:00"/>
    <n v="3447.39"/>
    <s v="UPI"/>
    <s v="SBI"/>
    <s v="Success"/>
    <x v="0"/>
    <m/>
    <m/>
    <m/>
  </r>
  <r>
    <x v="858"/>
    <d v="2025-02-01T08:54:00"/>
    <n v="2334.31"/>
    <s v="Credit Card"/>
    <s v="Yes Bank"/>
    <s v="Success"/>
    <x v="0"/>
    <m/>
    <m/>
    <m/>
  </r>
  <r>
    <x v="859"/>
    <d v="2025-02-18T21:49:00"/>
    <n v="72.81"/>
    <s v="Credit Card"/>
    <s v="Kotak"/>
    <s v="Failed"/>
    <x v="2"/>
    <m/>
    <m/>
    <m/>
  </r>
  <r>
    <x v="860"/>
    <d v="2025-03-05T22:53:00"/>
    <n v="9584.33"/>
    <s v="Debit Card"/>
    <s v="ICICI"/>
    <s v="Success"/>
    <x v="0"/>
    <m/>
    <m/>
    <m/>
  </r>
  <r>
    <x v="861"/>
    <d v="2025-03-03T14:05:00"/>
    <n v="2119.2199999999998"/>
    <s v="Debit Card"/>
    <s v="PNB"/>
    <s v="Success"/>
    <x v="0"/>
    <m/>
    <m/>
    <m/>
  </r>
  <r>
    <x v="862"/>
    <d v="2025-03-11T13:23:00"/>
    <n v="2177.41"/>
    <s v="UPI"/>
    <s v="ICICI"/>
    <s v="Success"/>
    <x v="0"/>
    <m/>
    <m/>
    <m/>
  </r>
  <r>
    <x v="863"/>
    <d v="2025-03-12T08:15:00"/>
    <n v="5153.07"/>
    <s v="Wallet"/>
    <s v="Axis"/>
    <s v="Failed"/>
    <x v="5"/>
    <m/>
    <m/>
    <m/>
  </r>
  <r>
    <x v="864"/>
    <d v="2025-01-03T17:41:00"/>
    <n v="4745.8999999999996"/>
    <s v="UPI"/>
    <s v="ICICI"/>
    <s v="Failed"/>
    <x v="5"/>
    <m/>
    <m/>
    <m/>
  </r>
  <r>
    <x v="865"/>
    <d v="2025-01-08T07:23:00"/>
    <n v="7400.62"/>
    <s v="Debit Card"/>
    <s v="SBI"/>
    <s v="Success"/>
    <x v="0"/>
    <m/>
    <m/>
    <m/>
  </r>
  <r>
    <x v="866"/>
    <d v="2025-02-12T22:03:00"/>
    <n v="1306.45"/>
    <s v="UPI"/>
    <s v="SBI"/>
    <s v="Success"/>
    <x v="0"/>
    <m/>
    <m/>
    <m/>
  </r>
  <r>
    <x v="867"/>
    <d v="2025-02-18T21:26:00"/>
    <n v="3025.22"/>
    <s v="UPI"/>
    <s v="Kotak"/>
    <s v="Failed"/>
    <x v="4"/>
    <m/>
    <m/>
    <m/>
  </r>
  <r>
    <x v="868"/>
    <d v="2025-02-27T04:00:00"/>
    <n v="4060.14"/>
    <s v="Net Banking"/>
    <s v="Yes Bank"/>
    <s v="Failed"/>
    <x v="5"/>
    <m/>
    <m/>
    <m/>
  </r>
  <r>
    <x v="869"/>
    <d v="2025-01-12T12:10:00"/>
    <n v="9582.33"/>
    <s v="Debit Card"/>
    <s v="Axis"/>
    <s v="Success"/>
    <x v="0"/>
    <m/>
    <m/>
    <m/>
  </r>
  <r>
    <x v="870"/>
    <d v="2025-02-12T16:03:00"/>
    <n v="8388.06"/>
    <s v="Wallet"/>
    <s v="Axis"/>
    <s v="Success"/>
    <x v="0"/>
    <m/>
    <m/>
    <m/>
  </r>
  <r>
    <x v="871"/>
    <d v="2025-01-29T14:42:00"/>
    <n v="7090.72"/>
    <s v="UPI"/>
    <s v="Kotak"/>
    <s v="Success"/>
    <x v="0"/>
    <m/>
    <m/>
    <m/>
  </r>
  <r>
    <x v="872"/>
    <d v="2025-03-24T18:02:00"/>
    <n v="4328.6499999999996"/>
    <s v="Debit Card"/>
    <s v="SBI"/>
    <s v="Failed"/>
    <x v="2"/>
    <m/>
    <m/>
    <m/>
  </r>
  <r>
    <x v="873"/>
    <d v="2025-03-10T12:58:00"/>
    <n v="8752.23"/>
    <s v="Net Banking"/>
    <s v="HDFC"/>
    <s v="Failed"/>
    <x v="6"/>
    <m/>
    <m/>
    <m/>
  </r>
  <r>
    <x v="874"/>
    <d v="2025-02-10T00:32:00"/>
    <n v="6031.05"/>
    <s v="Credit Card"/>
    <s v="Axis"/>
    <s v="Success"/>
    <x v="0"/>
    <m/>
    <m/>
    <m/>
  </r>
  <r>
    <x v="875"/>
    <d v="2025-02-10T20:00:00"/>
    <n v="6575.05"/>
    <s v="Wallet"/>
    <s v="Yes Bank"/>
    <s v="Success"/>
    <x v="0"/>
    <m/>
    <m/>
    <m/>
  </r>
  <r>
    <x v="876"/>
    <d v="2025-03-24T07:07:00"/>
    <n v="8806.86"/>
    <s v="Credit Card"/>
    <s v="PNB"/>
    <s v="Success"/>
    <x v="0"/>
    <m/>
    <m/>
    <m/>
  </r>
  <r>
    <x v="877"/>
    <d v="2025-02-24T13:33:00"/>
    <n v="693.04"/>
    <s v="Debit Card"/>
    <s v="Axis"/>
    <s v="Success"/>
    <x v="0"/>
    <m/>
    <m/>
    <m/>
  </r>
  <r>
    <x v="878"/>
    <d v="2025-02-10T19:32:00"/>
    <n v="2123.35"/>
    <s v="Debit Card"/>
    <s v="SBI"/>
    <s v="Failed"/>
    <x v="6"/>
    <m/>
    <m/>
    <m/>
  </r>
  <r>
    <x v="879"/>
    <d v="2025-02-18T13:27:00"/>
    <n v="7071.75"/>
    <s v="UPI"/>
    <s v="Axis"/>
    <s v="Success"/>
    <x v="0"/>
    <m/>
    <m/>
    <m/>
  </r>
  <r>
    <x v="880"/>
    <d v="2025-02-18T20:23:00"/>
    <n v="4605.3599999999997"/>
    <s v="Credit Card"/>
    <s v="ICICI"/>
    <s v="Success"/>
    <x v="0"/>
    <m/>
    <m/>
    <m/>
  </r>
  <r>
    <x v="881"/>
    <d v="2025-01-02T02:25:00"/>
    <n v="2432.63"/>
    <s v="Wallet"/>
    <s v="Axis"/>
    <s v="Failed"/>
    <x v="2"/>
    <m/>
    <m/>
    <m/>
  </r>
  <r>
    <x v="882"/>
    <d v="2025-03-10T18:39:00"/>
    <n v="160.55000000000001"/>
    <s v="Net Banking"/>
    <s v="Kotak"/>
    <s v="Success"/>
    <x v="0"/>
    <m/>
    <m/>
    <m/>
  </r>
  <r>
    <x v="883"/>
    <d v="2025-01-19T08:24:00"/>
    <n v="8291.43"/>
    <s v="Debit Card"/>
    <s v="ICICI"/>
    <s v="Success"/>
    <x v="0"/>
    <m/>
    <m/>
    <m/>
  </r>
  <r>
    <x v="884"/>
    <d v="2025-02-21T15:33:00"/>
    <n v="2212.29"/>
    <s v="Debit Card"/>
    <s v="SBI"/>
    <s v="Success"/>
    <x v="0"/>
    <m/>
    <m/>
    <m/>
  </r>
  <r>
    <x v="885"/>
    <d v="2025-03-24T20:00:00"/>
    <n v="4480.28"/>
    <s v="Wallet"/>
    <s v="PNB"/>
    <s v="Success"/>
    <x v="0"/>
    <m/>
    <m/>
    <m/>
  </r>
  <r>
    <x v="886"/>
    <d v="2025-03-13T23:54:00"/>
    <n v="9120.16"/>
    <s v="Wallet"/>
    <s v="ICICI"/>
    <s v="Failed"/>
    <x v="2"/>
    <m/>
    <m/>
    <m/>
  </r>
  <r>
    <x v="887"/>
    <d v="2025-03-18T12:08:00"/>
    <n v="1045.3499999999999"/>
    <s v="Debit Card"/>
    <s v="SBI"/>
    <s v="Failed"/>
    <x v="6"/>
    <m/>
    <m/>
    <m/>
  </r>
  <r>
    <x v="888"/>
    <d v="2025-03-18T22:17:00"/>
    <n v="7654.95"/>
    <s v="UPI"/>
    <s v="SBI"/>
    <s v="Success"/>
    <x v="0"/>
    <m/>
    <m/>
    <m/>
  </r>
  <r>
    <x v="889"/>
    <d v="2025-02-18T09:58:00"/>
    <n v="8809.8700000000008"/>
    <s v="Credit Card"/>
    <s v="SBI"/>
    <s v="Success"/>
    <x v="0"/>
    <m/>
    <m/>
    <m/>
  </r>
  <r>
    <x v="890"/>
    <d v="2025-01-15T05:35:00"/>
    <n v="414.4"/>
    <s v="UPI"/>
    <s v="ICICI"/>
    <s v="Failed"/>
    <x v="2"/>
    <m/>
    <m/>
    <m/>
  </r>
  <r>
    <x v="891"/>
    <d v="2025-02-26T16:59:00"/>
    <n v="1377.53"/>
    <s v="Credit Card"/>
    <s v="HDFC"/>
    <s v="Success"/>
    <x v="0"/>
    <m/>
    <m/>
    <m/>
  </r>
  <r>
    <x v="892"/>
    <d v="2025-03-25T03:09:00"/>
    <n v="7419.57"/>
    <s v="Debit Card"/>
    <s v="Yes Bank"/>
    <s v="Success"/>
    <x v="0"/>
    <m/>
    <m/>
    <m/>
  </r>
  <r>
    <x v="893"/>
    <d v="2025-01-23T18:41:00"/>
    <n v="3990.56"/>
    <s v="UPI"/>
    <s v="ICICI"/>
    <s v="Failed"/>
    <x v="2"/>
    <m/>
    <m/>
    <m/>
  </r>
  <r>
    <x v="894"/>
    <d v="2025-02-17T00:01:00"/>
    <n v="1734.87"/>
    <s v="UPI"/>
    <s v="SBI"/>
    <s v="Success"/>
    <x v="0"/>
    <m/>
    <m/>
    <m/>
  </r>
  <r>
    <x v="895"/>
    <d v="2025-01-10T14:33:00"/>
    <n v="3675.65"/>
    <s v="Debit Card"/>
    <s v="Yes Bank"/>
    <s v="Success"/>
    <x v="0"/>
    <m/>
    <m/>
    <m/>
  </r>
  <r>
    <x v="896"/>
    <d v="2025-02-26T17:58:00"/>
    <n v="2878.85"/>
    <s v="Net Banking"/>
    <s v="PNB"/>
    <s v="Success"/>
    <x v="0"/>
    <m/>
    <m/>
    <m/>
  </r>
  <r>
    <x v="897"/>
    <d v="2025-02-23T08:31:00"/>
    <n v="3777.24"/>
    <s v="Debit Card"/>
    <s v="SBI"/>
    <s v="Success"/>
    <x v="0"/>
    <m/>
    <m/>
    <m/>
  </r>
  <r>
    <x v="898"/>
    <d v="2025-01-24T18:16:00"/>
    <n v="9071.17"/>
    <s v="Debit Card"/>
    <s v="PNB"/>
    <s v="Success"/>
    <x v="0"/>
    <m/>
    <m/>
    <m/>
  </r>
  <r>
    <x v="899"/>
    <d v="2025-02-20T08:19:00"/>
    <n v="7524.79"/>
    <s v="Net Banking"/>
    <s v="PNB"/>
    <s v="Success"/>
    <x v="0"/>
    <m/>
    <m/>
    <m/>
  </r>
  <r>
    <x v="900"/>
    <d v="2025-03-19T04:35:00"/>
    <n v="7850.69"/>
    <s v="Wallet"/>
    <s v="Kotak"/>
    <s v="Failed"/>
    <x v="2"/>
    <m/>
    <m/>
    <m/>
  </r>
  <r>
    <x v="901"/>
    <d v="2025-01-07T04:56:00"/>
    <n v="7441.68"/>
    <s v="Credit Card"/>
    <s v="SBI"/>
    <s v="Success"/>
    <x v="0"/>
    <m/>
    <m/>
    <m/>
  </r>
  <r>
    <x v="902"/>
    <d v="2025-01-11T21:45:00"/>
    <n v="2815.65"/>
    <s v="Wallet"/>
    <s v="HDFC"/>
    <s v="Success"/>
    <x v="0"/>
    <m/>
    <m/>
    <m/>
  </r>
  <r>
    <x v="903"/>
    <d v="2025-01-08T02:55:00"/>
    <n v="2391.09"/>
    <s v="Debit Card"/>
    <s v="Kotak"/>
    <s v="Success"/>
    <x v="0"/>
    <m/>
    <m/>
    <m/>
  </r>
  <r>
    <x v="904"/>
    <d v="2025-03-11T05:14:00"/>
    <n v="5040.67"/>
    <s v="UPI"/>
    <s v="ICICI"/>
    <s v="Success"/>
    <x v="0"/>
    <m/>
    <m/>
    <m/>
  </r>
  <r>
    <x v="905"/>
    <d v="2025-03-23T10:49:00"/>
    <n v="8643.6"/>
    <s v="Wallet"/>
    <s v="HDFC"/>
    <s v="Success"/>
    <x v="0"/>
    <m/>
    <m/>
    <m/>
  </r>
  <r>
    <x v="906"/>
    <d v="2025-03-27T11:58:00"/>
    <n v="7068.02"/>
    <s v="Net Banking"/>
    <s v="Yes Bank"/>
    <s v="Success"/>
    <x v="0"/>
    <m/>
    <m/>
    <m/>
  </r>
  <r>
    <x v="907"/>
    <d v="2025-02-10T13:13:00"/>
    <n v="663.69"/>
    <s v="Net Banking"/>
    <s v="ICICI"/>
    <s v="Success"/>
    <x v="0"/>
    <m/>
    <m/>
    <m/>
  </r>
  <r>
    <x v="908"/>
    <d v="2025-01-28T14:59:00"/>
    <n v="9206.16"/>
    <s v="Wallet"/>
    <s v="PNB"/>
    <s v="Success"/>
    <x v="0"/>
    <m/>
    <m/>
    <m/>
  </r>
  <r>
    <x v="909"/>
    <d v="2025-01-22T21:16:00"/>
    <n v="6552.11"/>
    <s v="Credit Card"/>
    <s v="PNB"/>
    <s v="Failed"/>
    <x v="5"/>
    <m/>
    <m/>
    <m/>
  </r>
  <r>
    <x v="910"/>
    <d v="2025-02-20T05:55:00"/>
    <n v="1413.14"/>
    <s v="UPI"/>
    <s v="SBI"/>
    <s v="Success"/>
    <x v="0"/>
    <m/>
    <m/>
    <m/>
  </r>
  <r>
    <x v="911"/>
    <d v="2025-03-31T00:32:00"/>
    <n v="7583.41"/>
    <s v="UPI"/>
    <s v="Kotak"/>
    <s v="Success"/>
    <x v="0"/>
    <m/>
    <m/>
    <m/>
  </r>
  <r>
    <x v="912"/>
    <d v="2025-03-17T05:58:00"/>
    <n v="1554.08"/>
    <s v="Debit Card"/>
    <s v="ICICI"/>
    <s v="Success"/>
    <x v="0"/>
    <m/>
    <m/>
    <m/>
  </r>
  <r>
    <x v="913"/>
    <d v="2025-03-08T12:38:00"/>
    <n v="9723.06"/>
    <s v="Credit Card"/>
    <s v="Yes Bank"/>
    <s v="Failed"/>
    <x v="5"/>
    <m/>
    <m/>
    <m/>
  </r>
  <r>
    <x v="914"/>
    <d v="2025-02-23T08:34:00"/>
    <n v="1063.3499999999999"/>
    <s v="Debit Card"/>
    <s v="Axis"/>
    <s v="Success"/>
    <x v="0"/>
    <m/>
    <m/>
    <m/>
  </r>
  <r>
    <x v="915"/>
    <d v="2025-01-05T11:59:00"/>
    <n v="4442.6000000000004"/>
    <s v="Debit Card"/>
    <s v="Axis"/>
    <s v="Success"/>
    <x v="0"/>
    <m/>
    <m/>
    <m/>
  </r>
  <r>
    <x v="916"/>
    <d v="2025-03-20T15:27:00"/>
    <n v="7217.01"/>
    <s v="Wallet"/>
    <s v="HDFC"/>
    <s v="Success"/>
    <x v="0"/>
    <m/>
    <m/>
    <m/>
  </r>
  <r>
    <x v="917"/>
    <d v="2025-03-01T11:24:00"/>
    <n v="4102.03"/>
    <s v="UPI"/>
    <s v="Axis"/>
    <s v="Success"/>
    <x v="0"/>
    <m/>
    <m/>
    <m/>
  </r>
  <r>
    <x v="918"/>
    <d v="2025-01-05T04:10:00"/>
    <n v="8033.06"/>
    <s v="Wallet"/>
    <s v="Yes Bank"/>
    <s v="Success"/>
    <x v="0"/>
    <m/>
    <m/>
    <m/>
  </r>
  <r>
    <x v="919"/>
    <d v="2025-01-26T06:23:00"/>
    <n v="1595.86"/>
    <s v="Credit Card"/>
    <s v="SBI"/>
    <s v="Success"/>
    <x v="0"/>
    <m/>
    <m/>
    <m/>
  </r>
  <r>
    <x v="920"/>
    <d v="2025-02-12T07:18:00"/>
    <n v="957.49"/>
    <s v="Net Banking"/>
    <s v="Axis"/>
    <s v="Success"/>
    <x v="0"/>
    <m/>
    <m/>
    <m/>
  </r>
  <r>
    <x v="921"/>
    <d v="2025-01-22T15:20:00"/>
    <n v="5036.67"/>
    <s v="Credit Card"/>
    <s v="HDFC"/>
    <s v="Success"/>
    <x v="0"/>
    <m/>
    <m/>
    <m/>
  </r>
  <r>
    <x v="922"/>
    <d v="2025-02-07T02:53:00"/>
    <n v="5779.8"/>
    <s v="Wallet"/>
    <s v="Yes Bank"/>
    <s v="Success"/>
    <x v="0"/>
    <m/>
    <m/>
    <m/>
  </r>
  <r>
    <x v="923"/>
    <d v="2025-01-12T17:15:00"/>
    <n v="8021.31"/>
    <s v="Net Banking"/>
    <s v="HDFC"/>
    <s v="Success"/>
    <x v="0"/>
    <m/>
    <m/>
    <m/>
  </r>
  <r>
    <x v="924"/>
    <d v="2025-03-23T06:30:00"/>
    <n v="6985.68"/>
    <s v="Debit Card"/>
    <s v="Yes Bank"/>
    <s v="Failed"/>
    <x v="1"/>
    <m/>
    <m/>
    <m/>
  </r>
  <r>
    <x v="925"/>
    <d v="2025-02-19T03:07:00"/>
    <n v="6335.56"/>
    <s v="Credit Card"/>
    <s v="Yes Bank"/>
    <s v="Failed"/>
    <x v="4"/>
    <m/>
    <m/>
    <m/>
  </r>
  <r>
    <x v="926"/>
    <d v="2025-03-21T14:32:00"/>
    <n v="695.09"/>
    <s v="Wallet"/>
    <s v="ICICI"/>
    <s v="Success"/>
    <x v="0"/>
    <m/>
    <m/>
    <m/>
  </r>
  <r>
    <x v="927"/>
    <d v="2025-03-05T10:07:00"/>
    <n v="4115.1099999999997"/>
    <s v="Net Banking"/>
    <s v="HDFC"/>
    <s v="Success"/>
    <x v="0"/>
    <m/>
    <m/>
    <m/>
  </r>
  <r>
    <x v="928"/>
    <d v="2025-02-28T15:39:00"/>
    <n v="7632.72"/>
    <s v="Wallet"/>
    <s v="SBI"/>
    <s v="Success"/>
    <x v="0"/>
    <m/>
    <m/>
    <m/>
  </r>
  <r>
    <x v="929"/>
    <d v="2025-01-08T17:05:00"/>
    <n v="8585.08"/>
    <s v="Wallet"/>
    <s v="Yes Bank"/>
    <s v="Success"/>
    <x v="0"/>
    <m/>
    <m/>
    <m/>
  </r>
  <r>
    <x v="930"/>
    <d v="2025-02-10T01:32:00"/>
    <n v="6238.05"/>
    <s v="UPI"/>
    <s v="Yes Bank"/>
    <s v="Failed"/>
    <x v="1"/>
    <m/>
    <m/>
    <m/>
  </r>
  <r>
    <x v="931"/>
    <d v="2025-01-05T01:10:00"/>
    <n v="8665.89"/>
    <s v="Net Banking"/>
    <s v="SBI"/>
    <s v="Success"/>
    <x v="0"/>
    <m/>
    <m/>
    <m/>
  </r>
  <r>
    <x v="932"/>
    <d v="2025-02-21T05:27:00"/>
    <n v="2146.17"/>
    <s v="Wallet"/>
    <s v="HDFC"/>
    <s v="Success"/>
    <x v="0"/>
    <m/>
    <m/>
    <m/>
  </r>
  <r>
    <x v="933"/>
    <d v="2025-01-28T18:24:00"/>
    <n v="9931.01"/>
    <s v="Wallet"/>
    <s v="Kotak"/>
    <s v="Success"/>
    <x v="0"/>
    <m/>
    <m/>
    <m/>
  </r>
  <r>
    <x v="934"/>
    <d v="2025-01-07T03:11:00"/>
    <n v="7638.94"/>
    <s v="Debit Card"/>
    <s v="ICICI"/>
    <s v="Failed"/>
    <x v="5"/>
    <m/>
    <m/>
    <m/>
  </r>
  <r>
    <x v="935"/>
    <d v="2025-02-09T10:42:00"/>
    <n v="8077.95"/>
    <s v="Credit Card"/>
    <s v="ICICI"/>
    <s v="Success"/>
    <x v="0"/>
    <m/>
    <m/>
    <m/>
  </r>
  <r>
    <x v="936"/>
    <d v="2025-01-22T00:21:00"/>
    <n v="1015"/>
    <s v="Credit Card"/>
    <s v="SBI"/>
    <s v="Failed"/>
    <x v="1"/>
    <m/>
    <m/>
    <m/>
  </r>
  <r>
    <x v="937"/>
    <d v="2025-03-25T18:45:00"/>
    <n v="3387.51"/>
    <s v="Wallet"/>
    <s v="Yes Bank"/>
    <s v="Success"/>
    <x v="0"/>
    <m/>
    <m/>
    <m/>
  </r>
  <r>
    <x v="938"/>
    <d v="2025-03-29T22:35:00"/>
    <n v="2334.64"/>
    <s v="Net Banking"/>
    <s v="Kotak"/>
    <s v="Success"/>
    <x v="0"/>
    <m/>
    <m/>
    <m/>
  </r>
  <r>
    <x v="939"/>
    <d v="2025-02-10T23:41:00"/>
    <n v="2753.3"/>
    <s v="Debit Card"/>
    <s v="Kotak"/>
    <s v="Success"/>
    <x v="0"/>
    <m/>
    <m/>
    <m/>
  </r>
  <r>
    <x v="940"/>
    <d v="2025-01-15T10:55:00"/>
    <n v="5186.6000000000004"/>
    <s v="Net Banking"/>
    <s v="ICICI"/>
    <s v="Success"/>
    <x v="0"/>
    <m/>
    <m/>
    <m/>
  </r>
  <r>
    <x v="941"/>
    <d v="2025-02-05T08:57:00"/>
    <n v="9183.5400000000009"/>
    <s v="Debit Card"/>
    <s v="SBI"/>
    <s v="Success"/>
    <x v="0"/>
    <m/>
    <m/>
    <m/>
  </r>
  <r>
    <x v="942"/>
    <d v="2025-03-17T01:21:00"/>
    <n v="3209.11"/>
    <s v="Wallet"/>
    <s v="SBI"/>
    <s v="Success"/>
    <x v="0"/>
    <m/>
    <m/>
    <m/>
  </r>
  <r>
    <x v="943"/>
    <d v="2025-01-10T10:11:00"/>
    <n v="8372.2800000000007"/>
    <s v="UPI"/>
    <s v="Axis"/>
    <s v="Success"/>
    <x v="0"/>
    <m/>
    <m/>
    <m/>
  </r>
  <r>
    <x v="944"/>
    <d v="2025-01-15T18:13:00"/>
    <n v="7327.32"/>
    <s v="Wallet"/>
    <s v="ICICI"/>
    <s v="Success"/>
    <x v="0"/>
    <m/>
    <m/>
    <m/>
  </r>
  <r>
    <x v="945"/>
    <d v="2025-01-01T20:23:00"/>
    <n v="1434.61"/>
    <s v="Debit Card"/>
    <s v="HDFC"/>
    <s v="Success"/>
    <x v="0"/>
    <m/>
    <m/>
    <m/>
  </r>
  <r>
    <x v="946"/>
    <d v="2025-03-31T17:50:00"/>
    <n v="329.98"/>
    <s v="Wallet"/>
    <s v="Kotak"/>
    <s v="Failed"/>
    <x v="1"/>
    <m/>
    <m/>
    <m/>
  </r>
  <r>
    <x v="947"/>
    <d v="2025-02-13T17:28:00"/>
    <n v="800.22"/>
    <s v="UPI"/>
    <s v="ICICI"/>
    <s v="Success"/>
    <x v="0"/>
    <m/>
    <m/>
    <m/>
  </r>
  <r>
    <x v="948"/>
    <d v="2025-01-15T02:38:00"/>
    <n v="8819.6200000000008"/>
    <s v="Debit Card"/>
    <s v="PNB"/>
    <s v="Success"/>
    <x v="0"/>
    <m/>
    <m/>
    <m/>
  </r>
  <r>
    <x v="949"/>
    <d v="2025-01-21T06:58:00"/>
    <n v="5324.9"/>
    <s v="Net Banking"/>
    <s v="Yes Bank"/>
    <s v="Success"/>
    <x v="0"/>
    <m/>
    <m/>
    <m/>
  </r>
  <r>
    <x v="950"/>
    <d v="2025-01-31T20:05:00"/>
    <n v="3636.49"/>
    <s v="Credit Card"/>
    <s v="Axis"/>
    <s v="Success"/>
    <x v="0"/>
    <m/>
    <m/>
    <m/>
  </r>
  <r>
    <x v="951"/>
    <d v="2025-01-07T12:13:00"/>
    <n v="1762.11"/>
    <s v="Wallet"/>
    <s v="HDFC"/>
    <s v="Success"/>
    <x v="0"/>
    <m/>
    <m/>
    <m/>
  </r>
  <r>
    <x v="952"/>
    <d v="2025-02-03T18:28:00"/>
    <n v="8756.35"/>
    <s v="UPI"/>
    <s v="Yes Bank"/>
    <s v="Success"/>
    <x v="0"/>
    <m/>
    <m/>
    <m/>
  </r>
  <r>
    <x v="953"/>
    <d v="2025-01-07T23:47:00"/>
    <n v="3921.72"/>
    <s v="UPI"/>
    <s v="ICICI"/>
    <s v="Success"/>
    <x v="0"/>
    <m/>
    <m/>
    <m/>
  </r>
  <r>
    <x v="954"/>
    <d v="2025-02-09T04:30:00"/>
    <n v="1251.19"/>
    <s v="Wallet"/>
    <s v="Yes Bank"/>
    <s v="Failed"/>
    <x v="4"/>
    <m/>
    <m/>
    <m/>
  </r>
  <r>
    <x v="955"/>
    <d v="2025-02-28T22:31:00"/>
    <n v="6014.56"/>
    <s v="Wallet"/>
    <s v="ICICI"/>
    <s v="Success"/>
    <x v="0"/>
    <m/>
    <m/>
    <m/>
  </r>
  <r>
    <x v="956"/>
    <d v="2025-02-15T02:38:00"/>
    <n v="4718.13"/>
    <s v="Net Banking"/>
    <s v="PNB"/>
    <s v="Success"/>
    <x v="0"/>
    <m/>
    <m/>
    <m/>
  </r>
  <r>
    <x v="957"/>
    <d v="2025-03-28T22:17:00"/>
    <n v="2640.02"/>
    <s v="Wallet"/>
    <s v="ICICI"/>
    <s v="Success"/>
    <x v="0"/>
    <m/>
    <m/>
    <m/>
  </r>
  <r>
    <x v="958"/>
    <d v="2025-01-01T22:30:00"/>
    <n v="9179.6200000000008"/>
    <s v="UPI"/>
    <s v="Kotak"/>
    <s v="Success"/>
    <x v="0"/>
    <m/>
    <m/>
    <m/>
  </r>
  <r>
    <x v="959"/>
    <d v="2025-01-06T00:03:00"/>
    <n v="9815.89"/>
    <s v="Net Banking"/>
    <s v="PNB"/>
    <s v="Success"/>
    <x v="0"/>
    <m/>
    <m/>
    <m/>
  </r>
  <r>
    <x v="960"/>
    <d v="2025-01-06T16:08:00"/>
    <n v="3223.4"/>
    <s v="Credit Card"/>
    <s v="Axis"/>
    <s v="Success"/>
    <x v="0"/>
    <m/>
    <m/>
    <m/>
  </r>
  <r>
    <x v="961"/>
    <d v="2025-01-12T03:17:00"/>
    <n v="6005.71"/>
    <s v="Credit Card"/>
    <s v="ICICI"/>
    <s v="Failed"/>
    <x v="1"/>
    <m/>
    <m/>
    <m/>
  </r>
  <r>
    <x v="962"/>
    <d v="2025-02-25T20:31:00"/>
    <n v="4439.33"/>
    <s v="Credit Card"/>
    <s v="ICICI"/>
    <s v="Success"/>
    <x v="0"/>
    <m/>
    <m/>
    <m/>
  </r>
  <r>
    <x v="963"/>
    <d v="2025-03-25T05:23:00"/>
    <n v="6996.54"/>
    <s v="UPI"/>
    <s v="ICICI"/>
    <s v="Success"/>
    <x v="0"/>
    <m/>
    <m/>
    <m/>
  </r>
  <r>
    <x v="964"/>
    <d v="2025-01-24T04:20:00"/>
    <n v="6563.11"/>
    <s v="Net Banking"/>
    <s v="HDFC"/>
    <s v="Success"/>
    <x v="0"/>
    <m/>
    <m/>
    <m/>
  </r>
  <r>
    <x v="965"/>
    <d v="2025-02-28T22:44:00"/>
    <n v="6760.03"/>
    <s v="Net Banking"/>
    <s v="Kotak"/>
    <s v="Success"/>
    <x v="0"/>
    <m/>
    <m/>
    <m/>
  </r>
  <r>
    <x v="966"/>
    <d v="2025-03-09T14:19:00"/>
    <n v="4688.54"/>
    <s v="Net Banking"/>
    <s v="Kotak"/>
    <s v="Success"/>
    <x v="0"/>
    <m/>
    <m/>
    <m/>
  </r>
  <r>
    <x v="967"/>
    <d v="2025-01-25T03:47:00"/>
    <n v="1657.44"/>
    <s v="Net Banking"/>
    <s v="PNB"/>
    <s v="Success"/>
    <x v="0"/>
    <m/>
    <m/>
    <m/>
  </r>
  <r>
    <x v="968"/>
    <d v="2025-03-24T17:39:00"/>
    <n v="3308.63"/>
    <s v="Net Banking"/>
    <s v="SBI"/>
    <s v="Success"/>
    <x v="0"/>
    <m/>
    <m/>
    <m/>
  </r>
  <r>
    <x v="969"/>
    <d v="2025-01-02T03:59:00"/>
    <n v="1128.22"/>
    <s v="Wallet"/>
    <s v="SBI"/>
    <s v="Failed"/>
    <x v="4"/>
    <m/>
    <m/>
    <m/>
  </r>
  <r>
    <x v="970"/>
    <d v="2025-03-16T05:33:00"/>
    <n v="8143.9"/>
    <s v="Debit Card"/>
    <s v="HDFC"/>
    <s v="Success"/>
    <x v="0"/>
    <m/>
    <m/>
    <m/>
  </r>
  <r>
    <x v="971"/>
    <d v="2025-03-17T07:12:00"/>
    <n v="1091.0899999999999"/>
    <s v="Credit Card"/>
    <s v="Axis"/>
    <s v="Success"/>
    <x v="0"/>
    <m/>
    <m/>
    <m/>
  </r>
  <r>
    <x v="972"/>
    <d v="2025-03-30T08:35:00"/>
    <n v="807.78"/>
    <s v="Net Banking"/>
    <s v="ICICI"/>
    <s v="Success"/>
    <x v="0"/>
    <m/>
    <m/>
    <m/>
  </r>
  <r>
    <x v="973"/>
    <d v="2025-03-25T17:36:00"/>
    <n v="1058.8599999999999"/>
    <s v="Debit Card"/>
    <s v="SBI"/>
    <s v="Success"/>
    <x v="0"/>
    <m/>
    <m/>
    <m/>
  </r>
  <r>
    <x v="974"/>
    <d v="2025-02-17T15:26:00"/>
    <n v="5909.52"/>
    <s v="UPI"/>
    <s v="Axis"/>
    <s v="Success"/>
    <x v="0"/>
    <m/>
    <m/>
    <m/>
  </r>
  <r>
    <x v="975"/>
    <d v="2025-02-16T22:17:00"/>
    <n v="4170.1099999999997"/>
    <s v="Wallet"/>
    <s v="PNB"/>
    <s v="Success"/>
    <x v="0"/>
    <m/>
    <m/>
    <m/>
  </r>
  <r>
    <x v="976"/>
    <d v="2025-02-09T13:21:00"/>
    <n v="2211.06"/>
    <s v="UPI"/>
    <s v="SBI"/>
    <s v="Failed"/>
    <x v="3"/>
    <m/>
    <m/>
    <m/>
  </r>
  <r>
    <x v="977"/>
    <d v="2025-02-22T03:31:00"/>
    <n v="2564.1"/>
    <s v="Credit Card"/>
    <s v="SBI"/>
    <s v="Success"/>
    <x v="0"/>
    <m/>
    <m/>
    <m/>
  </r>
  <r>
    <x v="978"/>
    <d v="2025-02-08T14:05:00"/>
    <n v="8358.7900000000009"/>
    <s v="Wallet"/>
    <s v="PNB"/>
    <s v="Failed"/>
    <x v="1"/>
    <m/>
    <m/>
    <m/>
  </r>
  <r>
    <x v="979"/>
    <d v="2025-02-05T16:16:00"/>
    <n v="3558.7"/>
    <s v="Net Banking"/>
    <s v="Axis"/>
    <s v="Success"/>
    <x v="0"/>
    <m/>
    <m/>
    <m/>
  </r>
  <r>
    <x v="980"/>
    <d v="2025-01-10T17:39:00"/>
    <n v="8719.4"/>
    <s v="UPI"/>
    <s v="Yes Bank"/>
    <s v="Success"/>
    <x v="0"/>
    <m/>
    <m/>
    <m/>
  </r>
  <r>
    <x v="981"/>
    <d v="2025-03-19T00:23:00"/>
    <n v="1003.39"/>
    <s v="Net Banking"/>
    <s v="HDFC"/>
    <s v="Success"/>
    <x v="0"/>
    <m/>
    <m/>
    <m/>
  </r>
  <r>
    <x v="982"/>
    <d v="2025-01-20T00:15:00"/>
    <n v="6074.2"/>
    <s v="Net Banking"/>
    <s v="Axis"/>
    <s v="Success"/>
    <x v="0"/>
    <m/>
    <m/>
    <m/>
  </r>
  <r>
    <x v="983"/>
    <d v="2025-01-01T01:30:00"/>
    <n v="4255.88"/>
    <s v="Net Banking"/>
    <s v="SBI"/>
    <s v="Success"/>
    <x v="0"/>
    <m/>
    <m/>
    <m/>
  </r>
  <r>
    <x v="984"/>
    <d v="2025-02-09T10:47:00"/>
    <n v="9307.7800000000007"/>
    <s v="Credit Card"/>
    <s v="Yes Bank"/>
    <s v="Failed"/>
    <x v="6"/>
    <m/>
    <m/>
    <m/>
  </r>
  <r>
    <x v="985"/>
    <d v="2025-03-04T21:05:00"/>
    <n v="5715.9"/>
    <s v="Credit Card"/>
    <s v="HDFC"/>
    <s v="Success"/>
    <x v="0"/>
    <m/>
    <m/>
    <m/>
  </r>
  <r>
    <x v="986"/>
    <d v="2025-01-25T11:29:00"/>
    <n v="8086.74"/>
    <s v="Credit Card"/>
    <s v="Yes Bank"/>
    <s v="Failed"/>
    <x v="2"/>
    <m/>
    <m/>
    <m/>
  </r>
  <r>
    <x v="987"/>
    <d v="2025-03-06T01:01:00"/>
    <n v="1914.51"/>
    <s v="Net Banking"/>
    <s v="SBI"/>
    <s v="Success"/>
    <x v="0"/>
    <m/>
    <m/>
    <m/>
  </r>
  <r>
    <x v="988"/>
    <d v="2025-01-10T01:27:00"/>
    <n v="7167.32"/>
    <s v="UPI"/>
    <s v="SBI"/>
    <s v="Success"/>
    <x v="0"/>
    <m/>
    <m/>
    <m/>
  </r>
  <r>
    <x v="989"/>
    <d v="2025-02-11T04:42:00"/>
    <n v="9136.8799999999992"/>
    <s v="Debit Card"/>
    <s v="ICICI"/>
    <s v="Failed"/>
    <x v="2"/>
    <m/>
    <m/>
    <m/>
  </r>
  <r>
    <x v="990"/>
    <d v="2025-03-01T14:48:00"/>
    <n v="4096.72"/>
    <s v="Wallet"/>
    <s v="Yes Bank"/>
    <s v="Success"/>
    <x v="0"/>
    <m/>
    <m/>
    <m/>
  </r>
  <r>
    <x v="991"/>
    <d v="2025-01-23T15:35:00"/>
    <n v="6618.51"/>
    <s v="Debit Card"/>
    <s v="SBI"/>
    <s v="Success"/>
    <x v="0"/>
    <m/>
    <m/>
    <m/>
  </r>
  <r>
    <x v="992"/>
    <d v="2025-03-11T13:49:00"/>
    <n v="4793.29"/>
    <s v="Credit Card"/>
    <s v="HDFC"/>
    <s v="Success"/>
    <x v="0"/>
    <m/>
    <m/>
    <m/>
  </r>
  <r>
    <x v="993"/>
    <d v="2025-02-03T01:00:00"/>
    <n v="2150.52"/>
    <s v="Net Banking"/>
    <s v="Kotak"/>
    <s v="Success"/>
    <x v="0"/>
    <m/>
    <m/>
    <m/>
  </r>
  <r>
    <x v="994"/>
    <d v="2025-02-25T01:05:00"/>
    <n v="6809.79"/>
    <s v="Net Banking"/>
    <s v="PNB"/>
    <s v="Success"/>
    <x v="0"/>
    <m/>
    <m/>
    <m/>
  </r>
  <r>
    <x v="995"/>
    <d v="2025-02-21T16:39:00"/>
    <n v="4449.8100000000004"/>
    <s v="Net Banking"/>
    <s v="HDFC"/>
    <s v="Success"/>
    <x v="0"/>
    <m/>
    <m/>
    <m/>
  </r>
  <r>
    <x v="996"/>
    <d v="2025-03-25T08:15:00"/>
    <n v="521.37"/>
    <s v="Net Banking"/>
    <s v="ICICI"/>
    <s v="Success"/>
    <x v="0"/>
    <m/>
    <m/>
    <m/>
  </r>
  <r>
    <x v="997"/>
    <d v="2025-02-05T06:07:00"/>
    <n v="3743.19"/>
    <s v="Debit Card"/>
    <s v="Yes Bank"/>
    <s v="Success"/>
    <x v="0"/>
    <m/>
    <m/>
    <m/>
  </r>
  <r>
    <x v="998"/>
    <d v="2025-02-04T06:07:00"/>
    <n v="3072.65"/>
    <s v="UPI"/>
    <s v="PNB"/>
    <s v="Success"/>
    <x v="0"/>
    <m/>
    <m/>
    <m/>
  </r>
  <r>
    <x v="999"/>
    <d v="2025-02-02T12:11:00"/>
    <n v="8701.75"/>
    <s v="UPI"/>
    <s v="Axis"/>
    <s v="Success"/>
    <x v="0"/>
    <m/>
    <m/>
    <m/>
  </r>
  <r>
    <x v="1000"/>
    <m/>
    <m/>
    <m/>
    <m/>
    <m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113A93-7471-40BB-BF32-BDE1E2072AAF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ailure Reason ">
  <location ref="A3:B10" firstHeaderRow="1" firstDataRow="1" firstDataCol="1"/>
  <pivotFields count="10">
    <pivotField dataField="1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2"/>
        <item x="3"/>
        <item x="5"/>
        <item x="1"/>
        <item x="4"/>
        <item x="6"/>
        <item h="1" x="0"/>
        <item t="default"/>
      </items>
    </pivotField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Failure Reason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workbookViewId="0">
      <selection activeCell="J2" sqref="J2"/>
    </sheetView>
  </sheetViews>
  <sheetFormatPr defaultRowHeight="14.4" x14ac:dyDescent="0.3"/>
  <cols>
    <col min="1" max="1" width="13.88671875" customWidth="1"/>
    <col min="2" max="2" width="19.88671875" customWidth="1"/>
    <col min="3" max="3" width="11.6640625" customWidth="1"/>
    <col min="4" max="4" width="14.33203125" customWidth="1"/>
    <col min="5" max="5" width="13.33203125" customWidth="1"/>
    <col min="7" max="7" width="18" customWidth="1"/>
    <col min="8" max="8" width="14.21875" customWidth="1"/>
    <col min="9" max="9" width="17" bestFit="1" customWidth="1"/>
    <col min="10" max="10" width="17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1027</v>
      </c>
      <c r="I1" s="3" t="s">
        <v>1028</v>
      </c>
      <c r="J1" s="3" t="s">
        <v>1029</v>
      </c>
    </row>
    <row r="2" spans="1:10" x14ac:dyDescent="0.3">
      <c r="A2" t="s">
        <v>7</v>
      </c>
      <c r="B2" s="2">
        <v>45667.018750000003</v>
      </c>
      <c r="C2">
        <v>9775.77</v>
      </c>
      <c r="D2" t="s">
        <v>1007</v>
      </c>
      <c r="E2" t="s">
        <v>1012</v>
      </c>
      <c r="F2" t="s">
        <v>1019</v>
      </c>
      <c r="H2">
        <f>COUNTA(A2:A1001)</f>
        <v>1000</v>
      </c>
      <c r="I2">
        <f>COUNTIF(F2:F1001, "Failed")</f>
        <v>222</v>
      </c>
      <c r="J2">
        <f>I2/H2*100</f>
        <v>22.2</v>
      </c>
    </row>
    <row r="3" spans="1:10" x14ac:dyDescent="0.3">
      <c r="A3" t="s">
        <v>8</v>
      </c>
      <c r="B3" s="2">
        <v>45669.945833333331</v>
      </c>
      <c r="C3">
        <v>3906.22</v>
      </c>
      <c r="D3" t="s">
        <v>1008</v>
      </c>
      <c r="E3" t="s">
        <v>1013</v>
      </c>
      <c r="F3" t="s">
        <v>1019</v>
      </c>
    </row>
    <row r="4" spans="1:10" x14ac:dyDescent="0.3">
      <c r="A4" t="s">
        <v>9</v>
      </c>
      <c r="B4" s="2">
        <v>45666.423611111109</v>
      </c>
      <c r="C4">
        <v>3330.63</v>
      </c>
      <c r="D4" t="s">
        <v>1009</v>
      </c>
      <c r="E4" t="s">
        <v>1014</v>
      </c>
      <c r="F4" t="s">
        <v>1019</v>
      </c>
    </row>
    <row r="5" spans="1:10" x14ac:dyDescent="0.3">
      <c r="A5" t="s">
        <v>10</v>
      </c>
      <c r="B5" s="2">
        <v>45669.635416666657</v>
      </c>
      <c r="C5">
        <v>4380.21</v>
      </c>
      <c r="D5" t="s">
        <v>1010</v>
      </c>
      <c r="E5" t="s">
        <v>1015</v>
      </c>
      <c r="F5" t="s">
        <v>1019</v>
      </c>
    </row>
    <row r="6" spans="1:10" x14ac:dyDescent="0.3">
      <c r="A6" t="s">
        <v>11</v>
      </c>
      <c r="B6" s="2">
        <v>45721.539583333331</v>
      </c>
      <c r="C6">
        <v>7500.51</v>
      </c>
      <c r="D6" t="s">
        <v>1009</v>
      </c>
      <c r="E6" t="s">
        <v>1012</v>
      </c>
      <c r="F6" t="s">
        <v>1019</v>
      </c>
    </row>
    <row r="7" spans="1:10" x14ac:dyDescent="0.3">
      <c r="A7" t="s">
        <v>12</v>
      </c>
      <c r="B7" s="2">
        <v>45720.960416666669</v>
      </c>
      <c r="C7">
        <v>4446.41</v>
      </c>
      <c r="D7" t="s">
        <v>1009</v>
      </c>
      <c r="E7" t="s">
        <v>1012</v>
      </c>
      <c r="F7" t="s">
        <v>1019</v>
      </c>
    </row>
    <row r="8" spans="1:10" x14ac:dyDescent="0.3">
      <c r="A8" t="s">
        <v>13</v>
      </c>
      <c r="B8" s="2">
        <v>45745.85833333333</v>
      </c>
      <c r="C8">
        <v>2447.35</v>
      </c>
      <c r="D8" t="s">
        <v>1010</v>
      </c>
      <c r="E8" t="s">
        <v>1013</v>
      </c>
      <c r="F8" t="s">
        <v>1019</v>
      </c>
    </row>
    <row r="9" spans="1:10" x14ac:dyDescent="0.3">
      <c r="A9" t="s">
        <v>14</v>
      </c>
      <c r="B9" s="2">
        <v>45733.839583333327</v>
      </c>
      <c r="C9">
        <v>6728.01</v>
      </c>
      <c r="D9" t="s">
        <v>1008</v>
      </c>
      <c r="E9" t="s">
        <v>1016</v>
      </c>
      <c r="F9" t="s">
        <v>1020</v>
      </c>
      <c r="G9" t="s">
        <v>1021</v>
      </c>
    </row>
    <row r="10" spans="1:10" x14ac:dyDescent="0.3">
      <c r="A10" t="s">
        <v>15</v>
      </c>
      <c r="B10" s="2">
        <v>45696.29791666667</v>
      </c>
      <c r="C10">
        <v>7901.29</v>
      </c>
      <c r="D10" t="s">
        <v>1007</v>
      </c>
      <c r="E10" t="s">
        <v>1015</v>
      </c>
      <c r="F10" t="s">
        <v>1019</v>
      </c>
    </row>
    <row r="11" spans="1:10" x14ac:dyDescent="0.3">
      <c r="A11" t="s">
        <v>16</v>
      </c>
      <c r="B11" s="2">
        <v>45659.370833333327</v>
      </c>
      <c r="C11">
        <v>7098.59</v>
      </c>
      <c r="D11" t="s">
        <v>1011</v>
      </c>
      <c r="E11" t="s">
        <v>1015</v>
      </c>
      <c r="F11" t="s">
        <v>1019</v>
      </c>
    </row>
    <row r="12" spans="1:10" x14ac:dyDescent="0.3">
      <c r="A12" t="s">
        <v>17</v>
      </c>
      <c r="B12" s="2">
        <v>45679.849305555559</v>
      </c>
      <c r="C12">
        <v>603.48</v>
      </c>
      <c r="D12" t="s">
        <v>1007</v>
      </c>
      <c r="E12" t="s">
        <v>1012</v>
      </c>
      <c r="F12" t="s">
        <v>1019</v>
      </c>
    </row>
    <row r="13" spans="1:10" x14ac:dyDescent="0.3">
      <c r="A13" t="s">
        <v>18</v>
      </c>
      <c r="B13" s="2">
        <v>45664.554861111108</v>
      </c>
      <c r="C13">
        <v>6433.44</v>
      </c>
      <c r="D13" t="s">
        <v>1007</v>
      </c>
      <c r="E13" t="s">
        <v>1014</v>
      </c>
      <c r="F13" t="s">
        <v>1020</v>
      </c>
      <c r="G13" t="s">
        <v>1022</v>
      </c>
    </row>
    <row r="14" spans="1:10" x14ac:dyDescent="0.3">
      <c r="A14" t="s">
        <v>19</v>
      </c>
      <c r="B14" s="2">
        <v>45687.111111111109</v>
      </c>
      <c r="C14">
        <v>3224.37</v>
      </c>
      <c r="D14" t="s">
        <v>1011</v>
      </c>
      <c r="E14" t="s">
        <v>1014</v>
      </c>
      <c r="F14" t="s">
        <v>1019</v>
      </c>
    </row>
    <row r="15" spans="1:10" x14ac:dyDescent="0.3">
      <c r="A15" t="s">
        <v>20</v>
      </c>
      <c r="B15" s="2">
        <v>45704.664583333331</v>
      </c>
      <c r="C15">
        <v>106.7</v>
      </c>
      <c r="D15" t="s">
        <v>1009</v>
      </c>
      <c r="E15" t="s">
        <v>1014</v>
      </c>
      <c r="F15" t="s">
        <v>1020</v>
      </c>
      <c r="G15" t="s">
        <v>1023</v>
      </c>
    </row>
    <row r="16" spans="1:10" x14ac:dyDescent="0.3">
      <c r="A16" t="s">
        <v>21</v>
      </c>
      <c r="B16" s="2">
        <v>45701.262499999997</v>
      </c>
      <c r="C16">
        <v>5496.61</v>
      </c>
      <c r="D16" t="s">
        <v>1009</v>
      </c>
      <c r="E16" t="s">
        <v>1017</v>
      </c>
      <c r="F16" t="s">
        <v>1019</v>
      </c>
    </row>
    <row r="17" spans="1:7" x14ac:dyDescent="0.3">
      <c r="A17" t="s">
        <v>22</v>
      </c>
      <c r="B17" s="2">
        <v>45677.775000000001</v>
      </c>
      <c r="C17">
        <v>4539.3100000000004</v>
      </c>
      <c r="D17" t="s">
        <v>1008</v>
      </c>
      <c r="E17" t="s">
        <v>1018</v>
      </c>
      <c r="F17" t="s">
        <v>1019</v>
      </c>
    </row>
    <row r="18" spans="1:7" x14ac:dyDescent="0.3">
      <c r="A18" t="s">
        <v>23</v>
      </c>
      <c r="B18" s="2">
        <v>45692.132638888892</v>
      </c>
      <c r="C18">
        <v>5054.33</v>
      </c>
      <c r="D18" t="s">
        <v>1009</v>
      </c>
      <c r="E18" t="s">
        <v>1014</v>
      </c>
      <c r="F18" t="s">
        <v>1019</v>
      </c>
    </row>
    <row r="19" spans="1:7" x14ac:dyDescent="0.3">
      <c r="A19" t="s">
        <v>24</v>
      </c>
      <c r="B19" s="2">
        <v>45696.674305555563</v>
      </c>
      <c r="C19">
        <v>6106.87</v>
      </c>
      <c r="D19" t="s">
        <v>1011</v>
      </c>
      <c r="E19" t="s">
        <v>1017</v>
      </c>
      <c r="F19" t="s">
        <v>1019</v>
      </c>
    </row>
    <row r="20" spans="1:7" x14ac:dyDescent="0.3">
      <c r="A20" t="s">
        <v>25</v>
      </c>
      <c r="B20" s="2">
        <v>45704.067361111112</v>
      </c>
      <c r="C20">
        <v>8632.1299999999992</v>
      </c>
      <c r="D20" t="s">
        <v>1007</v>
      </c>
      <c r="E20" t="s">
        <v>1014</v>
      </c>
      <c r="F20" t="s">
        <v>1019</v>
      </c>
    </row>
    <row r="21" spans="1:7" x14ac:dyDescent="0.3">
      <c r="A21" t="s">
        <v>26</v>
      </c>
      <c r="B21" s="2">
        <v>45740.490277777782</v>
      </c>
      <c r="C21">
        <v>8301.35</v>
      </c>
      <c r="D21" t="s">
        <v>1007</v>
      </c>
      <c r="E21" t="s">
        <v>1014</v>
      </c>
      <c r="F21" t="s">
        <v>1019</v>
      </c>
    </row>
    <row r="22" spans="1:7" x14ac:dyDescent="0.3">
      <c r="A22" t="s">
        <v>27</v>
      </c>
      <c r="B22" s="2">
        <v>45698.177083333343</v>
      </c>
      <c r="C22">
        <v>1188.3699999999999</v>
      </c>
      <c r="D22" t="s">
        <v>1009</v>
      </c>
      <c r="E22" t="s">
        <v>1016</v>
      </c>
      <c r="F22" t="s">
        <v>1020</v>
      </c>
      <c r="G22" t="s">
        <v>1024</v>
      </c>
    </row>
    <row r="23" spans="1:7" x14ac:dyDescent="0.3">
      <c r="A23" t="s">
        <v>28</v>
      </c>
      <c r="B23" s="2">
        <v>45707.027777777781</v>
      </c>
      <c r="C23">
        <v>9403.0300000000007</v>
      </c>
      <c r="D23" t="s">
        <v>1007</v>
      </c>
      <c r="E23" t="s">
        <v>1015</v>
      </c>
      <c r="F23" t="s">
        <v>1019</v>
      </c>
    </row>
    <row r="24" spans="1:7" x14ac:dyDescent="0.3">
      <c r="A24" t="s">
        <v>29</v>
      </c>
      <c r="B24" s="2">
        <v>45697.666666666657</v>
      </c>
      <c r="C24">
        <v>5180.57</v>
      </c>
      <c r="D24" t="s">
        <v>1009</v>
      </c>
      <c r="E24" t="s">
        <v>1015</v>
      </c>
      <c r="F24" t="s">
        <v>1020</v>
      </c>
      <c r="G24" t="s">
        <v>1024</v>
      </c>
    </row>
    <row r="25" spans="1:7" x14ac:dyDescent="0.3">
      <c r="A25" t="s">
        <v>30</v>
      </c>
      <c r="B25" s="2">
        <v>45742.832638888889</v>
      </c>
      <c r="C25">
        <v>4692.8100000000004</v>
      </c>
      <c r="D25" t="s">
        <v>1008</v>
      </c>
      <c r="E25" t="s">
        <v>1012</v>
      </c>
      <c r="F25" t="s">
        <v>1019</v>
      </c>
    </row>
    <row r="26" spans="1:7" x14ac:dyDescent="0.3">
      <c r="A26" t="s">
        <v>31</v>
      </c>
      <c r="B26" s="2">
        <v>45734.143750000003</v>
      </c>
      <c r="C26">
        <v>4052.24</v>
      </c>
      <c r="D26" t="s">
        <v>1008</v>
      </c>
      <c r="E26" t="s">
        <v>1013</v>
      </c>
      <c r="F26" t="s">
        <v>1020</v>
      </c>
      <c r="G26" t="s">
        <v>1024</v>
      </c>
    </row>
    <row r="27" spans="1:7" x14ac:dyDescent="0.3">
      <c r="A27" t="s">
        <v>32</v>
      </c>
      <c r="B27" s="2">
        <v>45671.222222222219</v>
      </c>
      <c r="C27">
        <v>5587.92</v>
      </c>
      <c r="D27" t="s">
        <v>1011</v>
      </c>
      <c r="E27" t="s">
        <v>1017</v>
      </c>
      <c r="F27" t="s">
        <v>1019</v>
      </c>
    </row>
    <row r="28" spans="1:7" x14ac:dyDescent="0.3">
      <c r="A28" t="s">
        <v>33</v>
      </c>
      <c r="B28" s="2">
        <v>45727.741666666669</v>
      </c>
      <c r="C28">
        <v>5138.05</v>
      </c>
      <c r="D28" t="s">
        <v>1008</v>
      </c>
      <c r="E28" t="s">
        <v>1018</v>
      </c>
      <c r="F28" t="s">
        <v>1020</v>
      </c>
      <c r="G28" t="s">
        <v>1021</v>
      </c>
    </row>
    <row r="29" spans="1:7" x14ac:dyDescent="0.3">
      <c r="A29" t="s">
        <v>34</v>
      </c>
      <c r="B29" s="2">
        <v>45659.566666666673</v>
      </c>
      <c r="C29">
        <v>7504.65</v>
      </c>
      <c r="D29" t="s">
        <v>1007</v>
      </c>
      <c r="E29" t="s">
        <v>1017</v>
      </c>
      <c r="F29" t="s">
        <v>1019</v>
      </c>
    </row>
    <row r="30" spans="1:7" x14ac:dyDescent="0.3">
      <c r="A30" t="s">
        <v>35</v>
      </c>
      <c r="B30" s="2">
        <v>45728.275694444441</v>
      </c>
      <c r="C30">
        <v>6359.55</v>
      </c>
      <c r="D30" t="s">
        <v>1009</v>
      </c>
      <c r="E30" t="s">
        <v>1014</v>
      </c>
      <c r="F30" t="s">
        <v>1019</v>
      </c>
    </row>
    <row r="31" spans="1:7" x14ac:dyDescent="0.3">
      <c r="A31" t="s">
        <v>36</v>
      </c>
      <c r="B31" s="2">
        <v>45666.061805555553</v>
      </c>
      <c r="C31">
        <v>5553.94</v>
      </c>
      <c r="D31" t="s">
        <v>1011</v>
      </c>
      <c r="E31" t="s">
        <v>1015</v>
      </c>
      <c r="F31" t="s">
        <v>1020</v>
      </c>
      <c r="G31" t="s">
        <v>1025</v>
      </c>
    </row>
    <row r="32" spans="1:7" x14ac:dyDescent="0.3">
      <c r="A32" t="s">
        <v>37</v>
      </c>
      <c r="B32" s="2">
        <v>45717.55</v>
      </c>
      <c r="C32">
        <v>3132.84</v>
      </c>
      <c r="D32" t="s">
        <v>1009</v>
      </c>
      <c r="E32" t="s">
        <v>1015</v>
      </c>
      <c r="F32" t="s">
        <v>1019</v>
      </c>
    </row>
    <row r="33" spans="1:7" x14ac:dyDescent="0.3">
      <c r="A33" t="s">
        <v>38</v>
      </c>
      <c r="B33" s="2">
        <v>45679.415972222218</v>
      </c>
      <c r="C33">
        <v>7000.38</v>
      </c>
      <c r="D33" t="s">
        <v>1010</v>
      </c>
      <c r="E33" t="s">
        <v>1018</v>
      </c>
      <c r="F33" t="s">
        <v>1019</v>
      </c>
    </row>
    <row r="34" spans="1:7" x14ac:dyDescent="0.3">
      <c r="A34" t="s">
        <v>39</v>
      </c>
      <c r="B34" s="2">
        <v>45712.699305555558</v>
      </c>
      <c r="C34">
        <v>5535.82</v>
      </c>
      <c r="D34" t="s">
        <v>1011</v>
      </c>
      <c r="E34" t="s">
        <v>1012</v>
      </c>
      <c r="F34" t="s">
        <v>1019</v>
      </c>
    </row>
    <row r="35" spans="1:7" x14ac:dyDescent="0.3">
      <c r="A35" t="s">
        <v>40</v>
      </c>
      <c r="B35" s="2">
        <v>45670.247916666667</v>
      </c>
      <c r="C35">
        <v>9772.11</v>
      </c>
      <c r="D35" t="s">
        <v>1007</v>
      </c>
      <c r="E35" t="s">
        <v>1015</v>
      </c>
      <c r="F35" t="s">
        <v>1019</v>
      </c>
    </row>
    <row r="36" spans="1:7" x14ac:dyDescent="0.3">
      <c r="A36" t="s">
        <v>41</v>
      </c>
      <c r="B36" s="2">
        <v>45713.259027777778</v>
      </c>
      <c r="C36">
        <v>1737.36</v>
      </c>
      <c r="D36" t="s">
        <v>1007</v>
      </c>
      <c r="E36" t="s">
        <v>1015</v>
      </c>
      <c r="F36" t="s">
        <v>1020</v>
      </c>
      <c r="G36" t="s">
        <v>1024</v>
      </c>
    </row>
    <row r="37" spans="1:7" x14ac:dyDescent="0.3">
      <c r="A37" t="s">
        <v>42</v>
      </c>
      <c r="B37" s="2">
        <v>45704.560416666667</v>
      </c>
      <c r="C37">
        <v>2539.62</v>
      </c>
      <c r="D37" t="s">
        <v>1010</v>
      </c>
      <c r="E37" t="s">
        <v>1016</v>
      </c>
      <c r="F37" t="s">
        <v>1020</v>
      </c>
      <c r="G37" t="s">
        <v>1023</v>
      </c>
    </row>
    <row r="38" spans="1:7" x14ac:dyDescent="0.3">
      <c r="A38" t="s">
        <v>43</v>
      </c>
      <c r="B38" s="2">
        <v>45722.404861111107</v>
      </c>
      <c r="C38">
        <v>1314.33</v>
      </c>
      <c r="D38" t="s">
        <v>1007</v>
      </c>
      <c r="E38" t="s">
        <v>1013</v>
      </c>
      <c r="F38" t="s">
        <v>1019</v>
      </c>
    </row>
    <row r="39" spans="1:7" x14ac:dyDescent="0.3">
      <c r="A39" t="s">
        <v>44</v>
      </c>
      <c r="B39" s="2">
        <v>45672.387499999997</v>
      </c>
      <c r="C39">
        <v>5282.73</v>
      </c>
      <c r="D39" t="s">
        <v>1009</v>
      </c>
      <c r="E39" t="s">
        <v>1014</v>
      </c>
      <c r="F39" t="s">
        <v>1019</v>
      </c>
    </row>
    <row r="40" spans="1:7" x14ac:dyDescent="0.3">
      <c r="A40" t="s">
        <v>45</v>
      </c>
      <c r="B40" s="2">
        <v>45699.009722222218</v>
      </c>
      <c r="C40">
        <v>670.27</v>
      </c>
      <c r="D40" t="s">
        <v>1011</v>
      </c>
      <c r="E40" t="s">
        <v>1018</v>
      </c>
      <c r="F40" t="s">
        <v>1020</v>
      </c>
      <c r="G40" t="s">
        <v>1025</v>
      </c>
    </row>
    <row r="41" spans="1:7" x14ac:dyDescent="0.3">
      <c r="A41" t="s">
        <v>46</v>
      </c>
      <c r="B41" s="2">
        <v>45723.484027777777</v>
      </c>
      <c r="C41">
        <v>2820.69</v>
      </c>
      <c r="D41" t="s">
        <v>1010</v>
      </c>
      <c r="E41" t="s">
        <v>1014</v>
      </c>
      <c r="F41" t="s">
        <v>1019</v>
      </c>
    </row>
    <row r="42" spans="1:7" x14ac:dyDescent="0.3">
      <c r="A42" t="s">
        <v>47</v>
      </c>
      <c r="B42" s="2">
        <v>45728.237500000003</v>
      </c>
      <c r="C42">
        <v>5707.06</v>
      </c>
      <c r="D42" t="s">
        <v>1008</v>
      </c>
      <c r="E42" t="s">
        <v>1017</v>
      </c>
      <c r="F42" t="s">
        <v>1019</v>
      </c>
    </row>
    <row r="43" spans="1:7" x14ac:dyDescent="0.3">
      <c r="A43" t="s">
        <v>48</v>
      </c>
      <c r="B43" s="2">
        <v>45728.507638888892</v>
      </c>
      <c r="C43">
        <v>7476.78</v>
      </c>
      <c r="D43" t="s">
        <v>1011</v>
      </c>
      <c r="E43" t="s">
        <v>1015</v>
      </c>
      <c r="F43" t="s">
        <v>1020</v>
      </c>
      <c r="G43" t="s">
        <v>1026</v>
      </c>
    </row>
    <row r="44" spans="1:7" x14ac:dyDescent="0.3">
      <c r="A44" t="s">
        <v>49</v>
      </c>
      <c r="B44" s="2">
        <v>45669.490277777782</v>
      </c>
      <c r="C44">
        <v>4450.66</v>
      </c>
      <c r="D44" t="s">
        <v>1010</v>
      </c>
      <c r="E44" t="s">
        <v>1015</v>
      </c>
      <c r="F44" t="s">
        <v>1019</v>
      </c>
    </row>
    <row r="45" spans="1:7" x14ac:dyDescent="0.3">
      <c r="A45" t="s">
        <v>50</v>
      </c>
      <c r="B45" s="2">
        <v>45695.272916666669</v>
      </c>
      <c r="C45">
        <v>7900.9</v>
      </c>
      <c r="D45" t="s">
        <v>1009</v>
      </c>
      <c r="E45" t="s">
        <v>1014</v>
      </c>
      <c r="F45" t="s">
        <v>1019</v>
      </c>
    </row>
    <row r="46" spans="1:7" x14ac:dyDescent="0.3">
      <c r="A46" t="s">
        <v>51</v>
      </c>
      <c r="B46" s="2">
        <v>45714.929166666669</v>
      </c>
      <c r="C46">
        <v>1282.26</v>
      </c>
      <c r="D46" t="s">
        <v>1007</v>
      </c>
      <c r="E46" t="s">
        <v>1013</v>
      </c>
      <c r="F46" t="s">
        <v>1020</v>
      </c>
      <c r="G46" t="s">
        <v>1024</v>
      </c>
    </row>
    <row r="47" spans="1:7" x14ac:dyDescent="0.3">
      <c r="A47" t="s">
        <v>52</v>
      </c>
      <c r="B47" s="2">
        <v>45735.247916666667</v>
      </c>
      <c r="C47">
        <v>7227.52</v>
      </c>
      <c r="D47" t="s">
        <v>1011</v>
      </c>
      <c r="E47" t="s">
        <v>1015</v>
      </c>
      <c r="F47" t="s">
        <v>1019</v>
      </c>
    </row>
    <row r="48" spans="1:7" x14ac:dyDescent="0.3">
      <c r="A48" t="s">
        <v>53</v>
      </c>
      <c r="B48" s="2">
        <v>45721.550694444442</v>
      </c>
      <c r="C48">
        <v>6711.86</v>
      </c>
      <c r="D48" t="s">
        <v>1008</v>
      </c>
      <c r="E48" t="s">
        <v>1013</v>
      </c>
      <c r="F48" t="s">
        <v>1020</v>
      </c>
      <c r="G48" t="s">
        <v>1023</v>
      </c>
    </row>
    <row r="49" spans="1:7" x14ac:dyDescent="0.3">
      <c r="A49" t="s">
        <v>54</v>
      </c>
      <c r="B49" s="2">
        <v>45701.704861111109</v>
      </c>
      <c r="C49">
        <v>6214.57</v>
      </c>
      <c r="D49" t="s">
        <v>1011</v>
      </c>
      <c r="E49" t="s">
        <v>1014</v>
      </c>
      <c r="F49" t="s">
        <v>1019</v>
      </c>
    </row>
    <row r="50" spans="1:7" x14ac:dyDescent="0.3">
      <c r="A50" t="s">
        <v>55</v>
      </c>
      <c r="B50" s="2">
        <v>45688.402777777781</v>
      </c>
      <c r="C50">
        <v>1228.46</v>
      </c>
      <c r="D50" t="s">
        <v>1008</v>
      </c>
      <c r="E50" t="s">
        <v>1015</v>
      </c>
      <c r="F50" t="s">
        <v>1019</v>
      </c>
    </row>
    <row r="51" spans="1:7" x14ac:dyDescent="0.3">
      <c r="A51" t="s">
        <v>56</v>
      </c>
      <c r="B51" s="2">
        <v>45663.635416666657</v>
      </c>
      <c r="C51">
        <v>7176.93</v>
      </c>
      <c r="D51" t="s">
        <v>1008</v>
      </c>
      <c r="E51" t="s">
        <v>1017</v>
      </c>
      <c r="F51" t="s">
        <v>1019</v>
      </c>
    </row>
    <row r="52" spans="1:7" x14ac:dyDescent="0.3">
      <c r="A52" t="s">
        <v>57</v>
      </c>
      <c r="B52" s="2">
        <v>45672.245138888888</v>
      </c>
      <c r="C52">
        <v>7942.33</v>
      </c>
      <c r="D52" t="s">
        <v>1009</v>
      </c>
      <c r="E52" t="s">
        <v>1013</v>
      </c>
      <c r="F52" t="s">
        <v>1019</v>
      </c>
    </row>
    <row r="53" spans="1:7" x14ac:dyDescent="0.3">
      <c r="A53" t="s">
        <v>58</v>
      </c>
      <c r="B53" s="2">
        <v>45734.753472222219</v>
      </c>
      <c r="C53">
        <v>5160.4799999999996</v>
      </c>
      <c r="D53" t="s">
        <v>1007</v>
      </c>
      <c r="E53" t="s">
        <v>1017</v>
      </c>
      <c r="F53" t="s">
        <v>1019</v>
      </c>
    </row>
    <row r="54" spans="1:7" x14ac:dyDescent="0.3">
      <c r="A54" t="s">
        <v>59</v>
      </c>
      <c r="B54" s="2">
        <v>45741.386805555558</v>
      </c>
      <c r="C54">
        <v>9280.33</v>
      </c>
      <c r="D54" t="s">
        <v>1010</v>
      </c>
      <c r="E54" t="s">
        <v>1013</v>
      </c>
      <c r="F54" t="s">
        <v>1019</v>
      </c>
    </row>
    <row r="55" spans="1:7" x14ac:dyDescent="0.3">
      <c r="A55" t="s">
        <v>60</v>
      </c>
      <c r="B55" s="2">
        <v>45724.75277777778</v>
      </c>
      <c r="C55">
        <v>7572.73</v>
      </c>
      <c r="D55" t="s">
        <v>1008</v>
      </c>
      <c r="E55" t="s">
        <v>1012</v>
      </c>
      <c r="F55" t="s">
        <v>1020</v>
      </c>
      <c r="G55" t="s">
        <v>1025</v>
      </c>
    </row>
    <row r="56" spans="1:7" x14ac:dyDescent="0.3">
      <c r="A56" t="s">
        <v>61</v>
      </c>
      <c r="B56" s="2">
        <v>45701.550694444442</v>
      </c>
      <c r="C56">
        <v>2127.9299999999998</v>
      </c>
      <c r="D56" t="s">
        <v>1011</v>
      </c>
      <c r="E56" t="s">
        <v>1018</v>
      </c>
      <c r="F56" t="s">
        <v>1019</v>
      </c>
    </row>
    <row r="57" spans="1:7" x14ac:dyDescent="0.3">
      <c r="A57" t="s">
        <v>62</v>
      </c>
      <c r="B57" s="2">
        <v>45682.80972222222</v>
      </c>
      <c r="C57">
        <v>7513.75</v>
      </c>
      <c r="D57" t="s">
        <v>1011</v>
      </c>
      <c r="E57" t="s">
        <v>1015</v>
      </c>
      <c r="F57" t="s">
        <v>1019</v>
      </c>
    </row>
    <row r="58" spans="1:7" x14ac:dyDescent="0.3">
      <c r="A58" t="s">
        <v>63</v>
      </c>
      <c r="B58" s="2">
        <v>45679.058333333327</v>
      </c>
      <c r="C58">
        <v>8325.9500000000007</v>
      </c>
      <c r="D58" t="s">
        <v>1007</v>
      </c>
      <c r="E58" t="s">
        <v>1018</v>
      </c>
      <c r="F58" t="s">
        <v>1019</v>
      </c>
    </row>
    <row r="59" spans="1:7" x14ac:dyDescent="0.3">
      <c r="A59" t="s">
        <v>64</v>
      </c>
      <c r="B59" s="2">
        <v>45688.010416666657</v>
      </c>
      <c r="C59">
        <v>8851.31</v>
      </c>
      <c r="D59" t="s">
        <v>1008</v>
      </c>
      <c r="E59" t="s">
        <v>1012</v>
      </c>
      <c r="F59" t="s">
        <v>1020</v>
      </c>
      <c r="G59" t="s">
        <v>1023</v>
      </c>
    </row>
    <row r="60" spans="1:7" x14ac:dyDescent="0.3">
      <c r="A60" t="s">
        <v>65</v>
      </c>
      <c r="B60" s="2">
        <v>45686.318749999999</v>
      </c>
      <c r="C60">
        <v>1411.52</v>
      </c>
      <c r="D60" t="s">
        <v>1009</v>
      </c>
      <c r="E60" t="s">
        <v>1017</v>
      </c>
      <c r="F60" t="s">
        <v>1019</v>
      </c>
    </row>
    <row r="61" spans="1:7" x14ac:dyDescent="0.3">
      <c r="A61" t="s">
        <v>66</v>
      </c>
      <c r="B61" s="2">
        <v>45708.4375</v>
      </c>
      <c r="C61">
        <v>3616.86</v>
      </c>
      <c r="D61" t="s">
        <v>1007</v>
      </c>
      <c r="E61" t="s">
        <v>1013</v>
      </c>
      <c r="F61" t="s">
        <v>1019</v>
      </c>
    </row>
    <row r="62" spans="1:7" x14ac:dyDescent="0.3">
      <c r="A62" t="s">
        <v>67</v>
      </c>
      <c r="B62" s="2">
        <v>45712.803472222222</v>
      </c>
      <c r="C62">
        <v>6681.35</v>
      </c>
      <c r="D62" t="s">
        <v>1010</v>
      </c>
      <c r="E62" t="s">
        <v>1018</v>
      </c>
      <c r="F62" t="s">
        <v>1019</v>
      </c>
    </row>
    <row r="63" spans="1:7" x14ac:dyDescent="0.3">
      <c r="A63" t="s">
        <v>68</v>
      </c>
      <c r="B63" s="2">
        <v>45711.770833333343</v>
      </c>
      <c r="C63">
        <v>8701.9599999999991</v>
      </c>
      <c r="D63" t="s">
        <v>1010</v>
      </c>
      <c r="E63" t="s">
        <v>1012</v>
      </c>
      <c r="F63" t="s">
        <v>1019</v>
      </c>
    </row>
    <row r="64" spans="1:7" x14ac:dyDescent="0.3">
      <c r="A64" t="s">
        <v>69</v>
      </c>
      <c r="B64" s="2">
        <v>45668.193749999999</v>
      </c>
      <c r="C64">
        <v>5558.95</v>
      </c>
      <c r="D64" t="s">
        <v>1010</v>
      </c>
      <c r="E64" t="s">
        <v>1014</v>
      </c>
      <c r="F64" t="s">
        <v>1020</v>
      </c>
      <c r="G64" t="s">
        <v>1021</v>
      </c>
    </row>
    <row r="65" spans="1:7" x14ac:dyDescent="0.3">
      <c r="A65" t="s">
        <v>70</v>
      </c>
      <c r="B65" s="2">
        <v>45705.495138888888</v>
      </c>
      <c r="C65">
        <v>3668.08</v>
      </c>
      <c r="D65" t="s">
        <v>1008</v>
      </c>
      <c r="E65" t="s">
        <v>1013</v>
      </c>
      <c r="F65" t="s">
        <v>1019</v>
      </c>
    </row>
    <row r="66" spans="1:7" x14ac:dyDescent="0.3">
      <c r="A66" t="s">
        <v>71</v>
      </c>
      <c r="B66" s="2">
        <v>45731.045138888891</v>
      </c>
      <c r="C66">
        <v>5981.59</v>
      </c>
      <c r="D66" t="s">
        <v>1007</v>
      </c>
      <c r="E66" t="s">
        <v>1016</v>
      </c>
      <c r="F66" t="s">
        <v>1020</v>
      </c>
      <c r="G66" t="s">
        <v>1021</v>
      </c>
    </row>
    <row r="67" spans="1:7" x14ac:dyDescent="0.3">
      <c r="A67" t="s">
        <v>72</v>
      </c>
      <c r="B67" s="2">
        <v>45718.5625</v>
      </c>
      <c r="C67">
        <v>7461</v>
      </c>
      <c r="D67" t="s">
        <v>1010</v>
      </c>
      <c r="E67" t="s">
        <v>1013</v>
      </c>
      <c r="F67" t="s">
        <v>1019</v>
      </c>
    </row>
    <row r="68" spans="1:7" x14ac:dyDescent="0.3">
      <c r="A68" t="s">
        <v>73</v>
      </c>
      <c r="B68" s="2">
        <v>45723.877083333333</v>
      </c>
      <c r="C68">
        <v>6599.34</v>
      </c>
      <c r="D68" t="s">
        <v>1010</v>
      </c>
      <c r="E68" t="s">
        <v>1012</v>
      </c>
      <c r="F68" t="s">
        <v>1019</v>
      </c>
    </row>
    <row r="69" spans="1:7" x14ac:dyDescent="0.3">
      <c r="A69" t="s">
        <v>74</v>
      </c>
      <c r="B69" s="2">
        <v>45693.366666666669</v>
      </c>
      <c r="C69">
        <v>4779.6899999999996</v>
      </c>
      <c r="D69" t="s">
        <v>1011</v>
      </c>
      <c r="E69" t="s">
        <v>1018</v>
      </c>
      <c r="F69" t="s">
        <v>1019</v>
      </c>
    </row>
    <row r="70" spans="1:7" x14ac:dyDescent="0.3">
      <c r="A70" t="s">
        <v>75</v>
      </c>
      <c r="B70" s="2">
        <v>45711.120138888888</v>
      </c>
      <c r="C70">
        <v>9030.6200000000008</v>
      </c>
      <c r="D70" t="s">
        <v>1009</v>
      </c>
      <c r="E70" t="s">
        <v>1013</v>
      </c>
      <c r="F70" t="s">
        <v>1019</v>
      </c>
    </row>
    <row r="71" spans="1:7" x14ac:dyDescent="0.3">
      <c r="A71" t="s">
        <v>76</v>
      </c>
      <c r="B71" s="2">
        <v>45661.13958333333</v>
      </c>
      <c r="C71">
        <v>8888.4699999999993</v>
      </c>
      <c r="D71" t="s">
        <v>1007</v>
      </c>
      <c r="E71" t="s">
        <v>1016</v>
      </c>
      <c r="F71" t="s">
        <v>1019</v>
      </c>
    </row>
    <row r="72" spans="1:7" x14ac:dyDescent="0.3">
      <c r="A72" t="s">
        <v>77</v>
      </c>
      <c r="B72" s="2">
        <v>45717.597222222219</v>
      </c>
      <c r="C72">
        <v>2351.8000000000002</v>
      </c>
      <c r="D72" t="s">
        <v>1007</v>
      </c>
      <c r="E72" t="s">
        <v>1014</v>
      </c>
      <c r="F72" t="s">
        <v>1019</v>
      </c>
    </row>
    <row r="73" spans="1:7" x14ac:dyDescent="0.3">
      <c r="A73" t="s">
        <v>78</v>
      </c>
      <c r="B73" s="2">
        <v>45730.942361111112</v>
      </c>
      <c r="C73">
        <v>6042.35</v>
      </c>
      <c r="D73" t="s">
        <v>1008</v>
      </c>
      <c r="E73" t="s">
        <v>1013</v>
      </c>
      <c r="F73" t="s">
        <v>1019</v>
      </c>
    </row>
    <row r="74" spans="1:7" x14ac:dyDescent="0.3">
      <c r="A74" t="s">
        <v>79</v>
      </c>
      <c r="B74" s="2">
        <v>45726.530555555553</v>
      </c>
      <c r="C74">
        <v>8111.72</v>
      </c>
      <c r="D74" t="s">
        <v>1011</v>
      </c>
      <c r="E74" t="s">
        <v>1016</v>
      </c>
      <c r="F74" t="s">
        <v>1019</v>
      </c>
    </row>
    <row r="75" spans="1:7" x14ac:dyDescent="0.3">
      <c r="A75" t="s">
        <v>80</v>
      </c>
      <c r="B75" s="2">
        <v>45720.76666666667</v>
      </c>
      <c r="C75">
        <v>731.94</v>
      </c>
      <c r="D75" t="s">
        <v>1008</v>
      </c>
      <c r="E75" t="s">
        <v>1014</v>
      </c>
      <c r="F75" t="s">
        <v>1019</v>
      </c>
    </row>
    <row r="76" spans="1:7" x14ac:dyDescent="0.3">
      <c r="A76" t="s">
        <v>81</v>
      </c>
      <c r="B76" s="2">
        <v>45669.106944444437</v>
      </c>
      <c r="C76">
        <v>332.18</v>
      </c>
      <c r="D76" t="s">
        <v>1007</v>
      </c>
      <c r="E76" t="s">
        <v>1018</v>
      </c>
      <c r="F76" t="s">
        <v>1019</v>
      </c>
    </row>
    <row r="77" spans="1:7" x14ac:dyDescent="0.3">
      <c r="A77" t="s">
        <v>82</v>
      </c>
      <c r="B77" s="2">
        <v>45716.981249999997</v>
      </c>
      <c r="C77">
        <v>5164.22</v>
      </c>
      <c r="D77" t="s">
        <v>1007</v>
      </c>
      <c r="E77" t="s">
        <v>1012</v>
      </c>
      <c r="F77" t="s">
        <v>1019</v>
      </c>
    </row>
    <row r="78" spans="1:7" x14ac:dyDescent="0.3">
      <c r="A78" t="s">
        <v>83</v>
      </c>
      <c r="B78" s="2">
        <v>45689.79791666667</v>
      </c>
      <c r="C78">
        <v>7658.27</v>
      </c>
      <c r="D78" t="s">
        <v>1010</v>
      </c>
      <c r="E78" t="s">
        <v>1015</v>
      </c>
      <c r="F78" t="s">
        <v>1019</v>
      </c>
    </row>
    <row r="79" spans="1:7" x14ac:dyDescent="0.3">
      <c r="A79" t="s">
        <v>84</v>
      </c>
      <c r="B79" s="2">
        <v>45668.218055555553</v>
      </c>
      <c r="C79">
        <v>49.75</v>
      </c>
      <c r="D79" t="s">
        <v>1008</v>
      </c>
      <c r="E79" t="s">
        <v>1017</v>
      </c>
      <c r="F79" t="s">
        <v>1019</v>
      </c>
    </row>
    <row r="80" spans="1:7" x14ac:dyDescent="0.3">
      <c r="A80" t="s">
        <v>85</v>
      </c>
      <c r="B80" s="2">
        <v>45685.833333333343</v>
      </c>
      <c r="C80">
        <v>6556.68</v>
      </c>
      <c r="D80" t="s">
        <v>1011</v>
      </c>
      <c r="E80" t="s">
        <v>1015</v>
      </c>
      <c r="F80" t="s">
        <v>1019</v>
      </c>
    </row>
    <row r="81" spans="1:7" x14ac:dyDescent="0.3">
      <c r="A81" t="s">
        <v>86</v>
      </c>
      <c r="B81" s="2">
        <v>45747.127083333333</v>
      </c>
      <c r="C81">
        <v>9129.85</v>
      </c>
      <c r="D81" t="s">
        <v>1011</v>
      </c>
      <c r="E81" t="s">
        <v>1013</v>
      </c>
      <c r="F81" t="s">
        <v>1019</v>
      </c>
    </row>
    <row r="82" spans="1:7" x14ac:dyDescent="0.3">
      <c r="A82" t="s">
        <v>87</v>
      </c>
      <c r="B82" s="2">
        <v>45732.897916666669</v>
      </c>
      <c r="C82">
        <v>6148.85</v>
      </c>
      <c r="D82" t="s">
        <v>1008</v>
      </c>
      <c r="E82" t="s">
        <v>1017</v>
      </c>
      <c r="F82" t="s">
        <v>1020</v>
      </c>
      <c r="G82" t="s">
        <v>1021</v>
      </c>
    </row>
    <row r="83" spans="1:7" x14ac:dyDescent="0.3">
      <c r="A83" t="s">
        <v>88</v>
      </c>
      <c r="B83" s="2">
        <v>45745.172222222223</v>
      </c>
      <c r="C83">
        <v>2388.12</v>
      </c>
      <c r="D83" t="s">
        <v>1011</v>
      </c>
      <c r="E83" t="s">
        <v>1013</v>
      </c>
      <c r="F83" t="s">
        <v>1019</v>
      </c>
    </row>
    <row r="84" spans="1:7" x14ac:dyDescent="0.3">
      <c r="A84" t="s">
        <v>89</v>
      </c>
      <c r="B84" s="2">
        <v>45683.632638888892</v>
      </c>
      <c r="C84">
        <v>6667.47</v>
      </c>
      <c r="D84" t="s">
        <v>1009</v>
      </c>
      <c r="E84" t="s">
        <v>1015</v>
      </c>
      <c r="F84" t="s">
        <v>1019</v>
      </c>
    </row>
    <row r="85" spans="1:7" x14ac:dyDescent="0.3">
      <c r="A85" t="s">
        <v>90</v>
      </c>
      <c r="B85" s="2">
        <v>45694.152083333327</v>
      </c>
      <c r="C85">
        <v>9910.19</v>
      </c>
      <c r="D85" t="s">
        <v>1011</v>
      </c>
      <c r="E85" t="s">
        <v>1016</v>
      </c>
      <c r="F85" t="s">
        <v>1020</v>
      </c>
      <c r="G85" t="s">
        <v>1025</v>
      </c>
    </row>
    <row r="86" spans="1:7" x14ac:dyDescent="0.3">
      <c r="A86" t="s">
        <v>91</v>
      </c>
      <c r="B86" s="2">
        <v>45724.76458333333</v>
      </c>
      <c r="C86">
        <v>3619.93</v>
      </c>
      <c r="D86" t="s">
        <v>1011</v>
      </c>
      <c r="E86" t="s">
        <v>1015</v>
      </c>
      <c r="F86" t="s">
        <v>1019</v>
      </c>
    </row>
    <row r="87" spans="1:7" x14ac:dyDescent="0.3">
      <c r="A87" t="s">
        <v>92</v>
      </c>
      <c r="B87" s="2">
        <v>45679.381944444453</v>
      </c>
      <c r="C87">
        <v>489.34</v>
      </c>
      <c r="D87" t="s">
        <v>1008</v>
      </c>
      <c r="E87" t="s">
        <v>1014</v>
      </c>
      <c r="F87" t="s">
        <v>1019</v>
      </c>
    </row>
    <row r="88" spans="1:7" x14ac:dyDescent="0.3">
      <c r="A88" t="s">
        <v>93</v>
      </c>
      <c r="B88" s="2">
        <v>45662.245138888888</v>
      </c>
      <c r="C88">
        <v>7434.96</v>
      </c>
      <c r="D88" t="s">
        <v>1007</v>
      </c>
      <c r="E88" t="s">
        <v>1017</v>
      </c>
      <c r="F88" t="s">
        <v>1019</v>
      </c>
    </row>
    <row r="89" spans="1:7" x14ac:dyDescent="0.3">
      <c r="A89" t="s">
        <v>94</v>
      </c>
      <c r="B89" s="2">
        <v>45724.425694444442</v>
      </c>
      <c r="C89">
        <v>9435.98</v>
      </c>
      <c r="D89" t="s">
        <v>1007</v>
      </c>
      <c r="E89" t="s">
        <v>1016</v>
      </c>
      <c r="F89" t="s">
        <v>1019</v>
      </c>
    </row>
    <row r="90" spans="1:7" x14ac:dyDescent="0.3">
      <c r="A90" t="s">
        <v>95</v>
      </c>
      <c r="B90" s="2">
        <v>45710.409722222219</v>
      </c>
      <c r="C90">
        <v>9931.94</v>
      </c>
      <c r="D90" t="s">
        <v>1010</v>
      </c>
      <c r="E90" t="s">
        <v>1016</v>
      </c>
      <c r="F90" t="s">
        <v>1019</v>
      </c>
    </row>
    <row r="91" spans="1:7" x14ac:dyDescent="0.3">
      <c r="A91" t="s">
        <v>96</v>
      </c>
      <c r="B91" s="2">
        <v>45722.556944444441</v>
      </c>
      <c r="C91">
        <v>6633.96</v>
      </c>
      <c r="D91" t="s">
        <v>1009</v>
      </c>
      <c r="E91" t="s">
        <v>1016</v>
      </c>
      <c r="F91" t="s">
        <v>1019</v>
      </c>
    </row>
    <row r="92" spans="1:7" x14ac:dyDescent="0.3">
      <c r="A92" t="s">
        <v>97</v>
      </c>
      <c r="B92" s="2">
        <v>45683.925694444442</v>
      </c>
      <c r="C92">
        <v>2399.37</v>
      </c>
      <c r="D92" t="s">
        <v>1009</v>
      </c>
      <c r="E92" t="s">
        <v>1013</v>
      </c>
      <c r="F92" t="s">
        <v>1020</v>
      </c>
      <c r="G92" t="s">
        <v>1026</v>
      </c>
    </row>
    <row r="93" spans="1:7" x14ac:dyDescent="0.3">
      <c r="A93" t="s">
        <v>98</v>
      </c>
      <c r="B93" s="2">
        <v>45710.979861111111</v>
      </c>
      <c r="C93">
        <v>9685.39</v>
      </c>
      <c r="D93" t="s">
        <v>1011</v>
      </c>
      <c r="E93" t="s">
        <v>1013</v>
      </c>
      <c r="F93" t="s">
        <v>1019</v>
      </c>
    </row>
    <row r="94" spans="1:7" x14ac:dyDescent="0.3">
      <c r="A94" t="s">
        <v>99</v>
      </c>
      <c r="B94" s="2">
        <v>45719.731249999997</v>
      </c>
      <c r="C94">
        <v>8289.8700000000008</v>
      </c>
      <c r="D94" t="s">
        <v>1011</v>
      </c>
      <c r="E94" t="s">
        <v>1013</v>
      </c>
      <c r="F94" t="s">
        <v>1019</v>
      </c>
    </row>
    <row r="95" spans="1:7" x14ac:dyDescent="0.3">
      <c r="A95" t="s">
        <v>100</v>
      </c>
      <c r="B95" s="2">
        <v>45691.4375</v>
      </c>
      <c r="C95">
        <v>2279.2800000000002</v>
      </c>
      <c r="D95" t="s">
        <v>1010</v>
      </c>
      <c r="E95" t="s">
        <v>1013</v>
      </c>
      <c r="F95" t="s">
        <v>1019</v>
      </c>
    </row>
    <row r="96" spans="1:7" x14ac:dyDescent="0.3">
      <c r="A96" t="s">
        <v>101</v>
      </c>
      <c r="B96" s="2">
        <v>45678.618055555547</v>
      </c>
      <c r="C96">
        <v>116.91</v>
      </c>
      <c r="D96" t="s">
        <v>1008</v>
      </c>
      <c r="E96" t="s">
        <v>1016</v>
      </c>
      <c r="F96" t="s">
        <v>1020</v>
      </c>
      <c r="G96" t="s">
        <v>1023</v>
      </c>
    </row>
    <row r="97" spans="1:7" x14ac:dyDescent="0.3">
      <c r="A97" t="s">
        <v>102</v>
      </c>
      <c r="B97" s="2">
        <v>45672.254166666673</v>
      </c>
      <c r="C97">
        <v>1127.8699999999999</v>
      </c>
      <c r="D97" t="s">
        <v>1007</v>
      </c>
      <c r="E97" t="s">
        <v>1013</v>
      </c>
      <c r="F97" t="s">
        <v>1019</v>
      </c>
    </row>
    <row r="98" spans="1:7" x14ac:dyDescent="0.3">
      <c r="A98" t="s">
        <v>103</v>
      </c>
      <c r="B98" s="2">
        <v>45737.594444444447</v>
      </c>
      <c r="C98">
        <v>7370.41</v>
      </c>
      <c r="D98" t="s">
        <v>1008</v>
      </c>
      <c r="E98" t="s">
        <v>1013</v>
      </c>
      <c r="F98" t="s">
        <v>1019</v>
      </c>
    </row>
    <row r="99" spans="1:7" x14ac:dyDescent="0.3">
      <c r="A99" t="s">
        <v>104</v>
      </c>
      <c r="B99" s="2">
        <v>45705.36041666667</v>
      </c>
      <c r="C99">
        <v>7024.5</v>
      </c>
      <c r="D99" t="s">
        <v>1007</v>
      </c>
      <c r="E99" t="s">
        <v>1018</v>
      </c>
      <c r="F99" t="s">
        <v>1019</v>
      </c>
    </row>
    <row r="100" spans="1:7" x14ac:dyDescent="0.3">
      <c r="A100" t="s">
        <v>105</v>
      </c>
      <c r="B100" s="2">
        <v>45702.189583333333</v>
      </c>
      <c r="C100">
        <v>435.46</v>
      </c>
      <c r="D100" t="s">
        <v>1009</v>
      </c>
      <c r="E100" t="s">
        <v>1013</v>
      </c>
      <c r="F100" t="s">
        <v>1020</v>
      </c>
      <c r="G100" t="s">
        <v>1025</v>
      </c>
    </row>
    <row r="101" spans="1:7" x14ac:dyDescent="0.3">
      <c r="A101" t="s">
        <v>106</v>
      </c>
      <c r="B101" s="2">
        <v>45701.570833333331</v>
      </c>
      <c r="C101">
        <v>5395.82</v>
      </c>
      <c r="D101" t="s">
        <v>1010</v>
      </c>
      <c r="E101" t="s">
        <v>1018</v>
      </c>
      <c r="F101" t="s">
        <v>1019</v>
      </c>
    </row>
    <row r="102" spans="1:7" x14ac:dyDescent="0.3">
      <c r="A102" t="s">
        <v>107</v>
      </c>
      <c r="B102" s="2">
        <v>45747.131249999999</v>
      </c>
      <c r="C102">
        <v>6576.8</v>
      </c>
      <c r="D102" t="s">
        <v>1011</v>
      </c>
      <c r="E102" t="s">
        <v>1014</v>
      </c>
      <c r="F102" t="s">
        <v>1019</v>
      </c>
    </row>
    <row r="103" spans="1:7" x14ac:dyDescent="0.3">
      <c r="A103" t="s">
        <v>108</v>
      </c>
      <c r="B103" s="2">
        <v>45696.69027777778</v>
      </c>
      <c r="C103">
        <v>5083.8599999999997</v>
      </c>
      <c r="D103" t="s">
        <v>1009</v>
      </c>
      <c r="E103" t="s">
        <v>1014</v>
      </c>
      <c r="F103" t="s">
        <v>1019</v>
      </c>
    </row>
    <row r="104" spans="1:7" x14ac:dyDescent="0.3">
      <c r="A104" t="s">
        <v>109</v>
      </c>
      <c r="B104" s="2">
        <v>45664.945833333331</v>
      </c>
      <c r="C104">
        <v>9955.39</v>
      </c>
      <c r="D104" t="s">
        <v>1010</v>
      </c>
      <c r="E104" t="s">
        <v>1013</v>
      </c>
      <c r="F104" t="s">
        <v>1020</v>
      </c>
      <c r="G104" t="s">
        <v>1023</v>
      </c>
    </row>
    <row r="105" spans="1:7" x14ac:dyDescent="0.3">
      <c r="A105" t="s">
        <v>110</v>
      </c>
      <c r="B105" s="2">
        <v>45739.237500000003</v>
      </c>
      <c r="C105">
        <v>1939.15</v>
      </c>
      <c r="D105" t="s">
        <v>1008</v>
      </c>
      <c r="E105" t="s">
        <v>1015</v>
      </c>
      <c r="F105" t="s">
        <v>1020</v>
      </c>
      <c r="G105" t="s">
        <v>1025</v>
      </c>
    </row>
    <row r="106" spans="1:7" x14ac:dyDescent="0.3">
      <c r="A106" t="s">
        <v>111</v>
      </c>
      <c r="B106" s="2">
        <v>45676.179166666669</v>
      </c>
      <c r="C106">
        <v>5652.04</v>
      </c>
      <c r="D106" t="s">
        <v>1010</v>
      </c>
      <c r="E106" t="s">
        <v>1012</v>
      </c>
      <c r="F106" t="s">
        <v>1019</v>
      </c>
    </row>
    <row r="107" spans="1:7" x14ac:dyDescent="0.3">
      <c r="A107" t="s">
        <v>112</v>
      </c>
      <c r="B107" s="2">
        <v>45703.320138888892</v>
      </c>
      <c r="C107">
        <v>7812.6</v>
      </c>
      <c r="D107" t="s">
        <v>1008</v>
      </c>
      <c r="E107" t="s">
        <v>1018</v>
      </c>
      <c r="F107" t="s">
        <v>1019</v>
      </c>
    </row>
    <row r="108" spans="1:7" x14ac:dyDescent="0.3">
      <c r="A108" t="s">
        <v>113</v>
      </c>
      <c r="B108" s="2">
        <v>45729.813194444447</v>
      </c>
      <c r="C108">
        <v>4154.04</v>
      </c>
      <c r="D108" t="s">
        <v>1009</v>
      </c>
      <c r="E108" t="s">
        <v>1014</v>
      </c>
      <c r="F108" t="s">
        <v>1019</v>
      </c>
    </row>
    <row r="109" spans="1:7" x14ac:dyDescent="0.3">
      <c r="A109" t="s">
        <v>114</v>
      </c>
      <c r="B109" s="2">
        <v>45689.179861111108</v>
      </c>
      <c r="C109">
        <v>9146.2900000000009</v>
      </c>
      <c r="D109" t="s">
        <v>1010</v>
      </c>
      <c r="E109" t="s">
        <v>1013</v>
      </c>
      <c r="F109" t="s">
        <v>1019</v>
      </c>
    </row>
    <row r="110" spans="1:7" x14ac:dyDescent="0.3">
      <c r="A110" t="s">
        <v>115</v>
      </c>
      <c r="B110" s="2">
        <v>45676.210416666669</v>
      </c>
      <c r="C110">
        <v>6067</v>
      </c>
      <c r="D110" t="s">
        <v>1010</v>
      </c>
      <c r="E110" t="s">
        <v>1016</v>
      </c>
      <c r="F110" t="s">
        <v>1019</v>
      </c>
    </row>
    <row r="111" spans="1:7" x14ac:dyDescent="0.3">
      <c r="A111" t="s">
        <v>116</v>
      </c>
      <c r="B111" s="2">
        <v>45744.589583333327</v>
      </c>
      <c r="C111">
        <v>9814.7000000000007</v>
      </c>
      <c r="D111" t="s">
        <v>1009</v>
      </c>
      <c r="E111" t="s">
        <v>1012</v>
      </c>
      <c r="F111" t="s">
        <v>1019</v>
      </c>
    </row>
    <row r="112" spans="1:7" x14ac:dyDescent="0.3">
      <c r="A112" t="s">
        <v>117</v>
      </c>
      <c r="B112" s="2">
        <v>45714.332638888889</v>
      </c>
      <c r="C112">
        <v>9811.61</v>
      </c>
      <c r="D112" t="s">
        <v>1008</v>
      </c>
      <c r="E112" t="s">
        <v>1018</v>
      </c>
      <c r="F112" t="s">
        <v>1019</v>
      </c>
    </row>
    <row r="113" spans="1:7" x14ac:dyDescent="0.3">
      <c r="A113" t="s">
        <v>118</v>
      </c>
      <c r="B113" s="2">
        <v>45708.874305555553</v>
      </c>
      <c r="C113">
        <v>2560.9499999999998</v>
      </c>
      <c r="D113" t="s">
        <v>1011</v>
      </c>
      <c r="E113" t="s">
        <v>1016</v>
      </c>
      <c r="F113" t="s">
        <v>1019</v>
      </c>
    </row>
    <row r="114" spans="1:7" x14ac:dyDescent="0.3">
      <c r="A114" t="s">
        <v>119</v>
      </c>
      <c r="B114" s="2">
        <v>45676.013888888891</v>
      </c>
      <c r="C114">
        <v>4010.23</v>
      </c>
      <c r="D114" t="s">
        <v>1009</v>
      </c>
      <c r="E114" t="s">
        <v>1018</v>
      </c>
      <c r="F114" t="s">
        <v>1020</v>
      </c>
      <c r="G114" t="s">
        <v>1024</v>
      </c>
    </row>
    <row r="115" spans="1:7" x14ac:dyDescent="0.3">
      <c r="A115" t="s">
        <v>120</v>
      </c>
      <c r="B115" s="2">
        <v>45698.527777777781</v>
      </c>
      <c r="C115">
        <v>6875.05</v>
      </c>
      <c r="D115" t="s">
        <v>1009</v>
      </c>
      <c r="E115" t="s">
        <v>1014</v>
      </c>
      <c r="F115" t="s">
        <v>1020</v>
      </c>
      <c r="G115" t="s">
        <v>1021</v>
      </c>
    </row>
    <row r="116" spans="1:7" x14ac:dyDescent="0.3">
      <c r="A116" t="s">
        <v>121</v>
      </c>
      <c r="B116" s="2">
        <v>45737.022222222222</v>
      </c>
      <c r="C116">
        <v>6460.44</v>
      </c>
      <c r="D116" t="s">
        <v>1008</v>
      </c>
      <c r="E116" t="s">
        <v>1018</v>
      </c>
      <c r="F116" t="s">
        <v>1019</v>
      </c>
    </row>
    <row r="117" spans="1:7" x14ac:dyDescent="0.3">
      <c r="A117" t="s">
        <v>122</v>
      </c>
      <c r="B117" s="2">
        <v>45745.315972222219</v>
      </c>
      <c r="C117">
        <v>6014.48</v>
      </c>
      <c r="D117" t="s">
        <v>1009</v>
      </c>
      <c r="E117" t="s">
        <v>1018</v>
      </c>
      <c r="F117" t="s">
        <v>1019</v>
      </c>
    </row>
    <row r="118" spans="1:7" x14ac:dyDescent="0.3">
      <c r="A118" t="s">
        <v>123</v>
      </c>
      <c r="B118" s="2">
        <v>45704.948611111111</v>
      </c>
      <c r="C118">
        <v>1484.95</v>
      </c>
      <c r="D118" t="s">
        <v>1007</v>
      </c>
      <c r="E118" t="s">
        <v>1012</v>
      </c>
      <c r="F118" t="s">
        <v>1020</v>
      </c>
      <c r="G118" t="s">
        <v>1026</v>
      </c>
    </row>
    <row r="119" spans="1:7" x14ac:dyDescent="0.3">
      <c r="A119" t="s">
        <v>124</v>
      </c>
      <c r="B119" s="2">
        <v>45699.163888888892</v>
      </c>
      <c r="C119">
        <v>8385.25</v>
      </c>
      <c r="D119" t="s">
        <v>1010</v>
      </c>
      <c r="E119" t="s">
        <v>1017</v>
      </c>
      <c r="F119" t="s">
        <v>1020</v>
      </c>
      <c r="G119" t="s">
        <v>1022</v>
      </c>
    </row>
    <row r="120" spans="1:7" x14ac:dyDescent="0.3">
      <c r="A120" t="s">
        <v>125</v>
      </c>
      <c r="B120" s="2">
        <v>45725.307638888888</v>
      </c>
      <c r="C120">
        <v>7573.26</v>
      </c>
      <c r="D120" t="s">
        <v>1009</v>
      </c>
      <c r="E120" t="s">
        <v>1015</v>
      </c>
      <c r="F120" t="s">
        <v>1019</v>
      </c>
    </row>
    <row r="121" spans="1:7" x14ac:dyDescent="0.3">
      <c r="A121" t="s">
        <v>126</v>
      </c>
      <c r="B121" s="2">
        <v>45717.509722222218</v>
      </c>
      <c r="C121">
        <v>2109.96</v>
      </c>
      <c r="D121" t="s">
        <v>1008</v>
      </c>
      <c r="E121" t="s">
        <v>1017</v>
      </c>
      <c r="F121" t="s">
        <v>1019</v>
      </c>
    </row>
    <row r="122" spans="1:7" x14ac:dyDescent="0.3">
      <c r="A122" t="s">
        <v>127</v>
      </c>
      <c r="B122" s="2">
        <v>45714.574999999997</v>
      </c>
      <c r="C122">
        <v>4429.21</v>
      </c>
      <c r="D122" t="s">
        <v>1007</v>
      </c>
      <c r="E122" t="s">
        <v>1014</v>
      </c>
      <c r="F122" t="s">
        <v>1020</v>
      </c>
      <c r="G122" t="s">
        <v>1026</v>
      </c>
    </row>
    <row r="123" spans="1:7" x14ac:dyDescent="0.3">
      <c r="A123" t="s">
        <v>128</v>
      </c>
      <c r="B123" s="2">
        <v>45717.325694444437</v>
      </c>
      <c r="C123">
        <v>2924.5</v>
      </c>
      <c r="D123" t="s">
        <v>1008</v>
      </c>
      <c r="E123" t="s">
        <v>1012</v>
      </c>
      <c r="F123" t="s">
        <v>1019</v>
      </c>
    </row>
    <row r="124" spans="1:7" x14ac:dyDescent="0.3">
      <c r="A124" t="s">
        <v>129</v>
      </c>
      <c r="B124" s="2">
        <v>45671.798611111109</v>
      </c>
      <c r="C124">
        <v>5360.5</v>
      </c>
      <c r="D124" t="s">
        <v>1009</v>
      </c>
      <c r="E124" t="s">
        <v>1013</v>
      </c>
      <c r="F124" t="s">
        <v>1019</v>
      </c>
    </row>
    <row r="125" spans="1:7" x14ac:dyDescent="0.3">
      <c r="A125" t="s">
        <v>130</v>
      </c>
      <c r="B125" s="2">
        <v>45727.752083333333</v>
      </c>
      <c r="C125">
        <v>6194.4</v>
      </c>
      <c r="D125" t="s">
        <v>1007</v>
      </c>
      <c r="E125" t="s">
        <v>1014</v>
      </c>
      <c r="F125" t="s">
        <v>1020</v>
      </c>
      <c r="G125" t="s">
        <v>1021</v>
      </c>
    </row>
    <row r="126" spans="1:7" x14ac:dyDescent="0.3">
      <c r="A126" t="s">
        <v>131</v>
      </c>
      <c r="B126" s="2">
        <v>45686.376388888893</v>
      </c>
      <c r="C126">
        <v>5661.13</v>
      </c>
      <c r="D126" t="s">
        <v>1007</v>
      </c>
      <c r="E126" t="s">
        <v>1016</v>
      </c>
      <c r="F126" t="s">
        <v>1019</v>
      </c>
    </row>
    <row r="127" spans="1:7" x14ac:dyDescent="0.3">
      <c r="A127" t="s">
        <v>132</v>
      </c>
      <c r="B127" s="2">
        <v>45673.385416666657</v>
      </c>
      <c r="C127">
        <v>2453.04</v>
      </c>
      <c r="D127" t="s">
        <v>1009</v>
      </c>
      <c r="E127" t="s">
        <v>1012</v>
      </c>
      <c r="F127" t="s">
        <v>1019</v>
      </c>
    </row>
    <row r="128" spans="1:7" x14ac:dyDescent="0.3">
      <c r="A128" t="s">
        <v>133</v>
      </c>
      <c r="B128" s="2">
        <v>45674.906944444447</v>
      </c>
      <c r="C128">
        <v>1789.59</v>
      </c>
      <c r="D128" t="s">
        <v>1008</v>
      </c>
      <c r="E128" t="s">
        <v>1013</v>
      </c>
      <c r="F128" t="s">
        <v>1019</v>
      </c>
    </row>
    <row r="129" spans="1:7" x14ac:dyDescent="0.3">
      <c r="A129" t="s">
        <v>134</v>
      </c>
      <c r="B129" s="2">
        <v>45707.78402777778</v>
      </c>
      <c r="C129">
        <v>1969.31</v>
      </c>
      <c r="D129" t="s">
        <v>1009</v>
      </c>
      <c r="E129" t="s">
        <v>1016</v>
      </c>
      <c r="F129" t="s">
        <v>1019</v>
      </c>
    </row>
    <row r="130" spans="1:7" x14ac:dyDescent="0.3">
      <c r="A130" t="s">
        <v>135</v>
      </c>
      <c r="B130" s="2">
        <v>45706.036111111112</v>
      </c>
      <c r="C130">
        <v>7091.67</v>
      </c>
      <c r="D130" t="s">
        <v>1007</v>
      </c>
      <c r="E130" t="s">
        <v>1014</v>
      </c>
      <c r="F130" t="s">
        <v>1019</v>
      </c>
    </row>
    <row r="131" spans="1:7" x14ac:dyDescent="0.3">
      <c r="A131" t="s">
        <v>136</v>
      </c>
      <c r="B131" s="2">
        <v>45738.236805555563</v>
      </c>
      <c r="C131">
        <v>4774.04</v>
      </c>
      <c r="D131" t="s">
        <v>1010</v>
      </c>
      <c r="E131" t="s">
        <v>1018</v>
      </c>
      <c r="F131" t="s">
        <v>1020</v>
      </c>
      <c r="G131" t="s">
        <v>1022</v>
      </c>
    </row>
    <row r="132" spans="1:7" x14ac:dyDescent="0.3">
      <c r="A132" t="s">
        <v>137</v>
      </c>
      <c r="B132" s="2">
        <v>45718.722222222219</v>
      </c>
      <c r="C132">
        <v>6119.96</v>
      </c>
      <c r="D132" t="s">
        <v>1009</v>
      </c>
      <c r="E132" t="s">
        <v>1014</v>
      </c>
      <c r="F132" t="s">
        <v>1020</v>
      </c>
      <c r="G132" t="s">
        <v>1024</v>
      </c>
    </row>
    <row r="133" spans="1:7" x14ac:dyDescent="0.3">
      <c r="A133" t="s">
        <v>138</v>
      </c>
      <c r="B133" s="2">
        <v>45712.274305555547</v>
      </c>
      <c r="C133">
        <v>7301.63</v>
      </c>
      <c r="D133" t="s">
        <v>1008</v>
      </c>
      <c r="E133" t="s">
        <v>1017</v>
      </c>
      <c r="F133" t="s">
        <v>1019</v>
      </c>
    </row>
    <row r="134" spans="1:7" x14ac:dyDescent="0.3">
      <c r="A134" t="s">
        <v>139</v>
      </c>
      <c r="B134" s="2">
        <v>45667.787499999999</v>
      </c>
      <c r="C134">
        <v>7546.49</v>
      </c>
      <c r="D134" t="s">
        <v>1011</v>
      </c>
      <c r="E134" t="s">
        <v>1018</v>
      </c>
      <c r="F134" t="s">
        <v>1019</v>
      </c>
    </row>
    <row r="135" spans="1:7" x14ac:dyDescent="0.3">
      <c r="A135" t="s">
        <v>140</v>
      </c>
      <c r="B135" s="2">
        <v>45691.667361111111</v>
      </c>
      <c r="C135">
        <v>4158.5600000000004</v>
      </c>
      <c r="D135" t="s">
        <v>1009</v>
      </c>
      <c r="E135" t="s">
        <v>1013</v>
      </c>
      <c r="F135" t="s">
        <v>1019</v>
      </c>
    </row>
    <row r="136" spans="1:7" x14ac:dyDescent="0.3">
      <c r="A136" t="s">
        <v>141</v>
      </c>
      <c r="B136" s="2">
        <v>45723.734722222223</v>
      </c>
      <c r="C136">
        <v>2315.4899999999998</v>
      </c>
      <c r="D136" t="s">
        <v>1009</v>
      </c>
      <c r="E136" t="s">
        <v>1015</v>
      </c>
      <c r="F136" t="s">
        <v>1019</v>
      </c>
    </row>
    <row r="137" spans="1:7" x14ac:dyDescent="0.3">
      <c r="A137" t="s">
        <v>142</v>
      </c>
      <c r="B137" s="2">
        <v>45746.150694444441</v>
      </c>
      <c r="C137">
        <v>4580.74</v>
      </c>
      <c r="D137" t="s">
        <v>1009</v>
      </c>
      <c r="E137" t="s">
        <v>1018</v>
      </c>
      <c r="F137" t="s">
        <v>1019</v>
      </c>
    </row>
    <row r="138" spans="1:7" x14ac:dyDescent="0.3">
      <c r="A138" t="s">
        <v>143</v>
      </c>
      <c r="B138" s="2">
        <v>45740.273611111108</v>
      </c>
      <c r="C138">
        <v>8679.2900000000009</v>
      </c>
      <c r="D138" t="s">
        <v>1010</v>
      </c>
      <c r="E138" t="s">
        <v>1017</v>
      </c>
      <c r="F138" t="s">
        <v>1019</v>
      </c>
    </row>
    <row r="139" spans="1:7" x14ac:dyDescent="0.3">
      <c r="A139" t="s">
        <v>144</v>
      </c>
      <c r="B139" s="2">
        <v>45735.301388888889</v>
      </c>
      <c r="C139">
        <v>2607.83</v>
      </c>
      <c r="D139" t="s">
        <v>1008</v>
      </c>
      <c r="E139" t="s">
        <v>1014</v>
      </c>
      <c r="F139" t="s">
        <v>1019</v>
      </c>
    </row>
    <row r="140" spans="1:7" x14ac:dyDescent="0.3">
      <c r="A140" t="s">
        <v>145</v>
      </c>
      <c r="B140" s="2">
        <v>45733.348611111112</v>
      </c>
      <c r="C140">
        <v>491.96</v>
      </c>
      <c r="D140" t="s">
        <v>1011</v>
      </c>
      <c r="E140" t="s">
        <v>1018</v>
      </c>
      <c r="F140" t="s">
        <v>1019</v>
      </c>
    </row>
    <row r="141" spans="1:7" x14ac:dyDescent="0.3">
      <c r="A141" t="s">
        <v>146</v>
      </c>
      <c r="B141" s="2">
        <v>45668.159722222219</v>
      </c>
      <c r="C141">
        <v>4551.9799999999996</v>
      </c>
      <c r="D141" t="s">
        <v>1009</v>
      </c>
      <c r="E141" t="s">
        <v>1014</v>
      </c>
      <c r="F141" t="s">
        <v>1019</v>
      </c>
    </row>
    <row r="142" spans="1:7" x14ac:dyDescent="0.3">
      <c r="A142" t="s">
        <v>147</v>
      </c>
      <c r="B142" s="2">
        <v>45660.276388888888</v>
      </c>
      <c r="C142">
        <v>9556.51</v>
      </c>
      <c r="D142" t="s">
        <v>1008</v>
      </c>
      <c r="E142" t="s">
        <v>1017</v>
      </c>
      <c r="F142" t="s">
        <v>1020</v>
      </c>
      <c r="G142" t="s">
        <v>1021</v>
      </c>
    </row>
    <row r="143" spans="1:7" x14ac:dyDescent="0.3">
      <c r="A143" t="s">
        <v>148</v>
      </c>
      <c r="B143" s="2">
        <v>45735.541666666657</v>
      </c>
      <c r="C143">
        <v>8613.43</v>
      </c>
      <c r="D143" t="s">
        <v>1007</v>
      </c>
      <c r="E143" t="s">
        <v>1018</v>
      </c>
      <c r="F143" t="s">
        <v>1020</v>
      </c>
      <c r="G143" t="s">
        <v>1024</v>
      </c>
    </row>
    <row r="144" spans="1:7" x14ac:dyDescent="0.3">
      <c r="A144" t="s">
        <v>149</v>
      </c>
      <c r="B144" s="2">
        <v>45665.818055555559</v>
      </c>
      <c r="C144">
        <v>2963.62</v>
      </c>
      <c r="D144" t="s">
        <v>1011</v>
      </c>
      <c r="E144" t="s">
        <v>1012</v>
      </c>
      <c r="F144" t="s">
        <v>1019</v>
      </c>
    </row>
    <row r="145" spans="1:7" x14ac:dyDescent="0.3">
      <c r="A145" t="s">
        <v>150</v>
      </c>
      <c r="B145" s="2">
        <v>45722.793055555558</v>
      </c>
      <c r="C145">
        <v>3288.38</v>
      </c>
      <c r="D145" t="s">
        <v>1011</v>
      </c>
      <c r="E145" t="s">
        <v>1015</v>
      </c>
      <c r="F145" t="s">
        <v>1020</v>
      </c>
      <c r="G145" t="s">
        <v>1021</v>
      </c>
    </row>
    <row r="146" spans="1:7" x14ac:dyDescent="0.3">
      <c r="A146" t="s">
        <v>151</v>
      </c>
      <c r="B146" s="2">
        <v>45739.404861111107</v>
      </c>
      <c r="C146">
        <v>7555</v>
      </c>
      <c r="D146" t="s">
        <v>1009</v>
      </c>
      <c r="E146" t="s">
        <v>1018</v>
      </c>
      <c r="F146" t="s">
        <v>1020</v>
      </c>
      <c r="G146" t="s">
        <v>1022</v>
      </c>
    </row>
    <row r="147" spans="1:7" x14ac:dyDescent="0.3">
      <c r="A147" t="s">
        <v>152</v>
      </c>
      <c r="B147" s="2">
        <v>45724.445833333331</v>
      </c>
      <c r="C147">
        <v>1838.62</v>
      </c>
      <c r="D147" t="s">
        <v>1008</v>
      </c>
      <c r="E147" t="s">
        <v>1012</v>
      </c>
      <c r="F147" t="s">
        <v>1020</v>
      </c>
      <c r="G147" t="s">
        <v>1022</v>
      </c>
    </row>
    <row r="148" spans="1:7" x14ac:dyDescent="0.3">
      <c r="A148" t="s">
        <v>153</v>
      </c>
      <c r="B148" s="2">
        <v>45674.592361111107</v>
      </c>
      <c r="C148">
        <v>8329.26</v>
      </c>
      <c r="D148" t="s">
        <v>1008</v>
      </c>
      <c r="E148" t="s">
        <v>1012</v>
      </c>
      <c r="F148" t="s">
        <v>1019</v>
      </c>
    </row>
    <row r="149" spans="1:7" x14ac:dyDescent="0.3">
      <c r="A149" t="s">
        <v>154</v>
      </c>
      <c r="B149" s="2">
        <v>45695.30972222222</v>
      </c>
      <c r="C149">
        <v>9440.89</v>
      </c>
      <c r="D149" t="s">
        <v>1010</v>
      </c>
      <c r="E149" t="s">
        <v>1012</v>
      </c>
      <c r="F149" t="s">
        <v>1019</v>
      </c>
    </row>
    <row r="150" spans="1:7" x14ac:dyDescent="0.3">
      <c r="A150" t="s">
        <v>155</v>
      </c>
      <c r="B150" s="2">
        <v>45659.507638888892</v>
      </c>
      <c r="C150">
        <v>7608.71</v>
      </c>
      <c r="D150" t="s">
        <v>1008</v>
      </c>
      <c r="E150" t="s">
        <v>1015</v>
      </c>
      <c r="F150" t="s">
        <v>1019</v>
      </c>
    </row>
    <row r="151" spans="1:7" x14ac:dyDescent="0.3">
      <c r="A151" t="s">
        <v>156</v>
      </c>
      <c r="B151" s="2">
        <v>45719.033333333333</v>
      </c>
      <c r="C151">
        <v>6407.19</v>
      </c>
      <c r="D151" t="s">
        <v>1007</v>
      </c>
      <c r="E151" t="s">
        <v>1015</v>
      </c>
      <c r="F151" t="s">
        <v>1019</v>
      </c>
    </row>
    <row r="152" spans="1:7" x14ac:dyDescent="0.3">
      <c r="A152" t="s">
        <v>157</v>
      </c>
      <c r="B152" s="2">
        <v>45710.480555555558</v>
      </c>
      <c r="C152">
        <v>6985.22</v>
      </c>
      <c r="D152" t="s">
        <v>1008</v>
      </c>
      <c r="E152" t="s">
        <v>1013</v>
      </c>
      <c r="F152" t="s">
        <v>1019</v>
      </c>
    </row>
    <row r="153" spans="1:7" x14ac:dyDescent="0.3">
      <c r="A153" t="s">
        <v>158</v>
      </c>
      <c r="B153" s="2">
        <v>45695.177777777782</v>
      </c>
      <c r="C153">
        <v>9925.2900000000009</v>
      </c>
      <c r="D153" t="s">
        <v>1011</v>
      </c>
      <c r="E153" t="s">
        <v>1014</v>
      </c>
      <c r="F153" t="s">
        <v>1020</v>
      </c>
      <c r="G153" t="s">
        <v>1022</v>
      </c>
    </row>
    <row r="154" spans="1:7" x14ac:dyDescent="0.3">
      <c r="A154" t="s">
        <v>159</v>
      </c>
      <c r="B154" s="2">
        <v>45741.25277777778</v>
      </c>
      <c r="C154">
        <v>9816.5</v>
      </c>
      <c r="D154" t="s">
        <v>1009</v>
      </c>
      <c r="E154" t="s">
        <v>1014</v>
      </c>
      <c r="F154" t="s">
        <v>1019</v>
      </c>
    </row>
    <row r="155" spans="1:7" x14ac:dyDescent="0.3">
      <c r="A155" t="s">
        <v>160</v>
      </c>
      <c r="B155" s="2">
        <v>45711.251388888893</v>
      </c>
      <c r="C155">
        <v>1655.98</v>
      </c>
      <c r="D155" t="s">
        <v>1011</v>
      </c>
      <c r="E155" t="s">
        <v>1012</v>
      </c>
      <c r="F155" t="s">
        <v>1019</v>
      </c>
    </row>
    <row r="156" spans="1:7" x14ac:dyDescent="0.3">
      <c r="A156" t="s">
        <v>161</v>
      </c>
      <c r="B156" s="2">
        <v>45746.333333333343</v>
      </c>
      <c r="C156">
        <v>6074.05</v>
      </c>
      <c r="D156" t="s">
        <v>1010</v>
      </c>
      <c r="E156" t="s">
        <v>1016</v>
      </c>
      <c r="F156" t="s">
        <v>1019</v>
      </c>
    </row>
    <row r="157" spans="1:7" x14ac:dyDescent="0.3">
      <c r="A157" t="s">
        <v>162</v>
      </c>
      <c r="B157" s="2">
        <v>45735.814583333333</v>
      </c>
      <c r="C157">
        <v>2916.89</v>
      </c>
      <c r="D157" t="s">
        <v>1008</v>
      </c>
      <c r="E157" t="s">
        <v>1018</v>
      </c>
      <c r="F157" t="s">
        <v>1019</v>
      </c>
    </row>
    <row r="158" spans="1:7" x14ac:dyDescent="0.3">
      <c r="A158" t="s">
        <v>163</v>
      </c>
      <c r="B158" s="2">
        <v>45679.97152777778</v>
      </c>
      <c r="C158">
        <v>5280.39</v>
      </c>
      <c r="D158" t="s">
        <v>1008</v>
      </c>
      <c r="E158" t="s">
        <v>1016</v>
      </c>
      <c r="F158" t="s">
        <v>1020</v>
      </c>
      <c r="G158" t="s">
        <v>1026</v>
      </c>
    </row>
    <row r="159" spans="1:7" x14ac:dyDescent="0.3">
      <c r="A159" t="s">
        <v>164</v>
      </c>
      <c r="B159" s="2">
        <v>45673.621527777781</v>
      </c>
      <c r="C159">
        <v>3303.68</v>
      </c>
      <c r="D159" t="s">
        <v>1007</v>
      </c>
      <c r="E159" t="s">
        <v>1016</v>
      </c>
      <c r="F159" t="s">
        <v>1019</v>
      </c>
    </row>
    <row r="160" spans="1:7" x14ac:dyDescent="0.3">
      <c r="A160" t="s">
        <v>165</v>
      </c>
      <c r="B160" s="2">
        <v>45732.015277777777</v>
      </c>
      <c r="C160">
        <v>8762.49</v>
      </c>
      <c r="D160" t="s">
        <v>1008</v>
      </c>
      <c r="E160" t="s">
        <v>1015</v>
      </c>
      <c r="F160" t="s">
        <v>1019</v>
      </c>
    </row>
    <row r="161" spans="1:7" x14ac:dyDescent="0.3">
      <c r="A161" t="s">
        <v>166</v>
      </c>
      <c r="B161" s="2">
        <v>45680.506249999999</v>
      </c>
      <c r="C161">
        <v>9952.65</v>
      </c>
      <c r="D161" t="s">
        <v>1010</v>
      </c>
      <c r="E161" t="s">
        <v>1016</v>
      </c>
      <c r="F161" t="s">
        <v>1020</v>
      </c>
      <c r="G161" t="s">
        <v>1021</v>
      </c>
    </row>
    <row r="162" spans="1:7" x14ac:dyDescent="0.3">
      <c r="A162" t="s">
        <v>167</v>
      </c>
      <c r="B162" s="2">
        <v>45736.724305555559</v>
      </c>
      <c r="C162">
        <v>8977.36</v>
      </c>
      <c r="D162" t="s">
        <v>1009</v>
      </c>
      <c r="E162" t="s">
        <v>1016</v>
      </c>
      <c r="F162" t="s">
        <v>1019</v>
      </c>
    </row>
    <row r="163" spans="1:7" x14ac:dyDescent="0.3">
      <c r="A163" t="s">
        <v>168</v>
      </c>
      <c r="B163" s="2">
        <v>45690.495138888888</v>
      </c>
      <c r="C163">
        <v>9282.42</v>
      </c>
      <c r="D163" t="s">
        <v>1008</v>
      </c>
      <c r="E163" t="s">
        <v>1014</v>
      </c>
      <c r="F163" t="s">
        <v>1020</v>
      </c>
      <c r="G163" t="s">
        <v>1022</v>
      </c>
    </row>
    <row r="164" spans="1:7" x14ac:dyDescent="0.3">
      <c r="A164" t="s">
        <v>169</v>
      </c>
      <c r="B164" s="2">
        <v>45678.084027777782</v>
      </c>
      <c r="C164">
        <v>8527</v>
      </c>
      <c r="D164" t="s">
        <v>1007</v>
      </c>
      <c r="E164" t="s">
        <v>1015</v>
      </c>
      <c r="F164" t="s">
        <v>1019</v>
      </c>
    </row>
    <row r="165" spans="1:7" x14ac:dyDescent="0.3">
      <c r="A165" t="s">
        <v>170</v>
      </c>
      <c r="B165" s="2">
        <v>45684.331944444442</v>
      </c>
      <c r="C165">
        <v>9933.08</v>
      </c>
      <c r="D165" t="s">
        <v>1009</v>
      </c>
      <c r="E165" t="s">
        <v>1016</v>
      </c>
      <c r="F165" t="s">
        <v>1020</v>
      </c>
      <c r="G165" t="s">
        <v>1024</v>
      </c>
    </row>
    <row r="166" spans="1:7" x14ac:dyDescent="0.3">
      <c r="A166" t="s">
        <v>171</v>
      </c>
      <c r="B166" s="2">
        <v>45729.113194444442</v>
      </c>
      <c r="C166">
        <v>4136.1899999999996</v>
      </c>
      <c r="D166" t="s">
        <v>1009</v>
      </c>
      <c r="E166" t="s">
        <v>1017</v>
      </c>
      <c r="F166" t="s">
        <v>1019</v>
      </c>
    </row>
    <row r="167" spans="1:7" x14ac:dyDescent="0.3">
      <c r="A167" t="s">
        <v>172</v>
      </c>
      <c r="B167" s="2">
        <v>45713.013888888891</v>
      </c>
      <c r="C167">
        <v>4929.26</v>
      </c>
      <c r="D167" t="s">
        <v>1009</v>
      </c>
      <c r="E167" t="s">
        <v>1013</v>
      </c>
      <c r="F167" t="s">
        <v>1020</v>
      </c>
      <c r="G167" t="s">
        <v>1021</v>
      </c>
    </row>
    <row r="168" spans="1:7" x14ac:dyDescent="0.3">
      <c r="A168" t="s">
        <v>173</v>
      </c>
      <c r="B168" s="2">
        <v>45695.831250000003</v>
      </c>
      <c r="C168">
        <v>3052.24</v>
      </c>
      <c r="D168" t="s">
        <v>1011</v>
      </c>
      <c r="E168" t="s">
        <v>1016</v>
      </c>
      <c r="F168" t="s">
        <v>1019</v>
      </c>
    </row>
    <row r="169" spans="1:7" x14ac:dyDescent="0.3">
      <c r="A169" t="s">
        <v>174</v>
      </c>
      <c r="B169" s="2">
        <v>45743.790277777778</v>
      </c>
      <c r="C169">
        <v>3325.21</v>
      </c>
      <c r="D169" t="s">
        <v>1009</v>
      </c>
      <c r="E169" t="s">
        <v>1016</v>
      </c>
      <c r="F169" t="s">
        <v>1019</v>
      </c>
    </row>
    <row r="170" spans="1:7" x14ac:dyDescent="0.3">
      <c r="A170" t="s">
        <v>175</v>
      </c>
      <c r="B170" s="2">
        <v>45714.98333333333</v>
      </c>
      <c r="C170">
        <v>1337.81</v>
      </c>
      <c r="D170" t="s">
        <v>1010</v>
      </c>
      <c r="E170" t="s">
        <v>1017</v>
      </c>
      <c r="F170" t="s">
        <v>1019</v>
      </c>
    </row>
    <row r="171" spans="1:7" x14ac:dyDescent="0.3">
      <c r="A171" t="s">
        <v>176</v>
      </c>
      <c r="B171" s="2">
        <v>45661.333333333343</v>
      </c>
      <c r="C171">
        <v>6732.65</v>
      </c>
      <c r="D171" t="s">
        <v>1009</v>
      </c>
      <c r="E171" t="s">
        <v>1016</v>
      </c>
      <c r="F171" t="s">
        <v>1019</v>
      </c>
    </row>
    <row r="172" spans="1:7" x14ac:dyDescent="0.3">
      <c r="A172" t="s">
        <v>177</v>
      </c>
      <c r="B172" s="2">
        <v>45725.365972222222</v>
      </c>
      <c r="C172">
        <v>445.15</v>
      </c>
      <c r="D172" t="s">
        <v>1009</v>
      </c>
      <c r="E172" t="s">
        <v>1017</v>
      </c>
      <c r="F172" t="s">
        <v>1019</v>
      </c>
    </row>
    <row r="173" spans="1:7" x14ac:dyDescent="0.3">
      <c r="A173" t="s">
        <v>178</v>
      </c>
      <c r="B173" s="2">
        <v>45735.594444444447</v>
      </c>
      <c r="C173">
        <v>1887.71</v>
      </c>
      <c r="D173" t="s">
        <v>1008</v>
      </c>
      <c r="E173" t="s">
        <v>1014</v>
      </c>
      <c r="F173" t="s">
        <v>1019</v>
      </c>
    </row>
    <row r="174" spans="1:7" x14ac:dyDescent="0.3">
      <c r="A174" t="s">
        <v>179</v>
      </c>
      <c r="B174" s="2">
        <v>45690.820138888892</v>
      </c>
      <c r="C174">
        <v>6619.68</v>
      </c>
      <c r="D174" t="s">
        <v>1007</v>
      </c>
      <c r="E174" t="s">
        <v>1014</v>
      </c>
      <c r="F174" t="s">
        <v>1019</v>
      </c>
    </row>
    <row r="175" spans="1:7" x14ac:dyDescent="0.3">
      <c r="A175" t="s">
        <v>180</v>
      </c>
      <c r="B175" s="2">
        <v>45709.281944444447</v>
      </c>
      <c r="C175">
        <v>9710.57</v>
      </c>
      <c r="D175" t="s">
        <v>1011</v>
      </c>
      <c r="E175" t="s">
        <v>1016</v>
      </c>
      <c r="F175" t="s">
        <v>1019</v>
      </c>
    </row>
    <row r="176" spans="1:7" x14ac:dyDescent="0.3">
      <c r="A176" t="s">
        <v>181</v>
      </c>
      <c r="B176" s="2">
        <v>45735.116666666669</v>
      </c>
      <c r="C176">
        <v>8466.1299999999992</v>
      </c>
      <c r="D176" t="s">
        <v>1007</v>
      </c>
      <c r="E176" t="s">
        <v>1013</v>
      </c>
      <c r="F176" t="s">
        <v>1019</v>
      </c>
    </row>
    <row r="177" spans="1:7" x14ac:dyDescent="0.3">
      <c r="A177" t="s">
        <v>182</v>
      </c>
      <c r="B177" s="2">
        <v>45740.620833333327</v>
      </c>
      <c r="C177">
        <v>9472.99</v>
      </c>
      <c r="D177" t="s">
        <v>1010</v>
      </c>
      <c r="E177" t="s">
        <v>1016</v>
      </c>
      <c r="F177" t="s">
        <v>1019</v>
      </c>
    </row>
    <row r="178" spans="1:7" x14ac:dyDescent="0.3">
      <c r="A178" t="s">
        <v>183</v>
      </c>
      <c r="B178" s="2">
        <v>45746.972916666673</v>
      </c>
      <c r="C178">
        <v>1816.16</v>
      </c>
      <c r="D178" t="s">
        <v>1008</v>
      </c>
      <c r="E178" t="s">
        <v>1014</v>
      </c>
      <c r="F178" t="s">
        <v>1020</v>
      </c>
      <c r="G178" t="s">
        <v>1026</v>
      </c>
    </row>
    <row r="179" spans="1:7" x14ac:dyDescent="0.3">
      <c r="A179" t="s">
        <v>184</v>
      </c>
      <c r="B179" s="2">
        <v>45735.491666666669</v>
      </c>
      <c r="C179">
        <v>6842.88</v>
      </c>
      <c r="D179" t="s">
        <v>1010</v>
      </c>
      <c r="E179" t="s">
        <v>1018</v>
      </c>
      <c r="F179" t="s">
        <v>1019</v>
      </c>
    </row>
    <row r="180" spans="1:7" x14ac:dyDescent="0.3">
      <c r="A180" t="s">
        <v>185</v>
      </c>
      <c r="B180" s="2">
        <v>45720.907638888893</v>
      </c>
      <c r="C180">
        <v>8699.59</v>
      </c>
      <c r="D180" t="s">
        <v>1010</v>
      </c>
      <c r="E180" t="s">
        <v>1016</v>
      </c>
      <c r="F180" t="s">
        <v>1019</v>
      </c>
    </row>
    <row r="181" spans="1:7" x14ac:dyDescent="0.3">
      <c r="A181" t="s">
        <v>186</v>
      </c>
      <c r="B181" s="2">
        <v>45692.347916666673</v>
      </c>
      <c r="C181">
        <v>9355.39</v>
      </c>
      <c r="D181" t="s">
        <v>1011</v>
      </c>
      <c r="E181" t="s">
        <v>1017</v>
      </c>
      <c r="F181" t="s">
        <v>1019</v>
      </c>
    </row>
    <row r="182" spans="1:7" x14ac:dyDescent="0.3">
      <c r="A182" t="s">
        <v>187</v>
      </c>
      <c r="B182" s="2">
        <v>45666.819444444453</v>
      </c>
      <c r="C182">
        <v>1232.8599999999999</v>
      </c>
      <c r="D182" t="s">
        <v>1007</v>
      </c>
      <c r="E182" t="s">
        <v>1018</v>
      </c>
      <c r="F182" t="s">
        <v>1019</v>
      </c>
    </row>
    <row r="183" spans="1:7" x14ac:dyDescent="0.3">
      <c r="A183" t="s">
        <v>188</v>
      </c>
      <c r="B183" s="2">
        <v>45698.65347222222</v>
      </c>
      <c r="C183">
        <v>6368.08</v>
      </c>
      <c r="D183" t="s">
        <v>1009</v>
      </c>
      <c r="E183" t="s">
        <v>1017</v>
      </c>
      <c r="F183" t="s">
        <v>1020</v>
      </c>
      <c r="G183" t="s">
        <v>1023</v>
      </c>
    </row>
    <row r="184" spans="1:7" x14ac:dyDescent="0.3">
      <c r="A184" t="s">
        <v>189</v>
      </c>
      <c r="B184" s="2">
        <v>45707.361111111109</v>
      </c>
      <c r="C184">
        <v>7394.22</v>
      </c>
      <c r="D184" t="s">
        <v>1011</v>
      </c>
      <c r="E184" t="s">
        <v>1013</v>
      </c>
      <c r="F184" t="s">
        <v>1020</v>
      </c>
      <c r="G184" t="s">
        <v>1021</v>
      </c>
    </row>
    <row r="185" spans="1:7" x14ac:dyDescent="0.3">
      <c r="A185" t="s">
        <v>190</v>
      </c>
      <c r="B185" s="2">
        <v>45734.074305555558</v>
      </c>
      <c r="C185">
        <v>7053.78</v>
      </c>
      <c r="D185" t="s">
        <v>1008</v>
      </c>
      <c r="E185" t="s">
        <v>1017</v>
      </c>
      <c r="F185" t="s">
        <v>1019</v>
      </c>
    </row>
    <row r="186" spans="1:7" x14ac:dyDescent="0.3">
      <c r="A186" t="s">
        <v>191</v>
      </c>
      <c r="B186" s="2">
        <v>45680.541666666657</v>
      </c>
      <c r="C186">
        <v>3645.36</v>
      </c>
      <c r="D186" t="s">
        <v>1010</v>
      </c>
      <c r="E186" t="s">
        <v>1016</v>
      </c>
      <c r="F186" t="s">
        <v>1019</v>
      </c>
    </row>
    <row r="187" spans="1:7" x14ac:dyDescent="0.3">
      <c r="A187" t="s">
        <v>192</v>
      </c>
      <c r="B187" s="2">
        <v>45731.675000000003</v>
      </c>
      <c r="C187">
        <v>6999.74</v>
      </c>
      <c r="D187" t="s">
        <v>1008</v>
      </c>
      <c r="E187" t="s">
        <v>1017</v>
      </c>
      <c r="F187" t="s">
        <v>1020</v>
      </c>
      <c r="G187" t="s">
        <v>1024</v>
      </c>
    </row>
    <row r="188" spans="1:7" x14ac:dyDescent="0.3">
      <c r="A188" t="s">
        <v>193</v>
      </c>
      <c r="B188" s="2">
        <v>45719.573611111111</v>
      </c>
      <c r="C188">
        <v>5941.68</v>
      </c>
      <c r="D188" t="s">
        <v>1009</v>
      </c>
      <c r="E188" t="s">
        <v>1017</v>
      </c>
      <c r="F188" t="s">
        <v>1019</v>
      </c>
    </row>
    <row r="189" spans="1:7" x14ac:dyDescent="0.3">
      <c r="A189" t="s">
        <v>194</v>
      </c>
      <c r="B189" s="2">
        <v>45701.943055555559</v>
      </c>
      <c r="C189">
        <v>8342.4699999999993</v>
      </c>
      <c r="D189" t="s">
        <v>1011</v>
      </c>
      <c r="E189" t="s">
        <v>1014</v>
      </c>
      <c r="F189" t="s">
        <v>1019</v>
      </c>
    </row>
    <row r="190" spans="1:7" x14ac:dyDescent="0.3">
      <c r="A190" t="s">
        <v>195</v>
      </c>
      <c r="B190" s="2">
        <v>45681.179861111108</v>
      </c>
      <c r="C190">
        <v>858.25</v>
      </c>
      <c r="D190" t="s">
        <v>1011</v>
      </c>
      <c r="E190" t="s">
        <v>1013</v>
      </c>
      <c r="F190" t="s">
        <v>1019</v>
      </c>
    </row>
    <row r="191" spans="1:7" x14ac:dyDescent="0.3">
      <c r="A191" t="s">
        <v>196</v>
      </c>
      <c r="B191" s="2">
        <v>45706.584027777782</v>
      </c>
      <c r="C191">
        <v>6858.59</v>
      </c>
      <c r="D191" t="s">
        <v>1008</v>
      </c>
      <c r="E191" t="s">
        <v>1017</v>
      </c>
      <c r="F191" t="s">
        <v>1019</v>
      </c>
    </row>
    <row r="192" spans="1:7" x14ac:dyDescent="0.3">
      <c r="A192" t="s">
        <v>197</v>
      </c>
      <c r="B192" s="2">
        <v>45670.126388888893</v>
      </c>
      <c r="C192">
        <v>4548.9399999999996</v>
      </c>
      <c r="D192" t="s">
        <v>1010</v>
      </c>
      <c r="E192" t="s">
        <v>1014</v>
      </c>
      <c r="F192" t="s">
        <v>1019</v>
      </c>
    </row>
    <row r="193" spans="1:7" x14ac:dyDescent="0.3">
      <c r="A193" t="s">
        <v>198</v>
      </c>
      <c r="B193" s="2">
        <v>45734.345833333333</v>
      </c>
      <c r="C193">
        <v>8335.51</v>
      </c>
      <c r="D193" t="s">
        <v>1009</v>
      </c>
      <c r="E193" t="s">
        <v>1017</v>
      </c>
      <c r="F193" t="s">
        <v>1019</v>
      </c>
    </row>
    <row r="194" spans="1:7" x14ac:dyDescent="0.3">
      <c r="A194" t="s">
        <v>199</v>
      </c>
      <c r="B194" s="2">
        <v>45664.643750000003</v>
      </c>
      <c r="C194">
        <v>5099.92</v>
      </c>
      <c r="D194" t="s">
        <v>1008</v>
      </c>
      <c r="E194" t="s">
        <v>1012</v>
      </c>
      <c r="F194" t="s">
        <v>1019</v>
      </c>
    </row>
    <row r="195" spans="1:7" x14ac:dyDescent="0.3">
      <c r="A195" t="s">
        <v>200</v>
      </c>
      <c r="B195" s="2">
        <v>45683.943749999999</v>
      </c>
      <c r="C195">
        <v>9418.7099999999991</v>
      </c>
      <c r="D195" t="s">
        <v>1007</v>
      </c>
      <c r="E195" t="s">
        <v>1012</v>
      </c>
      <c r="F195" t="s">
        <v>1019</v>
      </c>
    </row>
    <row r="196" spans="1:7" x14ac:dyDescent="0.3">
      <c r="A196" t="s">
        <v>201</v>
      </c>
      <c r="B196" s="2">
        <v>45674.551388888889</v>
      </c>
      <c r="C196">
        <v>4320.8900000000003</v>
      </c>
      <c r="D196" t="s">
        <v>1010</v>
      </c>
      <c r="E196" t="s">
        <v>1012</v>
      </c>
      <c r="F196" t="s">
        <v>1019</v>
      </c>
    </row>
    <row r="197" spans="1:7" x14ac:dyDescent="0.3">
      <c r="A197" t="s">
        <v>202</v>
      </c>
      <c r="B197" s="2">
        <v>45682.177083333343</v>
      </c>
      <c r="C197">
        <v>194.79</v>
      </c>
      <c r="D197" t="s">
        <v>1007</v>
      </c>
      <c r="E197" t="s">
        <v>1017</v>
      </c>
      <c r="F197" t="s">
        <v>1019</v>
      </c>
    </row>
    <row r="198" spans="1:7" x14ac:dyDescent="0.3">
      <c r="A198" t="s">
        <v>203</v>
      </c>
      <c r="B198" s="2">
        <v>45692.394444444442</v>
      </c>
      <c r="C198">
        <v>3035.77</v>
      </c>
      <c r="D198" t="s">
        <v>1008</v>
      </c>
      <c r="E198" t="s">
        <v>1013</v>
      </c>
      <c r="F198" t="s">
        <v>1020</v>
      </c>
      <c r="G198" t="s">
        <v>1026</v>
      </c>
    </row>
    <row r="199" spans="1:7" x14ac:dyDescent="0.3">
      <c r="A199" t="s">
        <v>204</v>
      </c>
      <c r="B199" s="2">
        <v>45723.443055555559</v>
      </c>
      <c r="C199">
        <v>9524.82</v>
      </c>
      <c r="D199" t="s">
        <v>1009</v>
      </c>
      <c r="E199" t="s">
        <v>1017</v>
      </c>
      <c r="F199" t="s">
        <v>1019</v>
      </c>
    </row>
    <row r="200" spans="1:7" x14ac:dyDescent="0.3">
      <c r="A200" t="s">
        <v>205</v>
      </c>
      <c r="B200" s="2">
        <v>45679.76666666667</v>
      </c>
      <c r="C200">
        <v>1010.75</v>
      </c>
      <c r="D200" t="s">
        <v>1011</v>
      </c>
      <c r="E200" t="s">
        <v>1016</v>
      </c>
      <c r="F200" t="s">
        <v>1019</v>
      </c>
    </row>
    <row r="201" spans="1:7" x14ac:dyDescent="0.3">
      <c r="A201" t="s">
        <v>206</v>
      </c>
      <c r="B201" s="2">
        <v>45739.638194444437</v>
      </c>
      <c r="C201">
        <v>8089.63</v>
      </c>
      <c r="D201" t="s">
        <v>1007</v>
      </c>
      <c r="E201" t="s">
        <v>1013</v>
      </c>
      <c r="F201" t="s">
        <v>1019</v>
      </c>
    </row>
    <row r="202" spans="1:7" x14ac:dyDescent="0.3">
      <c r="A202" t="s">
        <v>207</v>
      </c>
      <c r="B202" s="2">
        <v>45698.438888888893</v>
      </c>
      <c r="C202">
        <v>5040.55</v>
      </c>
      <c r="D202" t="s">
        <v>1009</v>
      </c>
      <c r="E202" t="s">
        <v>1013</v>
      </c>
      <c r="F202" t="s">
        <v>1020</v>
      </c>
      <c r="G202" t="s">
        <v>1021</v>
      </c>
    </row>
    <row r="203" spans="1:7" x14ac:dyDescent="0.3">
      <c r="A203" t="s">
        <v>208</v>
      </c>
      <c r="B203" s="2">
        <v>45691.194444444453</v>
      </c>
      <c r="C203">
        <v>6268.73</v>
      </c>
      <c r="D203" t="s">
        <v>1007</v>
      </c>
      <c r="E203" t="s">
        <v>1015</v>
      </c>
      <c r="F203" t="s">
        <v>1020</v>
      </c>
      <c r="G203" t="s">
        <v>1022</v>
      </c>
    </row>
    <row r="204" spans="1:7" x14ac:dyDescent="0.3">
      <c r="A204" t="s">
        <v>209</v>
      </c>
      <c r="B204" s="2">
        <v>45708.996527777781</v>
      </c>
      <c r="C204">
        <v>3481.88</v>
      </c>
      <c r="D204" t="s">
        <v>1007</v>
      </c>
      <c r="E204" t="s">
        <v>1014</v>
      </c>
      <c r="F204" t="s">
        <v>1019</v>
      </c>
    </row>
    <row r="205" spans="1:7" x14ac:dyDescent="0.3">
      <c r="A205" t="s">
        <v>210</v>
      </c>
      <c r="B205" s="2">
        <v>45743.556250000001</v>
      </c>
      <c r="C205">
        <v>3814.86</v>
      </c>
      <c r="D205" t="s">
        <v>1008</v>
      </c>
      <c r="E205" t="s">
        <v>1013</v>
      </c>
      <c r="F205" t="s">
        <v>1019</v>
      </c>
    </row>
    <row r="206" spans="1:7" x14ac:dyDescent="0.3">
      <c r="A206" t="s">
        <v>211</v>
      </c>
      <c r="B206" s="2">
        <v>45722.897916666669</v>
      </c>
      <c r="C206">
        <v>1032.44</v>
      </c>
      <c r="D206" t="s">
        <v>1009</v>
      </c>
      <c r="E206" t="s">
        <v>1016</v>
      </c>
      <c r="F206" t="s">
        <v>1020</v>
      </c>
      <c r="G206" t="s">
        <v>1022</v>
      </c>
    </row>
    <row r="207" spans="1:7" x14ac:dyDescent="0.3">
      <c r="A207" t="s">
        <v>212</v>
      </c>
      <c r="B207" s="2">
        <v>45745.486805555563</v>
      </c>
      <c r="C207">
        <v>1229.0999999999999</v>
      </c>
      <c r="D207" t="s">
        <v>1010</v>
      </c>
      <c r="E207" t="s">
        <v>1015</v>
      </c>
      <c r="F207" t="s">
        <v>1019</v>
      </c>
    </row>
    <row r="208" spans="1:7" x14ac:dyDescent="0.3">
      <c r="A208" t="s">
        <v>213</v>
      </c>
      <c r="B208" s="2">
        <v>45676.810416666667</v>
      </c>
      <c r="C208">
        <v>6341.31</v>
      </c>
      <c r="D208" t="s">
        <v>1009</v>
      </c>
      <c r="E208" t="s">
        <v>1014</v>
      </c>
      <c r="F208" t="s">
        <v>1020</v>
      </c>
      <c r="G208" t="s">
        <v>1026</v>
      </c>
    </row>
    <row r="209" spans="1:7" x14ac:dyDescent="0.3">
      <c r="A209" t="s">
        <v>214</v>
      </c>
      <c r="B209" s="2">
        <v>45739.193055555559</v>
      </c>
      <c r="C209">
        <v>6415.27</v>
      </c>
      <c r="D209" t="s">
        <v>1009</v>
      </c>
      <c r="E209" t="s">
        <v>1015</v>
      </c>
      <c r="F209" t="s">
        <v>1019</v>
      </c>
    </row>
    <row r="210" spans="1:7" x14ac:dyDescent="0.3">
      <c r="A210" t="s">
        <v>215</v>
      </c>
      <c r="B210" s="2">
        <v>45689.127083333333</v>
      </c>
      <c r="C210">
        <v>1301.93</v>
      </c>
      <c r="D210" t="s">
        <v>1011</v>
      </c>
      <c r="E210" t="s">
        <v>1014</v>
      </c>
      <c r="F210" t="s">
        <v>1019</v>
      </c>
    </row>
    <row r="211" spans="1:7" x14ac:dyDescent="0.3">
      <c r="A211" t="s">
        <v>216</v>
      </c>
      <c r="B211" s="2">
        <v>45686.695833333331</v>
      </c>
      <c r="C211">
        <v>2622.5</v>
      </c>
      <c r="D211" t="s">
        <v>1008</v>
      </c>
      <c r="E211" t="s">
        <v>1016</v>
      </c>
      <c r="F211" t="s">
        <v>1020</v>
      </c>
      <c r="G211" t="s">
        <v>1023</v>
      </c>
    </row>
    <row r="212" spans="1:7" x14ac:dyDescent="0.3">
      <c r="A212" t="s">
        <v>217</v>
      </c>
      <c r="B212" s="2">
        <v>45678.254861111112</v>
      </c>
      <c r="C212">
        <v>6128.69</v>
      </c>
      <c r="D212" t="s">
        <v>1009</v>
      </c>
      <c r="E212" t="s">
        <v>1017</v>
      </c>
      <c r="F212" t="s">
        <v>1019</v>
      </c>
    </row>
    <row r="213" spans="1:7" x14ac:dyDescent="0.3">
      <c r="A213" t="s">
        <v>218</v>
      </c>
      <c r="B213" s="2">
        <v>45673.124305555553</v>
      </c>
      <c r="C213">
        <v>9087.7999999999993</v>
      </c>
      <c r="D213" t="s">
        <v>1009</v>
      </c>
      <c r="E213" t="s">
        <v>1018</v>
      </c>
      <c r="F213" t="s">
        <v>1019</v>
      </c>
    </row>
    <row r="214" spans="1:7" x14ac:dyDescent="0.3">
      <c r="A214" t="s">
        <v>219</v>
      </c>
      <c r="B214" s="2">
        <v>45726.3125</v>
      </c>
      <c r="C214">
        <v>3801.48</v>
      </c>
      <c r="D214" t="s">
        <v>1011</v>
      </c>
      <c r="E214" t="s">
        <v>1015</v>
      </c>
      <c r="F214" t="s">
        <v>1019</v>
      </c>
    </row>
    <row r="215" spans="1:7" x14ac:dyDescent="0.3">
      <c r="A215" t="s">
        <v>220</v>
      </c>
      <c r="B215" s="2">
        <v>45700.300694444442</v>
      </c>
      <c r="C215">
        <v>4131.58</v>
      </c>
      <c r="D215" t="s">
        <v>1007</v>
      </c>
      <c r="E215" t="s">
        <v>1014</v>
      </c>
      <c r="F215" t="s">
        <v>1020</v>
      </c>
      <c r="G215" t="s">
        <v>1026</v>
      </c>
    </row>
    <row r="216" spans="1:7" x14ac:dyDescent="0.3">
      <c r="A216" t="s">
        <v>221</v>
      </c>
      <c r="B216" s="2">
        <v>45744.616666666669</v>
      </c>
      <c r="C216">
        <v>181.18</v>
      </c>
      <c r="D216" t="s">
        <v>1007</v>
      </c>
      <c r="E216" t="s">
        <v>1013</v>
      </c>
      <c r="F216" t="s">
        <v>1019</v>
      </c>
    </row>
    <row r="217" spans="1:7" x14ac:dyDescent="0.3">
      <c r="A217" t="s">
        <v>222</v>
      </c>
      <c r="B217" s="2">
        <v>45668.569444444453</v>
      </c>
      <c r="C217">
        <v>7111.93</v>
      </c>
      <c r="D217" t="s">
        <v>1011</v>
      </c>
      <c r="E217" t="s">
        <v>1018</v>
      </c>
      <c r="F217" t="s">
        <v>1019</v>
      </c>
    </row>
    <row r="218" spans="1:7" x14ac:dyDescent="0.3">
      <c r="A218" t="s">
        <v>223</v>
      </c>
      <c r="B218" s="2">
        <v>45661.269444444442</v>
      </c>
      <c r="C218">
        <v>38.68</v>
      </c>
      <c r="D218" t="s">
        <v>1009</v>
      </c>
      <c r="E218" t="s">
        <v>1012</v>
      </c>
      <c r="F218" t="s">
        <v>1019</v>
      </c>
    </row>
    <row r="219" spans="1:7" x14ac:dyDescent="0.3">
      <c r="A219" t="s">
        <v>224</v>
      </c>
      <c r="B219" s="2">
        <v>45695.807638888888</v>
      </c>
      <c r="C219">
        <v>9250.14</v>
      </c>
      <c r="D219" t="s">
        <v>1010</v>
      </c>
      <c r="E219" t="s">
        <v>1013</v>
      </c>
      <c r="F219" t="s">
        <v>1019</v>
      </c>
    </row>
    <row r="220" spans="1:7" x14ac:dyDescent="0.3">
      <c r="A220" t="s">
        <v>225</v>
      </c>
      <c r="B220" s="2">
        <v>45691.390972222223</v>
      </c>
      <c r="C220">
        <v>1509.86</v>
      </c>
      <c r="D220" t="s">
        <v>1009</v>
      </c>
      <c r="E220" t="s">
        <v>1017</v>
      </c>
      <c r="F220" t="s">
        <v>1019</v>
      </c>
    </row>
    <row r="221" spans="1:7" x14ac:dyDescent="0.3">
      <c r="A221" t="s">
        <v>226</v>
      </c>
      <c r="B221" s="2">
        <v>45704.318055555559</v>
      </c>
      <c r="C221">
        <v>8492.93</v>
      </c>
      <c r="D221" t="s">
        <v>1009</v>
      </c>
      <c r="E221" t="s">
        <v>1014</v>
      </c>
      <c r="F221" t="s">
        <v>1019</v>
      </c>
    </row>
    <row r="222" spans="1:7" x14ac:dyDescent="0.3">
      <c r="A222" t="s">
        <v>227</v>
      </c>
      <c r="B222" s="2">
        <v>45680.171527777777</v>
      </c>
      <c r="C222">
        <v>3074.39</v>
      </c>
      <c r="D222" t="s">
        <v>1011</v>
      </c>
      <c r="E222" t="s">
        <v>1017</v>
      </c>
      <c r="F222" t="s">
        <v>1019</v>
      </c>
    </row>
    <row r="223" spans="1:7" x14ac:dyDescent="0.3">
      <c r="A223" t="s">
        <v>228</v>
      </c>
      <c r="B223" s="2">
        <v>45669.073611111111</v>
      </c>
      <c r="C223">
        <v>6629.63</v>
      </c>
      <c r="D223" t="s">
        <v>1007</v>
      </c>
      <c r="E223" t="s">
        <v>1016</v>
      </c>
      <c r="F223" t="s">
        <v>1020</v>
      </c>
      <c r="G223" t="s">
        <v>1024</v>
      </c>
    </row>
    <row r="224" spans="1:7" x14ac:dyDescent="0.3">
      <c r="A224" t="s">
        <v>229</v>
      </c>
      <c r="B224" s="2">
        <v>45727.84375</v>
      </c>
      <c r="C224">
        <v>8761.18</v>
      </c>
      <c r="D224" t="s">
        <v>1008</v>
      </c>
      <c r="E224" t="s">
        <v>1016</v>
      </c>
      <c r="F224" t="s">
        <v>1019</v>
      </c>
    </row>
    <row r="225" spans="1:7" x14ac:dyDescent="0.3">
      <c r="A225" t="s">
        <v>230</v>
      </c>
      <c r="B225" s="2">
        <v>45681.567361111112</v>
      </c>
      <c r="C225">
        <v>7775.64</v>
      </c>
      <c r="D225" t="s">
        <v>1009</v>
      </c>
      <c r="E225" t="s">
        <v>1012</v>
      </c>
      <c r="F225" t="s">
        <v>1020</v>
      </c>
      <c r="G225" t="s">
        <v>1021</v>
      </c>
    </row>
    <row r="226" spans="1:7" x14ac:dyDescent="0.3">
      <c r="A226" t="s">
        <v>231</v>
      </c>
      <c r="B226" s="2">
        <v>45695.156944444447</v>
      </c>
      <c r="C226">
        <v>3861.1</v>
      </c>
      <c r="D226" t="s">
        <v>1007</v>
      </c>
      <c r="E226" t="s">
        <v>1016</v>
      </c>
      <c r="F226" t="s">
        <v>1019</v>
      </c>
    </row>
    <row r="227" spans="1:7" x14ac:dyDescent="0.3">
      <c r="A227" t="s">
        <v>232</v>
      </c>
      <c r="B227" s="2">
        <v>45702.555555555547</v>
      </c>
      <c r="C227">
        <v>7611.41</v>
      </c>
      <c r="D227" t="s">
        <v>1008</v>
      </c>
      <c r="E227" t="s">
        <v>1014</v>
      </c>
      <c r="F227" t="s">
        <v>1019</v>
      </c>
    </row>
    <row r="228" spans="1:7" x14ac:dyDescent="0.3">
      <c r="A228" t="s">
        <v>233</v>
      </c>
      <c r="B228" s="2">
        <v>45713.925000000003</v>
      </c>
      <c r="C228">
        <v>4902.67</v>
      </c>
      <c r="D228" t="s">
        <v>1011</v>
      </c>
      <c r="E228" t="s">
        <v>1012</v>
      </c>
      <c r="F228" t="s">
        <v>1019</v>
      </c>
    </row>
    <row r="229" spans="1:7" x14ac:dyDescent="0.3">
      <c r="A229" t="s">
        <v>234</v>
      </c>
      <c r="B229" s="2">
        <v>45734.92291666667</v>
      </c>
      <c r="C229">
        <v>5323.04</v>
      </c>
      <c r="D229" t="s">
        <v>1007</v>
      </c>
      <c r="E229" t="s">
        <v>1017</v>
      </c>
      <c r="F229" t="s">
        <v>1019</v>
      </c>
    </row>
    <row r="230" spans="1:7" x14ac:dyDescent="0.3">
      <c r="A230" t="s">
        <v>235</v>
      </c>
      <c r="B230" s="2">
        <v>45703.990972222222</v>
      </c>
      <c r="C230">
        <v>2667.73</v>
      </c>
      <c r="D230" t="s">
        <v>1011</v>
      </c>
      <c r="E230" t="s">
        <v>1015</v>
      </c>
      <c r="F230" t="s">
        <v>1020</v>
      </c>
      <c r="G230" t="s">
        <v>1026</v>
      </c>
    </row>
    <row r="231" spans="1:7" x14ac:dyDescent="0.3">
      <c r="A231" t="s">
        <v>236</v>
      </c>
      <c r="B231" s="2">
        <v>45660.730555555558</v>
      </c>
      <c r="C231">
        <v>909.76</v>
      </c>
      <c r="D231" t="s">
        <v>1011</v>
      </c>
      <c r="E231" t="s">
        <v>1016</v>
      </c>
      <c r="F231" t="s">
        <v>1019</v>
      </c>
    </row>
    <row r="232" spans="1:7" x14ac:dyDescent="0.3">
      <c r="A232" t="s">
        <v>237</v>
      </c>
      <c r="B232" s="2">
        <v>45719.445138888892</v>
      </c>
      <c r="C232">
        <v>8025.4</v>
      </c>
      <c r="D232" t="s">
        <v>1009</v>
      </c>
      <c r="E232" t="s">
        <v>1012</v>
      </c>
      <c r="F232" t="s">
        <v>1020</v>
      </c>
      <c r="G232" t="s">
        <v>1022</v>
      </c>
    </row>
    <row r="233" spans="1:7" x14ac:dyDescent="0.3">
      <c r="A233" t="s">
        <v>238</v>
      </c>
      <c r="B233" s="2">
        <v>45695.146527777782</v>
      </c>
      <c r="C233">
        <v>4400.6400000000003</v>
      </c>
      <c r="D233" t="s">
        <v>1011</v>
      </c>
      <c r="E233" t="s">
        <v>1017</v>
      </c>
      <c r="F233" t="s">
        <v>1020</v>
      </c>
      <c r="G233" t="s">
        <v>1023</v>
      </c>
    </row>
    <row r="234" spans="1:7" x14ac:dyDescent="0.3">
      <c r="A234" t="s">
        <v>239</v>
      </c>
      <c r="B234" s="2">
        <v>45730.275000000001</v>
      </c>
      <c r="C234">
        <v>1336.16</v>
      </c>
      <c r="D234" t="s">
        <v>1008</v>
      </c>
      <c r="E234" t="s">
        <v>1015</v>
      </c>
      <c r="F234" t="s">
        <v>1019</v>
      </c>
    </row>
    <row r="235" spans="1:7" x14ac:dyDescent="0.3">
      <c r="A235" t="s">
        <v>240</v>
      </c>
      <c r="B235" s="2">
        <v>45729.385416666657</v>
      </c>
      <c r="C235">
        <v>139.38999999999999</v>
      </c>
      <c r="D235" t="s">
        <v>1011</v>
      </c>
      <c r="E235" t="s">
        <v>1016</v>
      </c>
      <c r="F235" t="s">
        <v>1019</v>
      </c>
    </row>
    <row r="236" spans="1:7" x14ac:dyDescent="0.3">
      <c r="A236" t="s">
        <v>241</v>
      </c>
      <c r="B236" s="2">
        <v>45722.447222222218</v>
      </c>
      <c r="C236">
        <v>2982.98</v>
      </c>
      <c r="D236" t="s">
        <v>1007</v>
      </c>
      <c r="E236" t="s">
        <v>1013</v>
      </c>
      <c r="F236" t="s">
        <v>1020</v>
      </c>
      <c r="G236" t="s">
        <v>1023</v>
      </c>
    </row>
    <row r="237" spans="1:7" x14ac:dyDescent="0.3">
      <c r="A237" t="s">
        <v>242</v>
      </c>
      <c r="B237" s="2">
        <v>45699.526388888888</v>
      </c>
      <c r="C237">
        <v>1400.09</v>
      </c>
      <c r="D237" t="s">
        <v>1008</v>
      </c>
      <c r="E237" t="s">
        <v>1018</v>
      </c>
      <c r="F237" t="s">
        <v>1019</v>
      </c>
    </row>
    <row r="238" spans="1:7" x14ac:dyDescent="0.3">
      <c r="A238" t="s">
        <v>243</v>
      </c>
      <c r="B238" s="2">
        <v>45716.325694444437</v>
      </c>
      <c r="C238">
        <v>6720.18</v>
      </c>
      <c r="D238" t="s">
        <v>1007</v>
      </c>
      <c r="E238" t="s">
        <v>1013</v>
      </c>
      <c r="F238" t="s">
        <v>1019</v>
      </c>
    </row>
    <row r="239" spans="1:7" x14ac:dyDescent="0.3">
      <c r="A239" t="s">
        <v>244</v>
      </c>
      <c r="B239" s="2">
        <v>45675.375</v>
      </c>
      <c r="C239">
        <v>7158.05</v>
      </c>
      <c r="D239" t="s">
        <v>1010</v>
      </c>
      <c r="E239" t="s">
        <v>1016</v>
      </c>
      <c r="F239" t="s">
        <v>1020</v>
      </c>
      <c r="G239" t="s">
        <v>1025</v>
      </c>
    </row>
    <row r="240" spans="1:7" x14ac:dyDescent="0.3">
      <c r="A240" t="s">
        <v>245</v>
      </c>
      <c r="B240" s="2">
        <v>45731.584722222222</v>
      </c>
      <c r="C240">
        <v>7138.66</v>
      </c>
      <c r="D240" t="s">
        <v>1010</v>
      </c>
      <c r="E240" t="s">
        <v>1015</v>
      </c>
      <c r="F240" t="s">
        <v>1019</v>
      </c>
    </row>
    <row r="241" spans="1:7" x14ac:dyDescent="0.3">
      <c r="A241" t="s">
        <v>246</v>
      </c>
      <c r="B241" s="2">
        <v>45666.994444444441</v>
      </c>
      <c r="C241">
        <v>1279.52</v>
      </c>
      <c r="D241" t="s">
        <v>1009</v>
      </c>
      <c r="E241" t="s">
        <v>1013</v>
      </c>
      <c r="F241" t="s">
        <v>1019</v>
      </c>
    </row>
    <row r="242" spans="1:7" x14ac:dyDescent="0.3">
      <c r="A242" t="s">
        <v>247</v>
      </c>
      <c r="B242" s="2">
        <v>45692.388888888891</v>
      </c>
      <c r="C242">
        <v>408.72</v>
      </c>
      <c r="D242" t="s">
        <v>1011</v>
      </c>
      <c r="E242" t="s">
        <v>1013</v>
      </c>
      <c r="F242" t="s">
        <v>1020</v>
      </c>
      <c r="G242" t="s">
        <v>1023</v>
      </c>
    </row>
    <row r="243" spans="1:7" x14ac:dyDescent="0.3">
      <c r="A243" t="s">
        <v>248</v>
      </c>
      <c r="B243" s="2">
        <v>45687.247916666667</v>
      </c>
      <c r="C243">
        <v>2042.77</v>
      </c>
      <c r="D243" t="s">
        <v>1007</v>
      </c>
      <c r="E243" t="s">
        <v>1014</v>
      </c>
      <c r="F243" t="s">
        <v>1019</v>
      </c>
    </row>
    <row r="244" spans="1:7" x14ac:dyDescent="0.3">
      <c r="A244" t="s">
        <v>249</v>
      </c>
      <c r="B244" s="2">
        <v>45690.456944444442</v>
      </c>
      <c r="C244">
        <v>6478.75</v>
      </c>
      <c r="D244" t="s">
        <v>1008</v>
      </c>
      <c r="E244" t="s">
        <v>1012</v>
      </c>
      <c r="F244" t="s">
        <v>1019</v>
      </c>
    </row>
    <row r="245" spans="1:7" x14ac:dyDescent="0.3">
      <c r="A245" t="s">
        <v>250</v>
      </c>
      <c r="B245" s="2">
        <v>45667.607638888891</v>
      </c>
      <c r="C245">
        <v>5563.49</v>
      </c>
      <c r="D245" t="s">
        <v>1010</v>
      </c>
      <c r="E245" t="s">
        <v>1017</v>
      </c>
      <c r="F245" t="s">
        <v>1019</v>
      </c>
    </row>
    <row r="246" spans="1:7" x14ac:dyDescent="0.3">
      <c r="A246" t="s">
        <v>251</v>
      </c>
      <c r="B246" s="2">
        <v>45743.015972222223</v>
      </c>
      <c r="C246">
        <v>730.43</v>
      </c>
      <c r="D246" t="s">
        <v>1009</v>
      </c>
      <c r="E246" t="s">
        <v>1013</v>
      </c>
      <c r="F246" t="s">
        <v>1020</v>
      </c>
      <c r="G246" t="s">
        <v>1024</v>
      </c>
    </row>
    <row r="247" spans="1:7" x14ac:dyDescent="0.3">
      <c r="A247" t="s">
        <v>252</v>
      </c>
      <c r="B247" s="2">
        <v>45705.765972222223</v>
      </c>
      <c r="C247">
        <v>5323.11</v>
      </c>
      <c r="D247" t="s">
        <v>1011</v>
      </c>
      <c r="E247" t="s">
        <v>1018</v>
      </c>
      <c r="F247" t="s">
        <v>1019</v>
      </c>
    </row>
    <row r="248" spans="1:7" x14ac:dyDescent="0.3">
      <c r="A248" t="s">
        <v>253</v>
      </c>
      <c r="B248" s="2">
        <v>45717.82916666667</v>
      </c>
      <c r="C248">
        <v>5163.1099999999997</v>
      </c>
      <c r="D248" t="s">
        <v>1007</v>
      </c>
      <c r="E248" t="s">
        <v>1013</v>
      </c>
      <c r="F248" t="s">
        <v>1019</v>
      </c>
    </row>
    <row r="249" spans="1:7" x14ac:dyDescent="0.3">
      <c r="A249" t="s">
        <v>254</v>
      </c>
      <c r="B249" s="2">
        <v>45683.362500000003</v>
      </c>
      <c r="C249">
        <v>6181.67</v>
      </c>
      <c r="D249" t="s">
        <v>1009</v>
      </c>
      <c r="E249" t="s">
        <v>1015</v>
      </c>
      <c r="F249" t="s">
        <v>1019</v>
      </c>
    </row>
    <row r="250" spans="1:7" x14ac:dyDescent="0.3">
      <c r="A250" t="s">
        <v>255</v>
      </c>
      <c r="B250" s="2">
        <v>45724.314583333333</v>
      </c>
      <c r="C250">
        <v>656.75</v>
      </c>
      <c r="D250" t="s">
        <v>1010</v>
      </c>
      <c r="E250" t="s">
        <v>1018</v>
      </c>
      <c r="F250" t="s">
        <v>1019</v>
      </c>
    </row>
    <row r="251" spans="1:7" x14ac:dyDescent="0.3">
      <c r="A251" t="s">
        <v>256</v>
      </c>
      <c r="B251" s="2">
        <v>45714.172222222223</v>
      </c>
      <c r="C251">
        <v>678.34</v>
      </c>
      <c r="D251" t="s">
        <v>1010</v>
      </c>
      <c r="E251" t="s">
        <v>1018</v>
      </c>
      <c r="F251" t="s">
        <v>1019</v>
      </c>
    </row>
    <row r="252" spans="1:7" x14ac:dyDescent="0.3">
      <c r="A252" t="s">
        <v>257</v>
      </c>
      <c r="B252" s="2">
        <v>45710.636805555558</v>
      </c>
      <c r="C252">
        <v>3991.21</v>
      </c>
      <c r="D252" t="s">
        <v>1007</v>
      </c>
      <c r="E252" t="s">
        <v>1016</v>
      </c>
      <c r="F252" t="s">
        <v>1019</v>
      </c>
    </row>
    <row r="253" spans="1:7" x14ac:dyDescent="0.3">
      <c r="A253" t="s">
        <v>258</v>
      </c>
      <c r="B253" s="2">
        <v>45744.62222222222</v>
      </c>
      <c r="C253">
        <v>5851.31</v>
      </c>
      <c r="D253" t="s">
        <v>1007</v>
      </c>
      <c r="E253" t="s">
        <v>1012</v>
      </c>
      <c r="F253" t="s">
        <v>1020</v>
      </c>
      <c r="G253" t="s">
        <v>1022</v>
      </c>
    </row>
    <row r="254" spans="1:7" x14ac:dyDescent="0.3">
      <c r="A254" t="s">
        <v>259</v>
      </c>
      <c r="B254" s="2">
        <v>45714.77847222222</v>
      </c>
      <c r="C254">
        <v>1735.45</v>
      </c>
      <c r="D254" t="s">
        <v>1008</v>
      </c>
      <c r="E254" t="s">
        <v>1013</v>
      </c>
      <c r="F254" t="s">
        <v>1019</v>
      </c>
    </row>
    <row r="255" spans="1:7" x14ac:dyDescent="0.3">
      <c r="A255" t="s">
        <v>260</v>
      </c>
      <c r="B255" s="2">
        <v>45679.609722222223</v>
      </c>
      <c r="C255">
        <v>274.91000000000003</v>
      </c>
      <c r="D255" t="s">
        <v>1009</v>
      </c>
      <c r="E255" t="s">
        <v>1016</v>
      </c>
      <c r="F255" t="s">
        <v>1020</v>
      </c>
      <c r="G255" t="s">
        <v>1025</v>
      </c>
    </row>
    <row r="256" spans="1:7" x14ac:dyDescent="0.3">
      <c r="A256" t="s">
        <v>261</v>
      </c>
      <c r="B256" s="2">
        <v>45720.906944444447</v>
      </c>
      <c r="C256">
        <v>8554.07</v>
      </c>
      <c r="D256" t="s">
        <v>1011</v>
      </c>
      <c r="E256" t="s">
        <v>1014</v>
      </c>
      <c r="F256" t="s">
        <v>1019</v>
      </c>
    </row>
    <row r="257" spans="1:7" x14ac:dyDescent="0.3">
      <c r="A257" t="s">
        <v>262</v>
      </c>
      <c r="B257" s="2">
        <v>45731.769444444442</v>
      </c>
      <c r="C257">
        <v>1860.31</v>
      </c>
      <c r="D257" t="s">
        <v>1009</v>
      </c>
      <c r="E257" t="s">
        <v>1012</v>
      </c>
      <c r="F257" t="s">
        <v>1019</v>
      </c>
    </row>
    <row r="258" spans="1:7" x14ac:dyDescent="0.3">
      <c r="A258" t="s">
        <v>263</v>
      </c>
      <c r="B258" s="2">
        <v>45667.203472222223</v>
      </c>
      <c r="C258">
        <v>1288.0999999999999</v>
      </c>
      <c r="D258" t="s">
        <v>1009</v>
      </c>
      <c r="E258" t="s">
        <v>1014</v>
      </c>
      <c r="F258" t="s">
        <v>1019</v>
      </c>
    </row>
    <row r="259" spans="1:7" x14ac:dyDescent="0.3">
      <c r="A259" t="s">
        <v>264</v>
      </c>
      <c r="B259" s="2">
        <v>45675.043055555558</v>
      </c>
      <c r="C259">
        <v>9741.02</v>
      </c>
      <c r="D259" t="s">
        <v>1009</v>
      </c>
      <c r="E259" t="s">
        <v>1017</v>
      </c>
      <c r="F259" t="s">
        <v>1019</v>
      </c>
    </row>
    <row r="260" spans="1:7" x14ac:dyDescent="0.3">
      <c r="A260" t="s">
        <v>265</v>
      </c>
      <c r="B260" s="2">
        <v>45688.352777777778</v>
      </c>
      <c r="C260">
        <v>6655.41</v>
      </c>
      <c r="D260" t="s">
        <v>1010</v>
      </c>
      <c r="E260" t="s">
        <v>1014</v>
      </c>
      <c r="F260" t="s">
        <v>1020</v>
      </c>
      <c r="G260" t="s">
        <v>1026</v>
      </c>
    </row>
    <row r="261" spans="1:7" x14ac:dyDescent="0.3">
      <c r="A261" t="s">
        <v>266</v>
      </c>
      <c r="B261" s="2">
        <v>45702.091666666667</v>
      </c>
      <c r="C261">
        <v>268.57</v>
      </c>
      <c r="D261" t="s">
        <v>1010</v>
      </c>
      <c r="E261" t="s">
        <v>1017</v>
      </c>
      <c r="F261" t="s">
        <v>1019</v>
      </c>
    </row>
    <row r="262" spans="1:7" x14ac:dyDescent="0.3">
      <c r="A262" t="s">
        <v>267</v>
      </c>
      <c r="B262" s="2">
        <v>45734.863888888889</v>
      </c>
      <c r="C262">
        <v>4885.9399999999996</v>
      </c>
      <c r="D262" t="s">
        <v>1009</v>
      </c>
      <c r="E262" t="s">
        <v>1014</v>
      </c>
      <c r="F262" t="s">
        <v>1020</v>
      </c>
      <c r="G262" t="s">
        <v>1024</v>
      </c>
    </row>
    <row r="263" spans="1:7" x14ac:dyDescent="0.3">
      <c r="A263" t="s">
        <v>268</v>
      </c>
      <c r="B263" s="2">
        <v>45728.431250000001</v>
      </c>
      <c r="C263">
        <v>5864.85</v>
      </c>
      <c r="D263" t="s">
        <v>1007</v>
      </c>
      <c r="E263" t="s">
        <v>1016</v>
      </c>
      <c r="F263" t="s">
        <v>1019</v>
      </c>
    </row>
    <row r="264" spans="1:7" x14ac:dyDescent="0.3">
      <c r="A264" t="s">
        <v>269</v>
      </c>
      <c r="B264" s="2">
        <v>45677.27847222222</v>
      </c>
      <c r="C264">
        <v>8274.15</v>
      </c>
      <c r="D264" t="s">
        <v>1010</v>
      </c>
      <c r="E264" t="s">
        <v>1014</v>
      </c>
      <c r="F264" t="s">
        <v>1019</v>
      </c>
    </row>
    <row r="265" spans="1:7" x14ac:dyDescent="0.3">
      <c r="A265" t="s">
        <v>270</v>
      </c>
      <c r="B265" s="2">
        <v>45740.683333333327</v>
      </c>
      <c r="C265">
        <v>1758.43</v>
      </c>
      <c r="D265" t="s">
        <v>1010</v>
      </c>
      <c r="E265" t="s">
        <v>1014</v>
      </c>
      <c r="F265" t="s">
        <v>1019</v>
      </c>
    </row>
    <row r="266" spans="1:7" x14ac:dyDescent="0.3">
      <c r="A266" t="s">
        <v>271</v>
      </c>
      <c r="B266" s="2">
        <v>45732.706944444442</v>
      </c>
      <c r="C266">
        <v>2084.02</v>
      </c>
      <c r="D266" t="s">
        <v>1011</v>
      </c>
      <c r="E266" t="s">
        <v>1013</v>
      </c>
      <c r="F266" t="s">
        <v>1019</v>
      </c>
    </row>
    <row r="267" spans="1:7" x14ac:dyDescent="0.3">
      <c r="A267" t="s">
        <v>272</v>
      </c>
      <c r="B267" s="2">
        <v>45733</v>
      </c>
      <c r="C267">
        <v>8966.83</v>
      </c>
      <c r="D267" t="s">
        <v>1007</v>
      </c>
      <c r="E267" t="s">
        <v>1015</v>
      </c>
      <c r="F267" t="s">
        <v>1019</v>
      </c>
    </row>
    <row r="268" spans="1:7" x14ac:dyDescent="0.3">
      <c r="A268" t="s">
        <v>273</v>
      </c>
      <c r="B268" s="2">
        <v>45722.208333333343</v>
      </c>
      <c r="C268">
        <v>3092.14</v>
      </c>
      <c r="D268" t="s">
        <v>1009</v>
      </c>
      <c r="E268" t="s">
        <v>1012</v>
      </c>
      <c r="F268" t="s">
        <v>1019</v>
      </c>
    </row>
    <row r="269" spans="1:7" x14ac:dyDescent="0.3">
      <c r="A269" t="s">
        <v>274</v>
      </c>
      <c r="B269" s="2">
        <v>45744.57708333333</v>
      </c>
      <c r="C269">
        <v>8085.33</v>
      </c>
      <c r="D269" t="s">
        <v>1009</v>
      </c>
      <c r="E269" t="s">
        <v>1015</v>
      </c>
      <c r="F269" t="s">
        <v>1020</v>
      </c>
      <c r="G269" t="s">
        <v>1025</v>
      </c>
    </row>
    <row r="270" spans="1:7" x14ac:dyDescent="0.3">
      <c r="A270" t="s">
        <v>275</v>
      </c>
      <c r="B270" s="2">
        <v>45679.033333333333</v>
      </c>
      <c r="C270">
        <v>4515.05</v>
      </c>
      <c r="D270" t="s">
        <v>1010</v>
      </c>
      <c r="E270" t="s">
        <v>1018</v>
      </c>
      <c r="F270" t="s">
        <v>1019</v>
      </c>
    </row>
    <row r="271" spans="1:7" x14ac:dyDescent="0.3">
      <c r="A271" t="s">
        <v>276</v>
      </c>
      <c r="B271" s="2">
        <v>45699.743750000001</v>
      </c>
      <c r="C271">
        <v>7377.08</v>
      </c>
      <c r="D271" t="s">
        <v>1009</v>
      </c>
      <c r="E271" t="s">
        <v>1016</v>
      </c>
      <c r="F271" t="s">
        <v>1019</v>
      </c>
    </row>
    <row r="272" spans="1:7" x14ac:dyDescent="0.3">
      <c r="A272" t="s">
        <v>277</v>
      </c>
      <c r="B272" s="2">
        <v>45729.879166666673</v>
      </c>
      <c r="C272">
        <v>4661.3900000000003</v>
      </c>
      <c r="D272" t="s">
        <v>1010</v>
      </c>
      <c r="E272" t="s">
        <v>1016</v>
      </c>
      <c r="F272" t="s">
        <v>1020</v>
      </c>
      <c r="G272" t="s">
        <v>1023</v>
      </c>
    </row>
    <row r="273" spans="1:7" x14ac:dyDescent="0.3">
      <c r="A273" t="s">
        <v>278</v>
      </c>
      <c r="B273" s="2">
        <v>45689.984027777777</v>
      </c>
      <c r="C273">
        <v>7679.09</v>
      </c>
      <c r="D273" t="s">
        <v>1011</v>
      </c>
      <c r="E273" t="s">
        <v>1016</v>
      </c>
      <c r="F273" t="s">
        <v>1019</v>
      </c>
    </row>
    <row r="274" spans="1:7" x14ac:dyDescent="0.3">
      <c r="A274" t="s">
        <v>279</v>
      </c>
      <c r="B274" s="2">
        <v>45717.279861111107</v>
      </c>
      <c r="C274">
        <v>532.19000000000005</v>
      </c>
      <c r="D274" t="s">
        <v>1011</v>
      </c>
      <c r="E274" t="s">
        <v>1014</v>
      </c>
      <c r="F274" t="s">
        <v>1019</v>
      </c>
    </row>
    <row r="275" spans="1:7" x14ac:dyDescent="0.3">
      <c r="A275" t="s">
        <v>280</v>
      </c>
      <c r="B275" s="2">
        <v>45736.753472222219</v>
      </c>
      <c r="C275">
        <v>5982.65</v>
      </c>
      <c r="D275" t="s">
        <v>1010</v>
      </c>
      <c r="E275" t="s">
        <v>1014</v>
      </c>
      <c r="F275" t="s">
        <v>1019</v>
      </c>
    </row>
    <row r="276" spans="1:7" x14ac:dyDescent="0.3">
      <c r="A276" t="s">
        <v>281</v>
      </c>
      <c r="B276" s="2">
        <v>45685.388194444437</v>
      </c>
      <c r="C276">
        <v>9938.4599999999991</v>
      </c>
      <c r="D276" t="s">
        <v>1008</v>
      </c>
      <c r="E276" t="s">
        <v>1014</v>
      </c>
      <c r="F276" t="s">
        <v>1019</v>
      </c>
    </row>
    <row r="277" spans="1:7" x14ac:dyDescent="0.3">
      <c r="A277" t="s">
        <v>282</v>
      </c>
      <c r="B277" s="2">
        <v>45724.740972222222</v>
      </c>
      <c r="C277">
        <v>7601.85</v>
      </c>
      <c r="D277" t="s">
        <v>1010</v>
      </c>
      <c r="E277" t="s">
        <v>1018</v>
      </c>
      <c r="F277" t="s">
        <v>1019</v>
      </c>
    </row>
    <row r="278" spans="1:7" x14ac:dyDescent="0.3">
      <c r="A278" t="s">
        <v>283</v>
      </c>
      <c r="B278" s="2">
        <v>45712.839583333327</v>
      </c>
      <c r="C278">
        <v>5148.58</v>
      </c>
      <c r="D278" t="s">
        <v>1008</v>
      </c>
      <c r="E278" t="s">
        <v>1012</v>
      </c>
      <c r="F278" t="s">
        <v>1020</v>
      </c>
      <c r="G278" t="s">
        <v>1026</v>
      </c>
    </row>
    <row r="279" spans="1:7" x14ac:dyDescent="0.3">
      <c r="A279" t="s">
        <v>284</v>
      </c>
      <c r="B279" s="2">
        <v>45688.943055555559</v>
      </c>
      <c r="C279">
        <v>6524.57</v>
      </c>
      <c r="D279" t="s">
        <v>1009</v>
      </c>
      <c r="E279" t="s">
        <v>1016</v>
      </c>
      <c r="F279" t="s">
        <v>1019</v>
      </c>
    </row>
    <row r="280" spans="1:7" x14ac:dyDescent="0.3">
      <c r="A280" t="s">
        <v>285</v>
      </c>
      <c r="B280" s="2">
        <v>45697.887499999997</v>
      </c>
      <c r="C280">
        <v>3492.32</v>
      </c>
      <c r="D280" t="s">
        <v>1009</v>
      </c>
      <c r="E280" t="s">
        <v>1017</v>
      </c>
      <c r="F280" t="s">
        <v>1019</v>
      </c>
    </row>
    <row r="281" spans="1:7" x14ac:dyDescent="0.3">
      <c r="A281" t="s">
        <v>286</v>
      </c>
      <c r="B281" s="2">
        <v>45715.35</v>
      </c>
      <c r="C281">
        <v>4717.88</v>
      </c>
      <c r="D281" t="s">
        <v>1007</v>
      </c>
      <c r="E281" t="s">
        <v>1015</v>
      </c>
      <c r="F281" t="s">
        <v>1019</v>
      </c>
    </row>
    <row r="282" spans="1:7" x14ac:dyDescent="0.3">
      <c r="A282" t="s">
        <v>287</v>
      </c>
      <c r="B282" s="2">
        <v>45722.304861111108</v>
      </c>
      <c r="C282">
        <v>8891.5300000000007</v>
      </c>
      <c r="D282" t="s">
        <v>1007</v>
      </c>
      <c r="E282" t="s">
        <v>1013</v>
      </c>
      <c r="F282" t="s">
        <v>1019</v>
      </c>
    </row>
    <row r="283" spans="1:7" x14ac:dyDescent="0.3">
      <c r="A283" t="s">
        <v>288</v>
      </c>
      <c r="B283" s="2">
        <v>45665.192361111112</v>
      </c>
      <c r="C283">
        <v>6683.57</v>
      </c>
      <c r="D283" t="s">
        <v>1009</v>
      </c>
      <c r="E283" t="s">
        <v>1014</v>
      </c>
      <c r="F283" t="s">
        <v>1020</v>
      </c>
      <c r="G283" t="s">
        <v>1021</v>
      </c>
    </row>
    <row r="284" spans="1:7" x14ac:dyDescent="0.3">
      <c r="A284" t="s">
        <v>289</v>
      </c>
      <c r="B284" s="2">
        <v>45712.009027777778</v>
      </c>
      <c r="C284">
        <v>9962.07</v>
      </c>
      <c r="D284" t="s">
        <v>1010</v>
      </c>
      <c r="E284" t="s">
        <v>1018</v>
      </c>
      <c r="F284" t="s">
        <v>1019</v>
      </c>
    </row>
    <row r="285" spans="1:7" x14ac:dyDescent="0.3">
      <c r="A285" t="s">
        <v>290</v>
      </c>
      <c r="B285" s="2">
        <v>45675.209027777782</v>
      </c>
      <c r="C285">
        <v>2189.2399999999998</v>
      </c>
      <c r="D285" t="s">
        <v>1008</v>
      </c>
      <c r="E285" t="s">
        <v>1013</v>
      </c>
      <c r="F285" t="s">
        <v>1019</v>
      </c>
    </row>
    <row r="286" spans="1:7" x14ac:dyDescent="0.3">
      <c r="A286" t="s">
        <v>291</v>
      </c>
      <c r="B286" s="2">
        <v>45661.28125</v>
      </c>
      <c r="C286">
        <v>6654.78</v>
      </c>
      <c r="D286" t="s">
        <v>1008</v>
      </c>
      <c r="E286" t="s">
        <v>1016</v>
      </c>
      <c r="F286" t="s">
        <v>1019</v>
      </c>
    </row>
    <row r="287" spans="1:7" x14ac:dyDescent="0.3">
      <c r="A287" t="s">
        <v>292</v>
      </c>
      <c r="B287" s="2">
        <v>45738.892361111109</v>
      </c>
      <c r="C287">
        <v>2674.44</v>
      </c>
      <c r="D287" t="s">
        <v>1011</v>
      </c>
      <c r="E287" t="s">
        <v>1013</v>
      </c>
      <c r="F287" t="s">
        <v>1019</v>
      </c>
    </row>
    <row r="288" spans="1:7" x14ac:dyDescent="0.3">
      <c r="A288" t="s">
        <v>293</v>
      </c>
      <c r="B288" s="2">
        <v>45676.043749999997</v>
      </c>
      <c r="C288">
        <v>5758.6</v>
      </c>
      <c r="D288" t="s">
        <v>1009</v>
      </c>
      <c r="E288" t="s">
        <v>1018</v>
      </c>
      <c r="F288" t="s">
        <v>1019</v>
      </c>
    </row>
    <row r="289" spans="1:7" x14ac:dyDescent="0.3">
      <c r="A289" t="s">
        <v>294</v>
      </c>
      <c r="B289" s="2">
        <v>45659.854166666657</v>
      </c>
      <c r="C289">
        <v>6020.64</v>
      </c>
      <c r="D289" t="s">
        <v>1009</v>
      </c>
      <c r="E289" t="s">
        <v>1013</v>
      </c>
      <c r="F289" t="s">
        <v>1020</v>
      </c>
      <c r="G289" t="s">
        <v>1023</v>
      </c>
    </row>
    <row r="290" spans="1:7" x14ac:dyDescent="0.3">
      <c r="A290" t="s">
        <v>295</v>
      </c>
      <c r="B290" s="2">
        <v>45731.245833333327</v>
      </c>
      <c r="C290">
        <v>9437.7999999999993</v>
      </c>
      <c r="D290" t="s">
        <v>1009</v>
      </c>
      <c r="E290" t="s">
        <v>1016</v>
      </c>
      <c r="F290" t="s">
        <v>1019</v>
      </c>
    </row>
    <row r="291" spans="1:7" x14ac:dyDescent="0.3">
      <c r="A291" t="s">
        <v>296</v>
      </c>
      <c r="B291" s="2">
        <v>45674.9375</v>
      </c>
      <c r="C291">
        <v>8461.2000000000007</v>
      </c>
      <c r="D291" t="s">
        <v>1010</v>
      </c>
      <c r="E291" t="s">
        <v>1018</v>
      </c>
      <c r="F291" t="s">
        <v>1019</v>
      </c>
    </row>
    <row r="292" spans="1:7" x14ac:dyDescent="0.3">
      <c r="A292" t="s">
        <v>297</v>
      </c>
      <c r="B292" s="2">
        <v>45675.595138888893</v>
      </c>
      <c r="C292">
        <v>3826.34</v>
      </c>
      <c r="D292" t="s">
        <v>1011</v>
      </c>
      <c r="E292" t="s">
        <v>1018</v>
      </c>
      <c r="F292" t="s">
        <v>1020</v>
      </c>
      <c r="G292" t="s">
        <v>1025</v>
      </c>
    </row>
    <row r="293" spans="1:7" x14ac:dyDescent="0.3">
      <c r="A293" t="s">
        <v>298</v>
      </c>
      <c r="B293" s="2">
        <v>45739.311111111107</v>
      </c>
      <c r="C293">
        <v>1346.4</v>
      </c>
      <c r="D293" t="s">
        <v>1009</v>
      </c>
      <c r="E293" t="s">
        <v>1018</v>
      </c>
      <c r="F293" t="s">
        <v>1019</v>
      </c>
    </row>
    <row r="294" spans="1:7" x14ac:dyDescent="0.3">
      <c r="A294" t="s">
        <v>299</v>
      </c>
      <c r="B294" s="2">
        <v>45734.303472222222</v>
      </c>
      <c r="C294">
        <v>5643.35</v>
      </c>
      <c r="D294" t="s">
        <v>1010</v>
      </c>
      <c r="E294" t="s">
        <v>1014</v>
      </c>
      <c r="F294" t="s">
        <v>1019</v>
      </c>
    </row>
    <row r="295" spans="1:7" x14ac:dyDescent="0.3">
      <c r="A295" t="s">
        <v>300</v>
      </c>
      <c r="B295" s="2">
        <v>45739.226388888892</v>
      </c>
      <c r="C295">
        <v>2322.5500000000002</v>
      </c>
      <c r="D295" t="s">
        <v>1011</v>
      </c>
      <c r="E295" t="s">
        <v>1012</v>
      </c>
      <c r="F295" t="s">
        <v>1019</v>
      </c>
    </row>
    <row r="296" spans="1:7" x14ac:dyDescent="0.3">
      <c r="A296" t="s">
        <v>301</v>
      </c>
      <c r="B296" s="2">
        <v>45717.04583333333</v>
      </c>
      <c r="C296">
        <v>5632.72</v>
      </c>
      <c r="D296" t="s">
        <v>1011</v>
      </c>
      <c r="E296" t="s">
        <v>1012</v>
      </c>
      <c r="F296" t="s">
        <v>1019</v>
      </c>
    </row>
    <row r="297" spans="1:7" x14ac:dyDescent="0.3">
      <c r="A297" t="s">
        <v>302</v>
      </c>
      <c r="B297" s="2">
        <v>45678.155555555553</v>
      </c>
      <c r="C297">
        <v>1896.82</v>
      </c>
      <c r="D297" t="s">
        <v>1007</v>
      </c>
      <c r="E297" t="s">
        <v>1016</v>
      </c>
      <c r="F297" t="s">
        <v>1019</v>
      </c>
    </row>
    <row r="298" spans="1:7" x14ac:dyDescent="0.3">
      <c r="A298" t="s">
        <v>303</v>
      </c>
      <c r="B298" s="2">
        <v>45711.854861111111</v>
      </c>
      <c r="C298">
        <v>3257.36</v>
      </c>
      <c r="D298" t="s">
        <v>1007</v>
      </c>
      <c r="E298" t="s">
        <v>1012</v>
      </c>
      <c r="F298" t="s">
        <v>1020</v>
      </c>
      <c r="G298" t="s">
        <v>1026</v>
      </c>
    </row>
    <row r="299" spans="1:7" x14ac:dyDescent="0.3">
      <c r="A299" t="s">
        <v>304</v>
      </c>
      <c r="B299" s="2">
        <v>45660.256944444453</v>
      </c>
      <c r="C299">
        <v>9387.26</v>
      </c>
      <c r="D299" t="s">
        <v>1008</v>
      </c>
      <c r="E299" t="s">
        <v>1013</v>
      </c>
      <c r="F299" t="s">
        <v>1020</v>
      </c>
      <c r="G299" t="s">
        <v>1021</v>
      </c>
    </row>
    <row r="300" spans="1:7" x14ac:dyDescent="0.3">
      <c r="A300" t="s">
        <v>305</v>
      </c>
      <c r="B300" s="2">
        <v>45689.101388888892</v>
      </c>
      <c r="C300">
        <v>3314.82</v>
      </c>
      <c r="D300" t="s">
        <v>1010</v>
      </c>
      <c r="E300" t="s">
        <v>1015</v>
      </c>
      <c r="F300" t="s">
        <v>1019</v>
      </c>
    </row>
    <row r="301" spans="1:7" x14ac:dyDescent="0.3">
      <c r="A301" t="s">
        <v>306</v>
      </c>
      <c r="B301" s="2">
        <v>45720.01666666667</v>
      </c>
      <c r="C301">
        <v>4634.3100000000004</v>
      </c>
      <c r="D301" t="s">
        <v>1007</v>
      </c>
      <c r="E301" t="s">
        <v>1012</v>
      </c>
      <c r="F301" t="s">
        <v>1020</v>
      </c>
      <c r="G301" t="s">
        <v>1022</v>
      </c>
    </row>
    <row r="302" spans="1:7" x14ac:dyDescent="0.3">
      <c r="A302" t="s">
        <v>307</v>
      </c>
      <c r="B302" s="2">
        <v>45732.729861111111</v>
      </c>
      <c r="C302">
        <v>7957.46</v>
      </c>
      <c r="D302" t="s">
        <v>1011</v>
      </c>
      <c r="E302" t="s">
        <v>1013</v>
      </c>
      <c r="F302" t="s">
        <v>1019</v>
      </c>
    </row>
    <row r="303" spans="1:7" x14ac:dyDescent="0.3">
      <c r="A303" t="s">
        <v>308</v>
      </c>
      <c r="B303" s="2">
        <v>45713.491666666669</v>
      </c>
      <c r="C303">
        <v>5392.26</v>
      </c>
      <c r="D303" t="s">
        <v>1010</v>
      </c>
      <c r="E303" t="s">
        <v>1012</v>
      </c>
      <c r="F303" t="s">
        <v>1020</v>
      </c>
      <c r="G303" t="s">
        <v>1023</v>
      </c>
    </row>
    <row r="304" spans="1:7" x14ac:dyDescent="0.3">
      <c r="A304" t="s">
        <v>309</v>
      </c>
      <c r="B304" s="2">
        <v>45728.205555555563</v>
      </c>
      <c r="C304">
        <v>8941.9699999999993</v>
      </c>
      <c r="D304" t="s">
        <v>1007</v>
      </c>
      <c r="E304" t="s">
        <v>1014</v>
      </c>
      <c r="F304" t="s">
        <v>1019</v>
      </c>
    </row>
    <row r="305" spans="1:7" x14ac:dyDescent="0.3">
      <c r="A305" t="s">
        <v>310</v>
      </c>
      <c r="B305" s="2">
        <v>45723.570138888892</v>
      </c>
      <c r="C305">
        <v>7187.86</v>
      </c>
      <c r="D305" t="s">
        <v>1007</v>
      </c>
      <c r="E305" t="s">
        <v>1014</v>
      </c>
      <c r="F305" t="s">
        <v>1019</v>
      </c>
    </row>
    <row r="306" spans="1:7" x14ac:dyDescent="0.3">
      <c r="A306" t="s">
        <v>311</v>
      </c>
      <c r="B306" s="2">
        <v>45676.929861111108</v>
      </c>
      <c r="C306">
        <v>8190.09</v>
      </c>
      <c r="D306" t="s">
        <v>1009</v>
      </c>
      <c r="E306" t="s">
        <v>1012</v>
      </c>
      <c r="F306" t="s">
        <v>1019</v>
      </c>
    </row>
    <row r="307" spans="1:7" x14ac:dyDescent="0.3">
      <c r="A307" t="s">
        <v>312</v>
      </c>
      <c r="B307" s="2">
        <v>45726.918749999997</v>
      </c>
      <c r="C307">
        <v>6642.96</v>
      </c>
      <c r="D307" t="s">
        <v>1007</v>
      </c>
      <c r="E307" t="s">
        <v>1013</v>
      </c>
      <c r="F307" t="s">
        <v>1019</v>
      </c>
    </row>
    <row r="308" spans="1:7" x14ac:dyDescent="0.3">
      <c r="A308" t="s">
        <v>313</v>
      </c>
      <c r="B308" s="2">
        <v>45706.759722222218</v>
      </c>
      <c r="C308">
        <v>6013.78</v>
      </c>
      <c r="D308" t="s">
        <v>1011</v>
      </c>
      <c r="E308" t="s">
        <v>1018</v>
      </c>
      <c r="F308" t="s">
        <v>1019</v>
      </c>
    </row>
    <row r="309" spans="1:7" x14ac:dyDescent="0.3">
      <c r="A309" t="s">
        <v>314</v>
      </c>
      <c r="B309" s="2">
        <v>45662.344444444447</v>
      </c>
      <c r="C309">
        <v>1625.26</v>
      </c>
      <c r="D309" t="s">
        <v>1011</v>
      </c>
      <c r="E309" t="s">
        <v>1017</v>
      </c>
      <c r="F309" t="s">
        <v>1019</v>
      </c>
    </row>
    <row r="310" spans="1:7" x14ac:dyDescent="0.3">
      <c r="A310" t="s">
        <v>315</v>
      </c>
      <c r="B310" s="2">
        <v>45700.494444444441</v>
      </c>
      <c r="C310">
        <v>661.15</v>
      </c>
      <c r="D310" t="s">
        <v>1010</v>
      </c>
      <c r="E310" t="s">
        <v>1014</v>
      </c>
      <c r="F310" t="s">
        <v>1020</v>
      </c>
      <c r="G310" t="s">
        <v>1025</v>
      </c>
    </row>
    <row r="311" spans="1:7" x14ac:dyDescent="0.3">
      <c r="A311" t="s">
        <v>316</v>
      </c>
      <c r="B311" s="2">
        <v>45719.51458333333</v>
      </c>
      <c r="C311">
        <v>1008.81</v>
      </c>
      <c r="D311" t="s">
        <v>1008</v>
      </c>
      <c r="E311" t="s">
        <v>1014</v>
      </c>
      <c r="F311" t="s">
        <v>1019</v>
      </c>
    </row>
    <row r="312" spans="1:7" x14ac:dyDescent="0.3">
      <c r="A312" t="s">
        <v>317</v>
      </c>
      <c r="B312" s="2">
        <v>45724.660416666673</v>
      </c>
      <c r="C312">
        <v>527.96</v>
      </c>
      <c r="D312" t="s">
        <v>1011</v>
      </c>
      <c r="E312" t="s">
        <v>1013</v>
      </c>
      <c r="F312" t="s">
        <v>1020</v>
      </c>
      <c r="G312" t="s">
        <v>1022</v>
      </c>
    </row>
    <row r="313" spans="1:7" x14ac:dyDescent="0.3">
      <c r="A313" t="s">
        <v>318</v>
      </c>
      <c r="B313" s="2">
        <v>45688.520138888889</v>
      </c>
      <c r="C313">
        <v>7996.94</v>
      </c>
      <c r="D313" t="s">
        <v>1008</v>
      </c>
      <c r="E313" t="s">
        <v>1016</v>
      </c>
      <c r="F313" t="s">
        <v>1020</v>
      </c>
      <c r="G313" t="s">
        <v>1023</v>
      </c>
    </row>
    <row r="314" spans="1:7" x14ac:dyDescent="0.3">
      <c r="A314" t="s">
        <v>319</v>
      </c>
      <c r="B314" s="2">
        <v>45694.765277777777</v>
      </c>
      <c r="C314">
        <v>7422.04</v>
      </c>
      <c r="D314" t="s">
        <v>1009</v>
      </c>
      <c r="E314" t="s">
        <v>1013</v>
      </c>
      <c r="F314" t="s">
        <v>1020</v>
      </c>
      <c r="G314" t="s">
        <v>1025</v>
      </c>
    </row>
    <row r="315" spans="1:7" x14ac:dyDescent="0.3">
      <c r="A315" t="s">
        <v>320</v>
      </c>
      <c r="B315" s="2">
        <v>45742.477083333331</v>
      </c>
      <c r="C315">
        <v>3436.37</v>
      </c>
      <c r="D315" t="s">
        <v>1008</v>
      </c>
      <c r="E315" t="s">
        <v>1015</v>
      </c>
      <c r="F315" t="s">
        <v>1019</v>
      </c>
    </row>
    <row r="316" spans="1:7" x14ac:dyDescent="0.3">
      <c r="A316" t="s">
        <v>321</v>
      </c>
      <c r="B316" s="2">
        <v>45692.293055555558</v>
      </c>
      <c r="C316">
        <v>1896.78</v>
      </c>
      <c r="D316" t="s">
        <v>1011</v>
      </c>
      <c r="E316" t="s">
        <v>1012</v>
      </c>
      <c r="F316" t="s">
        <v>1020</v>
      </c>
      <c r="G316" t="s">
        <v>1026</v>
      </c>
    </row>
    <row r="317" spans="1:7" x14ac:dyDescent="0.3">
      <c r="A317" t="s">
        <v>322</v>
      </c>
      <c r="B317" s="2">
        <v>45715.71875</v>
      </c>
      <c r="C317">
        <v>1937.49</v>
      </c>
      <c r="D317" t="s">
        <v>1011</v>
      </c>
      <c r="E317" t="s">
        <v>1012</v>
      </c>
      <c r="F317" t="s">
        <v>1020</v>
      </c>
      <c r="G317" t="s">
        <v>1023</v>
      </c>
    </row>
    <row r="318" spans="1:7" x14ac:dyDescent="0.3">
      <c r="A318" t="s">
        <v>323</v>
      </c>
      <c r="B318" s="2">
        <v>45710.1875</v>
      </c>
      <c r="C318">
        <v>5649.74</v>
      </c>
      <c r="D318" t="s">
        <v>1008</v>
      </c>
      <c r="E318" t="s">
        <v>1012</v>
      </c>
      <c r="F318" t="s">
        <v>1019</v>
      </c>
    </row>
    <row r="319" spans="1:7" x14ac:dyDescent="0.3">
      <c r="A319" t="s">
        <v>324</v>
      </c>
      <c r="B319" s="2">
        <v>45703.59375</v>
      </c>
      <c r="C319">
        <v>2258.7800000000002</v>
      </c>
      <c r="D319" t="s">
        <v>1007</v>
      </c>
      <c r="E319" t="s">
        <v>1018</v>
      </c>
      <c r="F319" t="s">
        <v>1019</v>
      </c>
    </row>
    <row r="320" spans="1:7" x14ac:dyDescent="0.3">
      <c r="A320" t="s">
        <v>325</v>
      </c>
      <c r="B320" s="2">
        <v>45673.350694444453</v>
      </c>
      <c r="C320">
        <v>9853.5</v>
      </c>
      <c r="D320" t="s">
        <v>1007</v>
      </c>
      <c r="E320" t="s">
        <v>1016</v>
      </c>
      <c r="F320" t="s">
        <v>1019</v>
      </c>
    </row>
    <row r="321" spans="1:7" x14ac:dyDescent="0.3">
      <c r="A321" t="s">
        <v>326</v>
      </c>
      <c r="B321" s="2">
        <v>45699.933333333327</v>
      </c>
      <c r="C321">
        <v>5641.16</v>
      </c>
      <c r="D321" t="s">
        <v>1007</v>
      </c>
      <c r="E321" t="s">
        <v>1016</v>
      </c>
      <c r="F321" t="s">
        <v>1019</v>
      </c>
    </row>
    <row r="322" spans="1:7" x14ac:dyDescent="0.3">
      <c r="A322" t="s">
        <v>327</v>
      </c>
      <c r="B322" s="2">
        <v>45697.499305555553</v>
      </c>
      <c r="C322">
        <v>4841.03</v>
      </c>
      <c r="D322" t="s">
        <v>1010</v>
      </c>
      <c r="E322" t="s">
        <v>1016</v>
      </c>
      <c r="F322" t="s">
        <v>1019</v>
      </c>
    </row>
    <row r="323" spans="1:7" x14ac:dyDescent="0.3">
      <c r="A323" t="s">
        <v>328</v>
      </c>
      <c r="B323" s="2">
        <v>45716.50277777778</v>
      </c>
      <c r="C323">
        <v>7826.21</v>
      </c>
      <c r="D323" t="s">
        <v>1011</v>
      </c>
      <c r="E323" t="s">
        <v>1018</v>
      </c>
      <c r="F323" t="s">
        <v>1019</v>
      </c>
    </row>
    <row r="324" spans="1:7" x14ac:dyDescent="0.3">
      <c r="A324" t="s">
        <v>329</v>
      </c>
      <c r="B324" s="2">
        <v>45716.623611111107</v>
      </c>
      <c r="C324">
        <v>8624.5400000000009</v>
      </c>
      <c r="D324" t="s">
        <v>1010</v>
      </c>
      <c r="E324" t="s">
        <v>1014</v>
      </c>
      <c r="F324" t="s">
        <v>1019</v>
      </c>
    </row>
    <row r="325" spans="1:7" x14ac:dyDescent="0.3">
      <c r="A325" t="s">
        <v>330</v>
      </c>
      <c r="B325" s="2">
        <v>45671.802777777782</v>
      </c>
      <c r="C325">
        <v>8502.3700000000008</v>
      </c>
      <c r="D325" t="s">
        <v>1010</v>
      </c>
      <c r="E325" t="s">
        <v>1013</v>
      </c>
      <c r="F325" t="s">
        <v>1019</v>
      </c>
    </row>
    <row r="326" spans="1:7" x14ac:dyDescent="0.3">
      <c r="A326" t="s">
        <v>331</v>
      </c>
      <c r="B326" s="2">
        <v>45684.765277777777</v>
      </c>
      <c r="C326">
        <v>1338.77</v>
      </c>
      <c r="D326" t="s">
        <v>1008</v>
      </c>
      <c r="E326" t="s">
        <v>1014</v>
      </c>
      <c r="F326" t="s">
        <v>1019</v>
      </c>
    </row>
    <row r="327" spans="1:7" x14ac:dyDescent="0.3">
      <c r="A327" t="s">
        <v>332</v>
      </c>
      <c r="B327" s="2">
        <v>45687.628472222219</v>
      </c>
      <c r="C327">
        <v>8255.51</v>
      </c>
      <c r="D327" t="s">
        <v>1010</v>
      </c>
      <c r="E327" t="s">
        <v>1014</v>
      </c>
      <c r="F327" t="s">
        <v>1020</v>
      </c>
      <c r="G327" t="s">
        <v>1021</v>
      </c>
    </row>
    <row r="328" spans="1:7" x14ac:dyDescent="0.3">
      <c r="A328" t="s">
        <v>333</v>
      </c>
      <c r="B328" s="2">
        <v>45685.160416666673</v>
      </c>
      <c r="C328">
        <v>4689.32</v>
      </c>
      <c r="D328" t="s">
        <v>1009</v>
      </c>
      <c r="E328" t="s">
        <v>1012</v>
      </c>
      <c r="F328" t="s">
        <v>1019</v>
      </c>
    </row>
    <row r="329" spans="1:7" x14ac:dyDescent="0.3">
      <c r="A329" t="s">
        <v>334</v>
      </c>
      <c r="B329" s="2">
        <v>45721.23333333333</v>
      </c>
      <c r="C329">
        <v>5511.54</v>
      </c>
      <c r="D329" t="s">
        <v>1007</v>
      </c>
      <c r="E329" t="s">
        <v>1017</v>
      </c>
      <c r="F329" t="s">
        <v>1019</v>
      </c>
    </row>
    <row r="330" spans="1:7" x14ac:dyDescent="0.3">
      <c r="A330" t="s">
        <v>335</v>
      </c>
      <c r="B330" s="2">
        <v>45680.347916666673</v>
      </c>
      <c r="C330">
        <v>9912.58</v>
      </c>
      <c r="D330" t="s">
        <v>1007</v>
      </c>
      <c r="E330" t="s">
        <v>1014</v>
      </c>
      <c r="F330" t="s">
        <v>1019</v>
      </c>
    </row>
    <row r="331" spans="1:7" x14ac:dyDescent="0.3">
      <c r="A331" t="s">
        <v>336</v>
      </c>
      <c r="B331" s="2">
        <v>45670.685416666667</v>
      </c>
      <c r="C331">
        <v>1724.8</v>
      </c>
      <c r="D331" t="s">
        <v>1009</v>
      </c>
      <c r="E331" t="s">
        <v>1015</v>
      </c>
      <c r="F331" t="s">
        <v>1019</v>
      </c>
    </row>
    <row r="332" spans="1:7" x14ac:dyDescent="0.3">
      <c r="A332" t="s">
        <v>337</v>
      </c>
      <c r="B332" s="2">
        <v>45699.916666666657</v>
      </c>
      <c r="C332">
        <v>4048.48</v>
      </c>
      <c r="D332" t="s">
        <v>1008</v>
      </c>
      <c r="E332" t="s">
        <v>1013</v>
      </c>
      <c r="F332" t="s">
        <v>1019</v>
      </c>
    </row>
    <row r="333" spans="1:7" x14ac:dyDescent="0.3">
      <c r="A333" t="s">
        <v>338</v>
      </c>
      <c r="B333" s="2">
        <v>45684.549305555563</v>
      </c>
      <c r="C333">
        <v>5784.55</v>
      </c>
      <c r="D333" t="s">
        <v>1010</v>
      </c>
      <c r="E333" t="s">
        <v>1014</v>
      </c>
      <c r="F333" t="s">
        <v>1020</v>
      </c>
      <c r="G333" t="s">
        <v>1025</v>
      </c>
    </row>
    <row r="334" spans="1:7" x14ac:dyDescent="0.3">
      <c r="A334" t="s">
        <v>339</v>
      </c>
      <c r="B334" s="2">
        <v>45668.405555555553</v>
      </c>
      <c r="C334">
        <v>5025.67</v>
      </c>
      <c r="D334" t="s">
        <v>1010</v>
      </c>
      <c r="E334" t="s">
        <v>1012</v>
      </c>
      <c r="F334" t="s">
        <v>1019</v>
      </c>
    </row>
    <row r="335" spans="1:7" x14ac:dyDescent="0.3">
      <c r="A335" t="s">
        <v>340</v>
      </c>
      <c r="B335" s="2">
        <v>45677.708333333343</v>
      </c>
      <c r="C335">
        <v>6594.2</v>
      </c>
      <c r="D335" t="s">
        <v>1008</v>
      </c>
      <c r="E335" t="s">
        <v>1015</v>
      </c>
      <c r="F335" t="s">
        <v>1019</v>
      </c>
    </row>
    <row r="336" spans="1:7" x14ac:dyDescent="0.3">
      <c r="A336" t="s">
        <v>341</v>
      </c>
      <c r="B336" s="2">
        <v>45743.887499999997</v>
      </c>
      <c r="C336">
        <v>1086.32</v>
      </c>
      <c r="D336" t="s">
        <v>1008</v>
      </c>
      <c r="E336" t="s">
        <v>1014</v>
      </c>
      <c r="F336" t="s">
        <v>1019</v>
      </c>
    </row>
    <row r="337" spans="1:7" x14ac:dyDescent="0.3">
      <c r="A337" t="s">
        <v>342</v>
      </c>
      <c r="B337" s="2">
        <v>45660.29583333333</v>
      </c>
      <c r="C337">
        <v>3953.72</v>
      </c>
      <c r="D337" t="s">
        <v>1007</v>
      </c>
      <c r="E337" t="s">
        <v>1017</v>
      </c>
      <c r="F337" t="s">
        <v>1020</v>
      </c>
      <c r="G337" t="s">
        <v>1026</v>
      </c>
    </row>
    <row r="338" spans="1:7" x14ac:dyDescent="0.3">
      <c r="A338" t="s">
        <v>343</v>
      </c>
      <c r="B338" s="2">
        <v>45715.724305555559</v>
      </c>
      <c r="C338">
        <v>5240.03</v>
      </c>
      <c r="D338" t="s">
        <v>1007</v>
      </c>
      <c r="E338" t="s">
        <v>1014</v>
      </c>
      <c r="F338" t="s">
        <v>1020</v>
      </c>
      <c r="G338" t="s">
        <v>1024</v>
      </c>
    </row>
    <row r="339" spans="1:7" x14ac:dyDescent="0.3">
      <c r="A339" t="s">
        <v>344</v>
      </c>
      <c r="B339" s="2">
        <v>45690.627083333333</v>
      </c>
      <c r="C339">
        <v>6810.47</v>
      </c>
      <c r="D339" t="s">
        <v>1009</v>
      </c>
      <c r="E339" t="s">
        <v>1013</v>
      </c>
      <c r="F339" t="s">
        <v>1019</v>
      </c>
    </row>
    <row r="340" spans="1:7" x14ac:dyDescent="0.3">
      <c r="A340" t="s">
        <v>345</v>
      </c>
      <c r="B340" s="2">
        <v>45706.18472222222</v>
      </c>
      <c r="C340">
        <v>9474.51</v>
      </c>
      <c r="D340" t="s">
        <v>1009</v>
      </c>
      <c r="E340" t="s">
        <v>1014</v>
      </c>
      <c r="F340" t="s">
        <v>1020</v>
      </c>
      <c r="G340" t="s">
        <v>1026</v>
      </c>
    </row>
    <row r="341" spans="1:7" x14ac:dyDescent="0.3">
      <c r="A341" t="s">
        <v>346</v>
      </c>
      <c r="B341" s="2">
        <v>45695.554166666669</v>
      </c>
      <c r="C341">
        <v>2155.04</v>
      </c>
      <c r="D341" t="s">
        <v>1010</v>
      </c>
      <c r="E341" t="s">
        <v>1017</v>
      </c>
      <c r="F341" t="s">
        <v>1019</v>
      </c>
    </row>
    <row r="342" spans="1:7" x14ac:dyDescent="0.3">
      <c r="A342" t="s">
        <v>347</v>
      </c>
      <c r="B342" s="2">
        <v>45733.486111111109</v>
      </c>
      <c r="C342">
        <v>7056.09</v>
      </c>
      <c r="D342" t="s">
        <v>1008</v>
      </c>
      <c r="E342" t="s">
        <v>1016</v>
      </c>
      <c r="F342" t="s">
        <v>1019</v>
      </c>
    </row>
    <row r="343" spans="1:7" x14ac:dyDescent="0.3">
      <c r="A343" t="s">
        <v>348</v>
      </c>
      <c r="B343" s="2">
        <v>45672.679861111108</v>
      </c>
      <c r="C343">
        <v>120.58</v>
      </c>
      <c r="D343" t="s">
        <v>1008</v>
      </c>
      <c r="E343" t="s">
        <v>1013</v>
      </c>
      <c r="F343" t="s">
        <v>1019</v>
      </c>
    </row>
    <row r="344" spans="1:7" x14ac:dyDescent="0.3">
      <c r="A344" t="s">
        <v>349</v>
      </c>
      <c r="B344" s="2">
        <v>45692.321527777778</v>
      </c>
      <c r="C344">
        <v>7625.5</v>
      </c>
      <c r="D344" t="s">
        <v>1010</v>
      </c>
      <c r="E344" t="s">
        <v>1012</v>
      </c>
      <c r="F344" t="s">
        <v>1020</v>
      </c>
      <c r="G344" t="s">
        <v>1021</v>
      </c>
    </row>
    <row r="345" spans="1:7" x14ac:dyDescent="0.3">
      <c r="A345" t="s">
        <v>350</v>
      </c>
      <c r="B345" s="2">
        <v>45740.554166666669</v>
      </c>
      <c r="C345">
        <v>4034.24</v>
      </c>
      <c r="D345" t="s">
        <v>1010</v>
      </c>
      <c r="E345" t="s">
        <v>1014</v>
      </c>
      <c r="F345" t="s">
        <v>1019</v>
      </c>
    </row>
    <row r="346" spans="1:7" x14ac:dyDescent="0.3">
      <c r="A346" t="s">
        <v>351</v>
      </c>
      <c r="B346" s="2">
        <v>45673.682638888888</v>
      </c>
      <c r="C346">
        <v>6693.99</v>
      </c>
      <c r="D346" t="s">
        <v>1008</v>
      </c>
      <c r="E346" t="s">
        <v>1016</v>
      </c>
      <c r="F346" t="s">
        <v>1020</v>
      </c>
      <c r="G346" t="s">
        <v>1025</v>
      </c>
    </row>
    <row r="347" spans="1:7" x14ac:dyDescent="0.3">
      <c r="A347" t="s">
        <v>352</v>
      </c>
      <c r="B347" s="2">
        <v>45658.967361111107</v>
      </c>
      <c r="C347">
        <v>3014.81</v>
      </c>
      <c r="D347" t="s">
        <v>1008</v>
      </c>
      <c r="E347" t="s">
        <v>1017</v>
      </c>
      <c r="F347" t="s">
        <v>1019</v>
      </c>
    </row>
    <row r="348" spans="1:7" x14ac:dyDescent="0.3">
      <c r="A348" t="s">
        <v>353</v>
      </c>
      <c r="B348" s="2">
        <v>45670.169444444437</v>
      </c>
      <c r="C348">
        <v>5695.66</v>
      </c>
      <c r="D348" t="s">
        <v>1009</v>
      </c>
      <c r="E348" t="s">
        <v>1012</v>
      </c>
      <c r="F348" t="s">
        <v>1019</v>
      </c>
    </row>
    <row r="349" spans="1:7" x14ac:dyDescent="0.3">
      <c r="A349" t="s">
        <v>354</v>
      </c>
      <c r="B349" s="2">
        <v>45736.42291666667</v>
      </c>
      <c r="C349">
        <v>5582.73</v>
      </c>
      <c r="D349" t="s">
        <v>1009</v>
      </c>
      <c r="E349" t="s">
        <v>1015</v>
      </c>
      <c r="F349" t="s">
        <v>1019</v>
      </c>
    </row>
    <row r="350" spans="1:7" x14ac:dyDescent="0.3">
      <c r="A350" t="s">
        <v>355</v>
      </c>
      <c r="B350" s="2">
        <v>45697.615277777782</v>
      </c>
      <c r="C350">
        <v>6188.93</v>
      </c>
      <c r="D350" t="s">
        <v>1011</v>
      </c>
      <c r="E350" t="s">
        <v>1013</v>
      </c>
      <c r="F350" t="s">
        <v>1019</v>
      </c>
    </row>
    <row r="351" spans="1:7" x14ac:dyDescent="0.3">
      <c r="A351" t="s">
        <v>356</v>
      </c>
      <c r="B351" s="2">
        <v>45683.158333333333</v>
      </c>
      <c r="C351">
        <v>6652.2</v>
      </c>
      <c r="D351" t="s">
        <v>1010</v>
      </c>
      <c r="E351" t="s">
        <v>1012</v>
      </c>
      <c r="F351" t="s">
        <v>1019</v>
      </c>
    </row>
    <row r="352" spans="1:7" x14ac:dyDescent="0.3">
      <c r="A352" t="s">
        <v>357</v>
      </c>
      <c r="B352" s="2">
        <v>45727.041666666657</v>
      </c>
      <c r="C352">
        <v>9326.4599999999991</v>
      </c>
      <c r="D352" t="s">
        <v>1007</v>
      </c>
      <c r="E352" t="s">
        <v>1016</v>
      </c>
      <c r="F352" t="s">
        <v>1019</v>
      </c>
    </row>
    <row r="353" spans="1:7" x14ac:dyDescent="0.3">
      <c r="A353" t="s">
        <v>358</v>
      </c>
      <c r="B353" s="2">
        <v>45743.445833333331</v>
      </c>
      <c r="C353">
        <v>1894.01</v>
      </c>
      <c r="D353" t="s">
        <v>1007</v>
      </c>
      <c r="E353" t="s">
        <v>1012</v>
      </c>
      <c r="F353" t="s">
        <v>1020</v>
      </c>
      <c r="G353" t="s">
        <v>1023</v>
      </c>
    </row>
    <row r="354" spans="1:7" x14ac:dyDescent="0.3">
      <c r="A354" t="s">
        <v>359</v>
      </c>
      <c r="B354" s="2">
        <v>45676.290277777778</v>
      </c>
      <c r="C354">
        <v>2344.61</v>
      </c>
      <c r="D354" t="s">
        <v>1008</v>
      </c>
      <c r="E354" t="s">
        <v>1013</v>
      </c>
      <c r="F354" t="s">
        <v>1019</v>
      </c>
    </row>
    <row r="355" spans="1:7" x14ac:dyDescent="0.3">
      <c r="A355" t="s">
        <v>360</v>
      </c>
      <c r="B355" s="2">
        <v>45687.030555555553</v>
      </c>
      <c r="C355">
        <v>2987.85</v>
      </c>
      <c r="D355" t="s">
        <v>1010</v>
      </c>
      <c r="E355" t="s">
        <v>1016</v>
      </c>
      <c r="F355" t="s">
        <v>1019</v>
      </c>
    </row>
    <row r="356" spans="1:7" x14ac:dyDescent="0.3">
      <c r="A356" t="s">
        <v>361</v>
      </c>
      <c r="B356" s="2">
        <v>45743.410416666673</v>
      </c>
      <c r="C356">
        <v>5561.18</v>
      </c>
      <c r="D356" t="s">
        <v>1010</v>
      </c>
      <c r="E356" t="s">
        <v>1017</v>
      </c>
      <c r="F356" t="s">
        <v>1019</v>
      </c>
    </row>
    <row r="357" spans="1:7" x14ac:dyDescent="0.3">
      <c r="A357" t="s">
        <v>362</v>
      </c>
      <c r="B357" s="2">
        <v>45746.511111111111</v>
      </c>
      <c r="C357">
        <v>7314.24</v>
      </c>
      <c r="D357" t="s">
        <v>1009</v>
      </c>
      <c r="E357" t="s">
        <v>1017</v>
      </c>
      <c r="F357" t="s">
        <v>1019</v>
      </c>
    </row>
    <row r="358" spans="1:7" x14ac:dyDescent="0.3">
      <c r="A358" t="s">
        <v>363</v>
      </c>
      <c r="B358" s="2">
        <v>45747.73333333333</v>
      </c>
      <c r="C358">
        <v>9919.15</v>
      </c>
      <c r="D358" t="s">
        <v>1009</v>
      </c>
      <c r="E358" t="s">
        <v>1012</v>
      </c>
      <c r="F358" t="s">
        <v>1019</v>
      </c>
    </row>
    <row r="359" spans="1:7" x14ac:dyDescent="0.3">
      <c r="A359" t="s">
        <v>364</v>
      </c>
      <c r="B359" s="2">
        <v>45743.940972222219</v>
      </c>
      <c r="C359">
        <v>5700.83</v>
      </c>
      <c r="D359" t="s">
        <v>1008</v>
      </c>
      <c r="E359" t="s">
        <v>1017</v>
      </c>
      <c r="F359" t="s">
        <v>1020</v>
      </c>
      <c r="G359" t="s">
        <v>1022</v>
      </c>
    </row>
    <row r="360" spans="1:7" x14ac:dyDescent="0.3">
      <c r="A360" t="s">
        <v>365</v>
      </c>
      <c r="B360" s="2">
        <v>45680.274305555547</v>
      </c>
      <c r="C360">
        <v>2305.38</v>
      </c>
      <c r="D360" t="s">
        <v>1009</v>
      </c>
      <c r="E360" t="s">
        <v>1013</v>
      </c>
      <c r="F360" t="s">
        <v>1020</v>
      </c>
      <c r="G360" t="s">
        <v>1024</v>
      </c>
    </row>
    <row r="361" spans="1:7" x14ac:dyDescent="0.3">
      <c r="A361" t="s">
        <v>366</v>
      </c>
      <c r="B361" s="2">
        <v>45666.323611111111</v>
      </c>
      <c r="C361">
        <v>766.5</v>
      </c>
      <c r="D361" t="s">
        <v>1011</v>
      </c>
      <c r="E361" t="s">
        <v>1013</v>
      </c>
      <c r="F361" t="s">
        <v>1020</v>
      </c>
      <c r="G361" t="s">
        <v>1024</v>
      </c>
    </row>
    <row r="362" spans="1:7" x14ac:dyDescent="0.3">
      <c r="A362" t="s">
        <v>367</v>
      </c>
      <c r="B362" s="2">
        <v>45730.829861111109</v>
      </c>
      <c r="C362">
        <v>6219.37</v>
      </c>
      <c r="D362" t="s">
        <v>1007</v>
      </c>
      <c r="E362" t="s">
        <v>1014</v>
      </c>
      <c r="F362" t="s">
        <v>1019</v>
      </c>
    </row>
    <row r="363" spans="1:7" x14ac:dyDescent="0.3">
      <c r="A363" t="s">
        <v>368</v>
      </c>
      <c r="B363" s="2">
        <v>45677.506249999999</v>
      </c>
      <c r="C363">
        <v>9398.58</v>
      </c>
      <c r="D363" t="s">
        <v>1011</v>
      </c>
      <c r="E363" t="s">
        <v>1017</v>
      </c>
      <c r="F363" t="s">
        <v>1019</v>
      </c>
    </row>
    <row r="364" spans="1:7" x14ac:dyDescent="0.3">
      <c r="A364" t="s">
        <v>369</v>
      </c>
      <c r="B364" s="2">
        <v>45711.05</v>
      </c>
      <c r="C364">
        <v>9726.2900000000009</v>
      </c>
      <c r="D364" t="s">
        <v>1008</v>
      </c>
      <c r="E364" t="s">
        <v>1014</v>
      </c>
      <c r="F364" t="s">
        <v>1020</v>
      </c>
      <c r="G364" t="s">
        <v>1024</v>
      </c>
    </row>
    <row r="365" spans="1:7" x14ac:dyDescent="0.3">
      <c r="A365" t="s">
        <v>370</v>
      </c>
      <c r="B365" s="2">
        <v>45709.775694444441</v>
      </c>
      <c r="C365">
        <v>3986.29</v>
      </c>
      <c r="D365" t="s">
        <v>1008</v>
      </c>
      <c r="E365" t="s">
        <v>1012</v>
      </c>
      <c r="F365" t="s">
        <v>1019</v>
      </c>
    </row>
    <row r="366" spans="1:7" x14ac:dyDescent="0.3">
      <c r="A366" t="s">
        <v>371</v>
      </c>
      <c r="B366" s="2">
        <v>45659.321527777778</v>
      </c>
      <c r="C366">
        <v>6718.96</v>
      </c>
      <c r="D366" t="s">
        <v>1010</v>
      </c>
      <c r="E366" t="s">
        <v>1017</v>
      </c>
      <c r="F366" t="s">
        <v>1020</v>
      </c>
      <c r="G366" t="s">
        <v>1022</v>
      </c>
    </row>
    <row r="367" spans="1:7" x14ac:dyDescent="0.3">
      <c r="A367" t="s">
        <v>372</v>
      </c>
      <c r="B367" s="2">
        <v>45682.254166666673</v>
      </c>
      <c r="C367">
        <v>3698.76</v>
      </c>
      <c r="D367" t="s">
        <v>1007</v>
      </c>
      <c r="E367" t="s">
        <v>1016</v>
      </c>
      <c r="F367" t="s">
        <v>1019</v>
      </c>
    </row>
    <row r="368" spans="1:7" x14ac:dyDescent="0.3">
      <c r="A368" t="s">
        <v>373</v>
      </c>
      <c r="B368" s="2">
        <v>45705.255555555559</v>
      </c>
      <c r="C368">
        <v>3851.46</v>
      </c>
      <c r="D368" t="s">
        <v>1007</v>
      </c>
      <c r="E368" t="s">
        <v>1016</v>
      </c>
      <c r="F368" t="s">
        <v>1019</v>
      </c>
    </row>
    <row r="369" spans="1:7" x14ac:dyDescent="0.3">
      <c r="A369" t="s">
        <v>374</v>
      </c>
      <c r="B369" s="2">
        <v>45701.354861111111</v>
      </c>
      <c r="C369">
        <v>6343.06</v>
      </c>
      <c r="D369" t="s">
        <v>1010</v>
      </c>
      <c r="E369" t="s">
        <v>1017</v>
      </c>
      <c r="F369" t="s">
        <v>1019</v>
      </c>
    </row>
    <row r="370" spans="1:7" x14ac:dyDescent="0.3">
      <c r="A370" t="s">
        <v>375</v>
      </c>
      <c r="B370" s="2">
        <v>45664.179861111108</v>
      </c>
      <c r="C370">
        <v>4293.71</v>
      </c>
      <c r="D370" t="s">
        <v>1010</v>
      </c>
      <c r="E370" t="s">
        <v>1016</v>
      </c>
      <c r="F370" t="s">
        <v>1019</v>
      </c>
    </row>
    <row r="371" spans="1:7" x14ac:dyDescent="0.3">
      <c r="A371" t="s">
        <v>376</v>
      </c>
      <c r="B371" s="2">
        <v>45709.463888888888</v>
      </c>
      <c r="C371">
        <v>7113.5</v>
      </c>
      <c r="D371" t="s">
        <v>1008</v>
      </c>
      <c r="E371" t="s">
        <v>1018</v>
      </c>
      <c r="F371" t="s">
        <v>1019</v>
      </c>
    </row>
    <row r="372" spans="1:7" x14ac:dyDescent="0.3">
      <c r="A372" t="s">
        <v>377</v>
      </c>
      <c r="B372" s="2">
        <v>45703.135416666657</v>
      </c>
      <c r="C372">
        <v>6403.14</v>
      </c>
      <c r="D372" t="s">
        <v>1009</v>
      </c>
      <c r="E372" t="s">
        <v>1018</v>
      </c>
      <c r="F372" t="s">
        <v>1019</v>
      </c>
    </row>
    <row r="373" spans="1:7" x14ac:dyDescent="0.3">
      <c r="A373" t="s">
        <v>378</v>
      </c>
      <c r="B373" s="2">
        <v>45745.643055555563</v>
      </c>
      <c r="C373">
        <v>8870.89</v>
      </c>
      <c r="D373" t="s">
        <v>1009</v>
      </c>
      <c r="E373" t="s">
        <v>1017</v>
      </c>
      <c r="F373" t="s">
        <v>1019</v>
      </c>
    </row>
    <row r="374" spans="1:7" x14ac:dyDescent="0.3">
      <c r="A374" t="s">
        <v>379</v>
      </c>
      <c r="B374" s="2">
        <v>45704.668055555558</v>
      </c>
      <c r="C374">
        <v>4229.1000000000004</v>
      </c>
      <c r="D374" t="s">
        <v>1008</v>
      </c>
      <c r="E374" t="s">
        <v>1015</v>
      </c>
      <c r="F374" t="s">
        <v>1019</v>
      </c>
    </row>
    <row r="375" spans="1:7" x14ac:dyDescent="0.3">
      <c r="A375" t="s">
        <v>380</v>
      </c>
      <c r="B375" s="2">
        <v>45688.273611111108</v>
      </c>
      <c r="C375">
        <v>1488.42</v>
      </c>
      <c r="D375" t="s">
        <v>1010</v>
      </c>
      <c r="E375" t="s">
        <v>1017</v>
      </c>
      <c r="F375" t="s">
        <v>1020</v>
      </c>
      <c r="G375" t="s">
        <v>1021</v>
      </c>
    </row>
    <row r="376" spans="1:7" x14ac:dyDescent="0.3">
      <c r="A376" t="s">
        <v>381</v>
      </c>
      <c r="B376" s="2">
        <v>45701.859027777777</v>
      </c>
      <c r="C376">
        <v>1962.05</v>
      </c>
      <c r="D376" t="s">
        <v>1011</v>
      </c>
      <c r="E376" t="s">
        <v>1014</v>
      </c>
      <c r="F376" t="s">
        <v>1019</v>
      </c>
    </row>
    <row r="377" spans="1:7" x14ac:dyDescent="0.3">
      <c r="A377" t="s">
        <v>382</v>
      </c>
      <c r="B377" s="2">
        <v>45696.618750000001</v>
      </c>
      <c r="C377">
        <v>5429.8</v>
      </c>
      <c r="D377" t="s">
        <v>1011</v>
      </c>
      <c r="E377" t="s">
        <v>1014</v>
      </c>
      <c r="F377" t="s">
        <v>1019</v>
      </c>
    </row>
    <row r="378" spans="1:7" x14ac:dyDescent="0.3">
      <c r="A378" t="s">
        <v>383</v>
      </c>
      <c r="B378" s="2">
        <v>45716.484027777777</v>
      </c>
      <c r="C378">
        <v>3027.04</v>
      </c>
      <c r="D378" t="s">
        <v>1009</v>
      </c>
      <c r="E378" t="s">
        <v>1012</v>
      </c>
      <c r="F378" t="s">
        <v>1019</v>
      </c>
    </row>
    <row r="379" spans="1:7" x14ac:dyDescent="0.3">
      <c r="A379" t="s">
        <v>384</v>
      </c>
      <c r="B379" s="2">
        <v>45700.473611111112</v>
      </c>
      <c r="C379">
        <v>1919.69</v>
      </c>
      <c r="D379" t="s">
        <v>1009</v>
      </c>
      <c r="E379" t="s">
        <v>1012</v>
      </c>
      <c r="F379" t="s">
        <v>1019</v>
      </c>
    </row>
    <row r="380" spans="1:7" x14ac:dyDescent="0.3">
      <c r="A380" t="s">
        <v>385</v>
      </c>
      <c r="B380" s="2">
        <v>45722.736111111109</v>
      </c>
      <c r="C380">
        <v>8769.2800000000007</v>
      </c>
      <c r="D380" t="s">
        <v>1007</v>
      </c>
      <c r="E380" t="s">
        <v>1015</v>
      </c>
      <c r="F380" t="s">
        <v>1019</v>
      </c>
    </row>
    <row r="381" spans="1:7" x14ac:dyDescent="0.3">
      <c r="A381" t="s">
        <v>386</v>
      </c>
      <c r="B381" s="2">
        <v>45702.658333333333</v>
      </c>
      <c r="C381">
        <v>7794.63</v>
      </c>
      <c r="D381" t="s">
        <v>1008</v>
      </c>
      <c r="E381" t="s">
        <v>1015</v>
      </c>
      <c r="F381" t="s">
        <v>1019</v>
      </c>
    </row>
    <row r="382" spans="1:7" x14ac:dyDescent="0.3">
      <c r="A382" t="s">
        <v>387</v>
      </c>
      <c r="B382" s="2">
        <v>45690.055555555547</v>
      </c>
      <c r="C382">
        <v>1835.55</v>
      </c>
      <c r="D382" t="s">
        <v>1009</v>
      </c>
      <c r="E382" t="s">
        <v>1018</v>
      </c>
      <c r="F382" t="s">
        <v>1019</v>
      </c>
    </row>
    <row r="383" spans="1:7" x14ac:dyDescent="0.3">
      <c r="A383" t="s">
        <v>388</v>
      </c>
      <c r="B383" s="2">
        <v>45665.593055555553</v>
      </c>
      <c r="C383">
        <v>4536.57</v>
      </c>
      <c r="D383" t="s">
        <v>1009</v>
      </c>
      <c r="E383" t="s">
        <v>1014</v>
      </c>
      <c r="F383" t="s">
        <v>1019</v>
      </c>
    </row>
    <row r="384" spans="1:7" x14ac:dyDescent="0.3">
      <c r="A384" t="s">
        <v>389</v>
      </c>
      <c r="B384" s="2">
        <v>45737.922222222223</v>
      </c>
      <c r="C384">
        <v>5183.8100000000004</v>
      </c>
      <c r="D384" t="s">
        <v>1010</v>
      </c>
      <c r="E384" t="s">
        <v>1018</v>
      </c>
      <c r="F384" t="s">
        <v>1019</v>
      </c>
    </row>
    <row r="385" spans="1:7" x14ac:dyDescent="0.3">
      <c r="A385" t="s">
        <v>390</v>
      </c>
      <c r="B385" s="2">
        <v>45679.757638888892</v>
      </c>
      <c r="C385">
        <v>5596.39</v>
      </c>
      <c r="D385" t="s">
        <v>1011</v>
      </c>
      <c r="E385" t="s">
        <v>1015</v>
      </c>
      <c r="F385" t="s">
        <v>1019</v>
      </c>
    </row>
    <row r="386" spans="1:7" x14ac:dyDescent="0.3">
      <c r="A386" t="s">
        <v>391</v>
      </c>
      <c r="B386" s="2">
        <v>45659.21875</v>
      </c>
      <c r="C386">
        <v>8274.89</v>
      </c>
      <c r="D386" t="s">
        <v>1010</v>
      </c>
      <c r="E386" t="s">
        <v>1013</v>
      </c>
      <c r="F386" t="s">
        <v>1019</v>
      </c>
    </row>
    <row r="387" spans="1:7" x14ac:dyDescent="0.3">
      <c r="A387" t="s">
        <v>392</v>
      </c>
      <c r="B387" s="2">
        <v>45682.788194444453</v>
      </c>
      <c r="C387">
        <v>3120.95</v>
      </c>
      <c r="D387" t="s">
        <v>1007</v>
      </c>
      <c r="E387" t="s">
        <v>1014</v>
      </c>
      <c r="F387" t="s">
        <v>1019</v>
      </c>
    </row>
    <row r="388" spans="1:7" x14ac:dyDescent="0.3">
      <c r="A388" t="s">
        <v>393</v>
      </c>
      <c r="B388" s="2">
        <v>45703.163194444453</v>
      </c>
      <c r="C388">
        <v>9541.09</v>
      </c>
      <c r="D388" t="s">
        <v>1011</v>
      </c>
      <c r="E388" t="s">
        <v>1016</v>
      </c>
      <c r="F388" t="s">
        <v>1019</v>
      </c>
    </row>
    <row r="389" spans="1:7" x14ac:dyDescent="0.3">
      <c r="A389" t="s">
        <v>394</v>
      </c>
      <c r="B389" s="2">
        <v>45672.276388888888</v>
      </c>
      <c r="C389">
        <v>7631.86</v>
      </c>
      <c r="D389" t="s">
        <v>1008</v>
      </c>
      <c r="E389" t="s">
        <v>1013</v>
      </c>
      <c r="F389" t="s">
        <v>1019</v>
      </c>
    </row>
    <row r="390" spans="1:7" x14ac:dyDescent="0.3">
      <c r="A390" t="s">
        <v>395</v>
      </c>
      <c r="B390" s="2">
        <v>45666.043749999997</v>
      </c>
      <c r="C390">
        <v>9009.02</v>
      </c>
      <c r="D390" t="s">
        <v>1009</v>
      </c>
      <c r="E390" t="s">
        <v>1014</v>
      </c>
      <c r="F390" t="s">
        <v>1019</v>
      </c>
    </row>
    <row r="391" spans="1:7" x14ac:dyDescent="0.3">
      <c r="A391" t="s">
        <v>396</v>
      </c>
      <c r="B391" s="2">
        <v>45746.200694444437</v>
      </c>
      <c r="C391">
        <v>9749.19</v>
      </c>
      <c r="D391" t="s">
        <v>1011</v>
      </c>
      <c r="E391" t="s">
        <v>1014</v>
      </c>
      <c r="F391" t="s">
        <v>1019</v>
      </c>
    </row>
    <row r="392" spans="1:7" x14ac:dyDescent="0.3">
      <c r="A392" t="s">
        <v>397</v>
      </c>
      <c r="B392" s="2">
        <v>45725.709722222222</v>
      </c>
      <c r="C392">
        <v>5934.1</v>
      </c>
      <c r="D392" t="s">
        <v>1007</v>
      </c>
      <c r="E392" t="s">
        <v>1012</v>
      </c>
      <c r="F392" t="s">
        <v>1019</v>
      </c>
    </row>
    <row r="393" spans="1:7" x14ac:dyDescent="0.3">
      <c r="A393" t="s">
        <v>398</v>
      </c>
      <c r="B393" s="2">
        <v>45717.053472222222</v>
      </c>
      <c r="C393">
        <v>355.99</v>
      </c>
      <c r="D393" t="s">
        <v>1009</v>
      </c>
      <c r="E393" t="s">
        <v>1014</v>
      </c>
      <c r="F393" t="s">
        <v>1019</v>
      </c>
    </row>
    <row r="394" spans="1:7" x14ac:dyDescent="0.3">
      <c r="A394" t="s">
        <v>399</v>
      </c>
      <c r="B394" s="2">
        <v>45710.707638888889</v>
      </c>
      <c r="C394">
        <v>1667.08</v>
      </c>
      <c r="D394" t="s">
        <v>1010</v>
      </c>
      <c r="E394" t="s">
        <v>1015</v>
      </c>
      <c r="F394" t="s">
        <v>1019</v>
      </c>
    </row>
    <row r="395" spans="1:7" x14ac:dyDescent="0.3">
      <c r="A395" t="s">
        <v>400</v>
      </c>
      <c r="B395" s="2">
        <v>45673.538888888892</v>
      </c>
      <c r="C395">
        <v>7819.44</v>
      </c>
      <c r="D395" t="s">
        <v>1011</v>
      </c>
      <c r="E395" t="s">
        <v>1017</v>
      </c>
      <c r="F395" t="s">
        <v>1019</v>
      </c>
    </row>
    <row r="396" spans="1:7" x14ac:dyDescent="0.3">
      <c r="A396" t="s">
        <v>401</v>
      </c>
      <c r="B396" s="2">
        <v>45731.226388888892</v>
      </c>
      <c r="C396">
        <v>5757.16</v>
      </c>
      <c r="D396" t="s">
        <v>1011</v>
      </c>
      <c r="E396" t="s">
        <v>1012</v>
      </c>
      <c r="F396" t="s">
        <v>1020</v>
      </c>
      <c r="G396" t="s">
        <v>1025</v>
      </c>
    </row>
    <row r="397" spans="1:7" x14ac:dyDescent="0.3">
      <c r="A397" t="s">
        <v>402</v>
      </c>
      <c r="B397" s="2">
        <v>45659.820833333331</v>
      </c>
      <c r="C397">
        <v>9706.74</v>
      </c>
      <c r="D397" t="s">
        <v>1008</v>
      </c>
      <c r="E397" t="s">
        <v>1018</v>
      </c>
      <c r="F397" t="s">
        <v>1019</v>
      </c>
    </row>
    <row r="398" spans="1:7" x14ac:dyDescent="0.3">
      <c r="A398" t="s">
        <v>403</v>
      </c>
      <c r="B398" s="2">
        <v>45659.695138888892</v>
      </c>
      <c r="C398">
        <v>3844.09</v>
      </c>
      <c r="D398" t="s">
        <v>1007</v>
      </c>
      <c r="E398" t="s">
        <v>1017</v>
      </c>
      <c r="F398" t="s">
        <v>1019</v>
      </c>
    </row>
    <row r="399" spans="1:7" x14ac:dyDescent="0.3">
      <c r="A399" t="s">
        <v>404</v>
      </c>
      <c r="B399" s="2">
        <v>45706.543055555558</v>
      </c>
      <c r="C399">
        <v>9361.8700000000008</v>
      </c>
      <c r="D399" t="s">
        <v>1008</v>
      </c>
      <c r="E399" t="s">
        <v>1018</v>
      </c>
      <c r="F399" t="s">
        <v>1020</v>
      </c>
      <c r="G399" t="s">
        <v>1026</v>
      </c>
    </row>
    <row r="400" spans="1:7" x14ac:dyDescent="0.3">
      <c r="A400" t="s">
        <v>405</v>
      </c>
      <c r="B400" s="2">
        <v>45674.716666666667</v>
      </c>
      <c r="C400">
        <v>1138.49</v>
      </c>
      <c r="D400" t="s">
        <v>1008</v>
      </c>
      <c r="E400" t="s">
        <v>1018</v>
      </c>
      <c r="F400" t="s">
        <v>1019</v>
      </c>
    </row>
    <row r="401" spans="1:7" x14ac:dyDescent="0.3">
      <c r="A401" t="s">
        <v>406</v>
      </c>
      <c r="B401" s="2">
        <v>45715.345138888893</v>
      </c>
      <c r="C401">
        <v>1070.97</v>
      </c>
      <c r="D401" t="s">
        <v>1011</v>
      </c>
      <c r="E401" t="s">
        <v>1014</v>
      </c>
      <c r="F401" t="s">
        <v>1019</v>
      </c>
    </row>
    <row r="402" spans="1:7" x14ac:dyDescent="0.3">
      <c r="A402" t="s">
        <v>407</v>
      </c>
      <c r="B402" s="2">
        <v>45715.022916666669</v>
      </c>
      <c r="C402">
        <v>7781.99</v>
      </c>
      <c r="D402" t="s">
        <v>1009</v>
      </c>
      <c r="E402" t="s">
        <v>1014</v>
      </c>
      <c r="F402" t="s">
        <v>1019</v>
      </c>
    </row>
    <row r="403" spans="1:7" x14ac:dyDescent="0.3">
      <c r="A403" t="s">
        <v>408</v>
      </c>
      <c r="B403" s="2">
        <v>45730.220833333333</v>
      </c>
      <c r="C403">
        <v>6599.22</v>
      </c>
      <c r="D403" t="s">
        <v>1008</v>
      </c>
      <c r="E403" t="s">
        <v>1014</v>
      </c>
      <c r="F403" t="s">
        <v>1019</v>
      </c>
    </row>
    <row r="404" spans="1:7" x14ac:dyDescent="0.3">
      <c r="A404" t="s">
        <v>409</v>
      </c>
      <c r="B404" s="2">
        <v>45659.222222222219</v>
      </c>
      <c r="C404">
        <v>7557.95</v>
      </c>
      <c r="D404" t="s">
        <v>1008</v>
      </c>
      <c r="E404" t="s">
        <v>1015</v>
      </c>
      <c r="F404" t="s">
        <v>1019</v>
      </c>
    </row>
    <row r="405" spans="1:7" x14ac:dyDescent="0.3">
      <c r="A405" t="s">
        <v>410</v>
      </c>
      <c r="B405" s="2">
        <v>45725.234722222223</v>
      </c>
      <c r="C405">
        <v>8327.4699999999993</v>
      </c>
      <c r="D405" t="s">
        <v>1009</v>
      </c>
      <c r="E405" t="s">
        <v>1013</v>
      </c>
      <c r="F405" t="s">
        <v>1020</v>
      </c>
      <c r="G405" t="s">
        <v>1022</v>
      </c>
    </row>
    <row r="406" spans="1:7" x14ac:dyDescent="0.3">
      <c r="A406" t="s">
        <v>411</v>
      </c>
      <c r="B406" s="2">
        <v>45694.131249999999</v>
      </c>
      <c r="C406">
        <v>188.9</v>
      </c>
      <c r="D406" t="s">
        <v>1009</v>
      </c>
      <c r="E406" t="s">
        <v>1017</v>
      </c>
      <c r="F406" t="s">
        <v>1019</v>
      </c>
    </row>
    <row r="407" spans="1:7" x14ac:dyDescent="0.3">
      <c r="A407" t="s">
        <v>412</v>
      </c>
      <c r="B407" s="2">
        <v>45715.675694444442</v>
      </c>
      <c r="C407">
        <v>1213.3499999999999</v>
      </c>
      <c r="D407" t="s">
        <v>1009</v>
      </c>
      <c r="E407" t="s">
        <v>1016</v>
      </c>
      <c r="F407" t="s">
        <v>1019</v>
      </c>
    </row>
    <row r="408" spans="1:7" x14ac:dyDescent="0.3">
      <c r="A408" t="s">
        <v>413</v>
      </c>
      <c r="B408" s="2">
        <v>45745.461805555547</v>
      </c>
      <c r="C408">
        <v>3627.39</v>
      </c>
      <c r="D408" t="s">
        <v>1007</v>
      </c>
      <c r="E408" t="s">
        <v>1015</v>
      </c>
      <c r="F408" t="s">
        <v>1019</v>
      </c>
    </row>
    <row r="409" spans="1:7" x14ac:dyDescent="0.3">
      <c r="A409" t="s">
        <v>414</v>
      </c>
      <c r="B409" s="2">
        <v>45693.600694444453</v>
      </c>
      <c r="C409">
        <v>7246.23</v>
      </c>
      <c r="D409" t="s">
        <v>1010</v>
      </c>
      <c r="E409" t="s">
        <v>1012</v>
      </c>
      <c r="F409" t="s">
        <v>1020</v>
      </c>
      <c r="G409" t="s">
        <v>1022</v>
      </c>
    </row>
    <row r="410" spans="1:7" x14ac:dyDescent="0.3">
      <c r="A410" t="s">
        <v>415</v>
      </c>
      <c r="B410" s="2">
        <v>45687.154861111107</v>
      </c>
      <c r="C410">
        <v>4063</v>
      </c>
      <c r="D410" t="s">
        <v>1008</v>
      </c>
      <c r="E410" t="s">
        <v>1012</v>
      </c>
      <c r="F410" t="s">
        <v>1019</v>
      </c>
    </row>
    <row r="411" spans="1:7" x14ac:dyDescent="0.3">
      <c r="A411" t="s">
        <v>416</v>
      </c>
      <c r="B411" s="2">
        <v>45738.725694444453</v>
      </c>
      <c r="C411">
        <v>4173.01</v>
      </c>
      <c r="D411" t="s">
        <v>1010</v>
      </c>
      <c r="E411" t="s">
        <v>1015</v>
      </c>
      <c r="F411" t="s">
        <v>1019</v>
      </c>
    </row>
    <row r="412" spans="1:7" x14ac:dyDescent="0.3">
      <c r="A412" t="s">
        <v>417</v>
      </c>
      <c r="B412" s="2">
        <v>45729.709027777782</v>
      </c>
      <c r="C412">
        <v>4759.38</v>
      </c>
      <c r="D412" t="s">
        <v>1008</v>
      </c>
      <c r="E412" t="s">
        <v>1018</v>
      </c>
      <c r="F412" t="s">
        <v>1019</v>
      </c>
    </row>
    <row r="413" spans="1:7" x14ac:dyDescent="0.3">
      <c r="A413" t="s">
        <v>418</v>
      </c>
      <c r="B413" s="2">
        <v>45718.879861111112</v>
      </c>
      <c r="C413">
        <v>5408.24</v>
      </c>
      <c r="D413" t="s">
        <v>1011</v>
      </c>
      <c r="E413" t="s">
        <v>1012</v>
      </c>
      <c r="F413" t="s">
        <v>1019</v>
      </c>
    </row>
    <row r="414" spans="1:7" x14ac:dyDescent="0.3">
      <c r="A414" t="s">
        <v>419</v>
      </c>
      <c r="B414" s="2">
        <v>45678.1875</v>
      </c>
      <c r="C414">
        <v>6258.15</v>
      </c>
      <c r="D414" t="s">
        <v>1009</v>
      </c>
      <c r="E414" t="s">
        <v>1012</v>
      </c>
      <c r="F414" t="s">
        <v>1019</v>
      </c>
    </row>
    <row r="415" spans="1:7" x14ac:dyDescent="0.3">
      <c r="A415" t="s">
        <v>420</v>
      </c>
      <c r="B415" s="2">
        <v>45730.762499999997</v>
      </c>
      <c r="C415">
        <v>4503.26</v>
      </c>
      <c r="D415" t="s">
        <v>1007</v>
      </c>
      <c r="E415" t="s">
        <v>1018</v>
      </c>
      <c r="F415" t="s">
        <v>1019</v>
      </c>
    </row>
    <row r="416" spans="1:7" x14ac:dyDescent="0.3">
      <c r="A416" t="s">
        <v>421</v>
      </c>
      <c r="B416" s="2">
        <v>45710.080555555563</v>
      </c>
      <c r="C416">
        <v>3447.82</v>
      </c>
      <c r="D416" t="s">
        <v>1010</v>
      </c>
      <c r="E416" t="s">
        <v>1015</v>
      </c>
      <c r="F416" t="s">
        <v>1019</v>
      </c>
    </row>
    <row r="417" spans="1:7" x14ac:dyDescent="0.3">
      <c r="A417" t="s">
        <v>422</v>
      </c>
      <c r="B417" s="2">
        <v>45676.135416666657</v>
      </c>
      <c r="C417">
        <v>8335.01</v>
      </c>
      <c r="D417" t="s">
        <v>1008</v>
      </c>
      <c r="E417" t="s">
        <v>1017</v>
      </c>
      <c r="F417" t="s">
        <v>1019</v>
      </c>
    </row>
    <row r="418" spans="1:7" x14ac:dyDescent="0.3">
      <c r="A418" t="s">
        <v>423</v>
      </c>
      <c r="B418" s="2">
        <v>45728.975694444453</v>
      </c>
      <c r="C418">
        <v>8870.16</v>
      </c>
      <c r="D418" t="s">
        <v>1011</v>
      </c>
      <c r="E418" t="s">
        <v>1012</v>
      </c>
      <c r="F418" t="s">
        <v>1019</v>
      </c>
    </row>
    <row r="419" spans="1:7" x14ac:dyDescent="0.3">
      <c r="A419" t="s">
        <v>424</v>
      </c>
      <c r="B419" s="2">
        <v>45659.313194444447</v>
      </c>
      <c r="C419">
        <v>7546.26</v>
      </c>
      <c r="D419" t="s">
        <v>1010</v>
      </c>
      <c r="E419" t="s">
        <v>1016</v>
      </c>
      <c r="F419" t="s">
        <v>1019</v>
      </c>
    </row>
    <row r="420" spans="1:7" x14ac:dyDescent="0.3">
      <c r="A420" t="s">
        <v>425</v>
      </c>
      <c r="B420" s="2">
        <v>45698.162499999999</v>
      </c>
      <c r="C420">
        <v>2052.61</v>
      </c>
      <c r="D420" t="s">
        <v>1010</v>
      </c>
      <c r="E420" t="s">
        <v>1012</v>
      </c>
      <c r="F420" t="s">
        <v>1019</v>
      </c>
    </row>
    <row r="421" spans="1:7" x14ac:dyDescent="0.3">
      <c r="A421" t="s">
        <v>426</v>
      </c>
      <c r="B421" s="2">
        <v>45711.9</v>
      </c>
      <c r="C421">
        <v>3916</v>
      </c>
      <c r="D421" t="s">
        <v>1008</v>
      </c>
      <c r="E421" t="s">
        <v>1016</v>
      </c>
      <c r="F421" t="s">
        <v>1019</v>
      </c>
    </row>
    <row r="422" spans="1:7" x14ac:dyDescent="0.3">
      <c r="A422" t="s">
        <v>427</v>
      </c>
      <c r="B422" s="2">
        <v>45704.794444444437</v>
      </c>
      <c r="C422">
        <v>5453.54</v>
      </c>
      <c r="D422" t="s">
        <v>1009</v>
      </c>
      <c r="E422" t="s">
        <v>1012</v>
      </c>
      <c r="F422" t="s">
        <v>1020</v>
      </c>
      <c r="G422" t="s">
        <v>1023</v>
      </c>
    </row>
    <row r="423" spans="1:7" x14ac:dyDescent="0.3">
      <c r="A423" t="s">
        <v>428</v>
      </c>
      <c r="B423" s="2">
        <v>45694.659722222219</v>
      </c>
      <c r="C423">
        <v>7049.93</v>
      </c>
      <c r="D423" t="s">
        <v>1009</v>
      </c>
      <c r="E423" t="s">
        <v>1013</v>
      </c>
      <c r="F423" t="s">
        <v>1019</v>
      </c>
    </row>
    <row r="424" spans="1:7" x14ac:dyDescent="0.3">
      <c r="A424" t="s">
        <v>429</v>
      </c>
      <c r="B424" s="2">
        <v>45661.140277777777</v>
      </c>
      <c r="C424">
        <v>3421.42</v>
      </c>
      <c r="D424" t="s">
        <v>1009</v>
      </c>
      <c r="E424" t="s">
        <v>1017</v>
      </c>
      <c r="F424" t="s">
        <v>1020</v>
      </c>
      <c r="G424" t="s">
        <v>1024</v>
      </c>
    </row>
    <row r="425" spans="1:7" x14ac:dyDescent="0.3">
      <c r="A425" t="s">
        <v>430</v>
      </c>
      <c r="B425" s="2">
        <v>45709.747916666667</v>
      </c>
      <c r="C425">
        <v>1722.4</v>
      </c>
      <c r="D425" t="s">
        <v>1008</v>
      </c>
      <c r="E425" t="s">
        <v>1012</v>
      </c>
      <c r="F425" t="s">
        <v>1019</v>
      </c>
    </row>
    <row r="426" spans="1:7" x14ac:dyDescent="0.3">
      <c r="A426" t="s">
        <v>431</v>
      </c>
      <c r="B426" s="2">
        <v>45726.992361111108</v>
      </c>
      <c r="C426">
        <v>7027.59</v>
      </c>
      <c r="D426" t="s">
        <v>1010</v>
      </c>
      <c r="E426" t="s">
        <v>1018</v>
      </c>
      <c r="F426" t="s">
        <v>1019</v>
      </c>
    </row>
    <row r="427" spans="1:7" x14ac:dyDescent="0.3">
      <c r="A427" t="s">
        <v>432</v>
      </c>
      <c r="B427" s="2">
        <v>45712.597916666673</v>
      </c>
      <c r="C427">
        <v>358.59</v>
      </c>
      <c r="D427" t="s">
        <v>1007</v>
      </c>
      <c r="E427" t="s">
        <v>1018</v>
      </c>
      <c r="F427" t="s">
        <v>1019</v>
      </c>
    </row>
    <row r="428" spans="1:7" x14ac:dyDescent="0.3">
      <c r="A428" t="s">
        <v>433</v>
      </c>
      <c r="B428" s="2">
        <v>45673.711805555547</v>
      </c>
      <c r="C428">
        <v>4156.42</v>
      </c>
      <c r="D428" t="s">
        <v>1009</v>
      </c>
      <c r="E428" t="s">
        <v>1013</v>
      </c>
      <c r="F428" t="s">
        <v>1019</v>
      </c>
    </row>
    <row r="429" spans="1:7" x14ac:dyDescent="0.3">
      <c r="A429" t="s">
        <v>434</v>
      </c>
      <c r="B429" s="2">
        <v>45668.428472222222</v>
      </c>
      <c r="C429">
        <v>7649.9</v>
      </c>
      <c r="D429" t="s">
        <v>1008</v>
      </c>
      <c r="E429" t="s">
        <v>1013</v>
      </c>
      <c r="F429" t="s">
        <v>1020</v>
      </c>
      <c r="G429" t="s">
        <v>1025</v>
      </c>
    </row>
    <row r="430" spans="1:7" x14ac:dyDescent="0.3">
      <c r="A430" t="s">
        <v>435</v>
      </c>
      <c r="B430" s="2">
        <v>45747.990972222222</v>
      </c>
      <c r="C430">
        <v>9373.9699999999993</v>
      </c>
      <c r="D430" t="s">
        <v>1007</v>
      </c>
      <c r="E430" t="s">
        <v>1017</v>
      </c>
      <c r="F430" t="s">
        <v>1019</v>
      </c>
    </row>
    <row r="431" spans="1:7" x14ac:dyDescent="0.3">
      <c r="A431" t="s">
        <v>436</v>
      </c>
      <c r="B431" s="2">
        <v>45674.413194444453</v>
      </c>
      <c r="C431">
        <v>4780.6000000000004</v>
      </c>
      <c r="D431" t="s">
        <v>1011</v>
      </c>
      <c r="E431" t="s">
        <v>1014</v>
      </c>
      <c r="F431" t="s">
        <v>1019</v>
      </c>
    </row>
    <row r="432" spans="1:7" x14ac:dyDescent="0.3">
      <c r="A432" t="s">
        <v>437</v>
      </c>
      <c r="B432" s="2">
        <v>45675.762499999997</v>
      </c>
      <c r="C432">
        <v>2237.36</v>
      </c>
      <c r="D432" t="s">
        <v>1011</v>
      </c>
      <c r="E432" t="s">
        <v>1017</v>
      </c>
      <c r="F432" t="s">
        <v>1019</v>
      </c>
    </row>
    <row r="433" spans="1:7" x14ac:dyDescent="0.3">
      <c r="A433" t="s">
        <v>438</v>
      </c>
      <c r="B433" s="2">
        <v>45662.468055555553</v>
      </c>
      <c r="C433">
        <v>1990.23</v>
      </c>
      <c r="D433" t="s">
        <v>1009</v>
      </c>
      <c r="E433" t="s">
        <v>1013</v>
      </c>
      <c r="F433" t="s">
        <v>1019</v>
      </c>
    </row>
    <row r="434" spans="1:7" x14ac:dyDescent="0.3">
      <c r="A434" t="s">
        <v>439</v>
      </c>
      <c r="B434" s="2">
        <v>45705.487500000003</v>
      </c>
      <c r="C434">
        <v>1698.85</v>
      </c>
      <c r="D434" t="s">
        <v>1008</v>
      </c>
      <c r="E434" t="s">
        <v>1016</v>
      </c>
      <c r="F434" t="s">
        <v>1019</v>
      </c>
    </row>
    <row r="435" spans="1:7" x14ac:dyDescent="0.3">
      <c r="A435" t="s">
        <v>440</v>
      </c>
      <c r="B435" s="2">
        <v>45705.413194444453</v>
      </c>
      <c r="C435">
        <v>6824.46</v>
      </c>
      <c r="D435" t="s">
        <v>1008</v>
      </c>
      <c r="E435" t="s">
        <v>1013</v>
      </c>
      <c r="F435" t="s">
        <v>1020</v>
      </c>
      <c r="G435" t="s">
        <v>1023</v>
      </c>
    </row>
    <row r="436" spans="1:7" x14ac:dyDescent="0.3">
      <c r="A436" t="s">
        <v>441</v>
      </c>
      <c r="B436" s="2">
        <v>45701.054166666669</v>
      </c>
      <c r="C436">
        <v>2562.85</v>
      </c>
      <c r="D436" t="s">
        <v>1009</v>
      </c>
      <c r="E436" t="s">
        <v>1016</v>
      </c>
      <c r="F436" t="s">
        <v>1019</v>
      </c>
    </row>
    <row r="437" spans="1:7" x14ac:dyDescent="0.3">
      <c r="A437" t="s">
        <v>442</v>
      </c>
      <c r="B437" s="2">
        <v>45734.414583333331</v>
      </c>
      <c r="C437">
        <v>7208.94</v>
      </c>
      <c r="D437" t="s">
        <v>1007</v>
      </c>
      <c r="E437" t="s">
        <v>1015</v>
      </c>
      <c r="F437" t="s">
        <v>1019</v>
      </c>
    </row>
    <row r="438" spans="1:7" x14ac:dyDescent="0.3">
      <c r="A438" t="s">
        <v>443</v>
      </c>
      <c r="B438" s="2">
        <v>45667.341666666667</v>
      </c>
      <c r="C438">
        <v>7087.98</v>
      </c>
      <c r="D438" t="s">
        <v>1008</v>
      </c>
      <c r="E438" t="s">
        <v>1012</v>
      </c>
      <c r="F438" t="s">
        <v>1019</v>
      </c>
    </row>
    <row r="439" spans="1:7" x14ac:dyDescent="0.3">
      <c r="A439" t="s">
        <v>444</v>
      </c>
      <c r="B439" s="2">
        <v>45729.134722222218</v>
      </c>
      <c r="C439">
        <v>7051.44</v>
      </c>
      <c r="D439" t="s">
        <v>1008</v>
      </c>
      <c r="E439" t="s">
        <v>1017</v>
      </c>
      <c r="F439" t="s">
        <v>1019</v>
      </c>
    </row>
    <row r="440" spans="1:7" x14ac:dyDescent="0.3">
      <c r="A440" t="s">
        <v>445</v>
      </c>
      <c r="B440" s="2">
        <v>45734.175000000003</v>
      </c>
      <c r="C440">
        <v>9514.19</v>
      </c>
      <c r="D440" t="s">
        <v>1008</v>
      </c>
      <c r="E440" t="s">
        <v>1013</v>
      </c>
      <c r="F440" t="s">
        <v>1019</v>
      </c>
    </row>
    <row r="441" spans="1:7" x14ac:dyDescent="0.3">
      <c r="A441" t="s">
        <v>446</v>
      </c>
      <c r="B441" s="2">
        <v>45700.356249999997</v>
      </c>
      <c r="C441">
        <v>7464.12</v>
      </c>
      <c r="D441" t="s">
        <v>1007</v>
      </c>
      <c r="E441" t="s">
        <v>1016</v>
      </c>
      <c r="F441" t="s">
        <v>1019</v>
      </c>
    </row>
    <row r="442" spans="1:7" x14ac:dyDescent="0.3">
      <c r="A442" t="s">
        <v>447</v>
      </c>
      <c r="B442" s="2">
        <v>45733.321527777778</v>
      </c>
      <c r="C442">
        <v>6380.34</v>
      </c>
      <c r="D442" t="s">
        <v>1010</v>
      </c>
      <c r="E442" t="s">
        <v>1015</v>
      </c>
      <c r="F442" t="s">
        <v>1019</v>
      </c>
    </row>
    <row r="443" spans="1:7" x14ac:dyDescent="0.3">
      <c r="A443" t="s">
        <v>448</v>
      </c>
      <c r="B443" s="2">
        <v>45720.015277777777</v>
      </c>
      <c r="C443">
        <v>3003.73</v>
      </c>
      <c r="D443" t="s">
        <v>1010</v>
      </c>
      <c r="E443" t="s">
        <v>1016</v>
      </c>
      <c r="F443" t="s">
        <v>1019</v>
      </c>
    </row>
    <row r="444" spans="1:7" x14ac:dyDescent="0.3">
      <c r="A444" t="s">
        <v>449</v>
      </c>
      <c r="B444" s="2">
        <v>45711.759027777778</v>
      </c>
      <c r="C444">
        <v>3756.58</v>
      </c>
      <c r="D444" t="s">
        <v>1008</v>
      </c>
      <c r="E444" t="s">
        <v>1013</v>
      </c>
      <c r="F444" t="s">
        <v>1019</v>
      </c>
    </row>
    <row r="445" spans="1:7" x14ac:dyDescent="0.3">
      <c r="A445" t="s">
        <v>450</v>
      </c>
      <c r="B445" s="2">
        <v>45730.854166666657</v>
      </c>
      <c r="C445">
        <v>2247.2800000000002</v>
      </c>
      <c r="D445" t="s">
        <v>1011</v>
      </c>
      <c r="E445" t="s">
        <v>1012</v>
      </c>
      <c r="F445" t="s">
        <v>1020</v>
      </c>
      <c r="G445" t="s">
        <v>1026</v>
      </c>
    </row>
    <row r="446" spans="1:7" x14ac:dyDescent="0.3">
      <c r="A446" t="s">
        <v>451</v>
      </c>
      <c r="B446" s="2">
        <v>45701.85</v>
      </c>
      <c r="C446">
        <v>7459.91</v>
      </c>
      <c r="D446" t="s">
        <v>1007</v>
      </c>
      <c r="E446" t="s">
        <v>1012</v>
      </c>
      <c r="F446" t="s">
        <v>1019</v>
      </c>
    </row>
    <row r="447" spans="1:7" x14ac:dyDescent="0.3">
      <c r="A447" t="s">
        <v>452</v>
      </c>
      <c r="B447" s="2">
        <v>45746.692361111112</v>
      </c>
      <c r="C447">
        <v>5696.98</v>
      </c>
      <c r="D447" t="s">
        <v>1010</v>
      </c>
      <c r="E447" t="s">
        <v>1014</v>
      </c>
      <c r="F447" t="s">
        <v>1019</v>
      </c>
    </row>
    <row r="448" spans="1:7" x14ac:dyDescent="0.3">
      <c r="A448" t="s">
        <v>453</v>
      </c>
      <c r="B448" s="2">
        <v>45745.39166666667</v>
      </c>
      <c r="C448">
        <v>8437.86</v>
      </c>
      <c r="D448" t="s">
        <v>1010</v>
      </c>
      <c r="E448" t="s">
        <v>1018</v>
      </c>
      <c r="F448" t="s">
        <v>1020</v>
      </c>
      <c r="G448" t="s">
        <v>1026</v>
      </c>
    </row>
    <row r="449" spans="1:7" x14ac:dyDescent="0.3">
      <c r="A449" t="s">
        <v>454</v>
      </c>
      <c r="B449" s="2">
        <v>45741.378472222219</v>
      </c>
      <c r="C449">
        <v>5193.59</v>
      </c>
      <c r="D449" t="s">
        <v>1009</v>
      </c>
      <c r="E449" t="s">
        <v>1018</v>
      </c>
      <c r="F449" t="s">
        <v>1019</v>
      </c>
    </row>
    <row r="450" spans="1:7" x14ac:dyDescent="0.3">
      <c r="A450" t="s">
        <v>455</v>
      </c>
      <c r="B450" s="2">
        <v>45743.59375</v>
      </c>
      <c r="C450">
        <v>4420.25</v>
      </c>
      <c r="D450" t="s">
        <v>1009</v>
      </c>
      <c r="E450" t="s">
        <v>1017</v>
      </c>
      <c r="F450" t="s">
        <v>1020</v>
      </c>
      <c r="G450" t="s">
        <v>1022</v>
      </c>
    </row>
    <row r="451" spans="1:7" x14ac:dyDescent="0.3">
      <c r="A451" t="s">
        <v>456</v>
      </c>
      <c r="B451" s="2">
        <v>45724.719444444447</v>
      </c>
      <c r="C451">
        <v>5499.88</v>
      </c>
      <c r="D451" t="s">
        <v>1008</v>
      </c>
      <c r="E451" t="s">
        <v>1016</v>
      </c>
      <c r="F451" t="s">
        <v>1019</v>
      </c>
    </row>
    <row r="452" spans="1:7" x14ac:dyDescent="0.3">
      <c r="A452" t="s">
        <v>457</v>
      </c>
      <c r="B452" s="2">
        <v>45746.115277777782</v>
      </c>
      <c r="C452">
        <v>3776.96</v>
      </c>
      <c r="D452" t="s">
        <v>1008</v>
      </c>
      <c r="E452" t="s">
        <v>1014</v>
      </c>
      <c r="F452" t="s">
        <v>1019</v>
      </c>
    </row>
    <row r="453" spans="1:7" x14ac:dyDescent="0.3">
      <c r="A453" t="s">
        <v>458</v>
      </c>
      <c r="B453" s="2">
        <v>45692.305555555547</v>
      </c>
      <c r="C453">
        <v>5180.4799999999996</v>
      </c>
      <c r="D453" t="s">
        <v>1009</v>
      </c>
      <c r="E453" t="s">
        <v>1018</v>
      </c>
      <c r="F453" t="s">
        <v>1019</v>
      </c>
    </row>
    <row r="454" spans="1:7" x14ac:dyDescent="0.3">
      <c r="A454" t="s">
        <v>459</v>
      </c>
      <c r="B454" s="2">
        <v>45684.037499999999</v>
      </c>
      <c r="C454">
        <v>9864.4699999999993</v>
      </c>
      <c r="D454" t="s">
        <v>1010</v>
      </c>
      <c r="E454" t="s">
        <v>1015</v>
      </c>
      <c r="F454" t="s">
        <v>1019</v>
      </c>
    </row>
    <row r="455" spans="1:7" x14ac:dyDescent="0.3">
      <c r="A455" t="s">
        <v>460</v>
      </c>
      <c r="B455" s="2">
        <v>45742.954861111109</v>
      </c>
      <c r="C455">
        <v>8846.56</v>
      </c>
      <c r="D455" t="s">
        <v>1009</v>
      </c>
      <c r="E455" t="s">
        <v>1013</v>
      </c>
      <c r="F455" t="s">
        <v>1019</v>
      </c>
    </row>
    <row r="456" spans="1:7" x14ac:dyDescent="0.3">
      <c r="A456" t="s">
        <v>461</v>
      </c>
      <c r="B456" s="2">
        <v>45672.487500000003</v>
      </c>
      <c r="C456">
        <v>6375.1</v>
      </c>
      <c r="D456" t="s">
        <v>1008</v>
      </c>
      <c r="E456" t="s">
        <v>1016</v>
      </c>
      <c r="F456" t="s">
        <v>1019</v>
      </c>
    </row>
    <row r="457" spans="1:7" x14ac:dyDescent="0.3">
      <c r="A457" t="s">
        <v>462</v>
      </c>
      <c r="B457" s="2">
        <v>45747.904861111107</v>
      </c>
      <c r="C457">
        <v>9433.51</v>
      </c>
      <c r="D457" t="s">
        <v>1010</v>
      </c>
      <c r="E457" t="s">
        <v>1015</v>
      </c>
      <c r="F457" t="s">
        <v>1019</v>
      </c>
    </row>
    <row r="458" spans="1:7" x14ac:dyDescent="0.3">
      <c r="A458" t="s">
        <v>463</v>
      </c>
      <c r="B458" s="2">
        <v>45692.710416666669</v>
      </c>
      <c r="C458">
        <v>607.5</v>
      </c>
      <c r="D458" t="s">
        <v>1009</v>
      </c>
      <c r="E458" t="s">
        <v>1012</v>
      </c>
      <c r="F458" t="s">
        <v>1019</v>
      </c>
    </row>
    <row r="459" spans="1:7" x14ac:dyDescent="0.3">
      <c r="A459" t="s">
        <v>464</v>
      </c>
      <c r="B459" s="2">
        <v>45715.115277777782</v>
      </c>
      <c r="C459">
        <v>5389.43</v>
      </c>
      <c r="D459" t="s">
        <v>1008</v>
      </c>
      <c r="E459" t="s">
        <v>1015</v>
      </c>
      <c r="F459" t="s">
        <v>1019</v>
      </c>
    </row>
    <row r="460" spans="1:7" x14ac:dyDescent="0.3">
      <c r="A460" t="s">
        <v>465</v>
      </c>
      <c r="B460" s="2">
        <v>45738.679861111108</v>
      </c>
      <c r="C460">
        <v>3702.26</v>
      </c>
      <c r="D460" t="s">
        <v>1009</v>
      </c>
      <c r="E460" t="s">
        <v>1015</v>
      </c>
      <c r="F460" t="s">
        <v>1019</v>
      </c>
    </row>
    <row r="461" spans="1:7" x14ac:dyDescent="0.3">
      <c r="A461" t="s">
        <v>466</v>
      </c>
      <c r="B461" s="2">
        <v>45704.9</v>
      </c>
      <c r="C461">
        <v>8660.5300000000007</v>
      </c>
      <c r="D461" t="s">
        <v>1007</v>
      </c>
      <c r="E461" t="s">
        <v>1018</v>
      </c>
      <c r="F461" t="s">
        <v>1020</v>
      </c>
      <c r="G461" t="s">
        <v>1021</v>
      </c>
    </row>
    <row r="462" spans="1:7" x14ac:dyDescent="0.3">
      <c r="A462" t="s">
        <v>467</v>
      </c>
      <c r="B462" s="2">
        <v>45701.42291666667</v>
      </c>
      <c r="C462">
        <v>6793.95</v>
      </c>
      <c r="D462" t="s">
        <v>1007</v>
      </c>
      <c r="E462" t="s">
        <v>1017</v>
      </c>
      <c r="F462" t="s">
        <v>1019</v>
      </c>
    </row>
    <row r="463" spans="1:7" x14ac:dyDescent="0.3">
      <c r="A463" t="s">
        <v>468</v>
      </c>
      <c r="B463" s="2">
        <v>45713.07916666667</v>
      </c>
      <c r="C463">
        <v>3682.13</v>
      </c>
      <c r="D463" t="s">
        <v>1008</v>
      </c>
      <c r="E463" t="s">
        <v>1015</v>
      </c>
      <c r="F463" t="s">
        <v>1019</v>
      </c>
    </row>
    <row r="464" spans="1:7" x14ac:dyDescent="0.3">
      <c r="A464" t="s">
        <v>469</v>
      </c>
      <c r="B464" s="2">
        <v>45663.254166666673</v>
      </c>
      <c r="C464">
        <v>9579.74</v>
      </c>
      <c r="D464" t="s">
        <v>1009</v>
      </c>
      <c r="E464" t="s">
        <v>1012</v>
      </c>
      <c r="F464" t="s">
        <v>1020</v>
      </c>
      <c r="G464" t="s">
        <v>1022</v>
      </c>
    </row>
    <row r="465" spans="1:7" x14ac:dyDescent="0.3">
      <c r="A465" t="s">
        <v>470</v>
      </c>
      <c r="B465" s="2">
        <v>45695.861805555563</v>
      </c>
      <c r="C465">
        <v>7508.96</v>
      </c>
      <c r="D465" t="s">
        <v>1007</v>
      </c>
      <c r="E465" t="s">
        <v>1015</v>
      </c>
      <c r="F465" t="s">
        <v>1019</v>
      </c>
    </row>
    <row r="466" spans="1:7" x14ac:dyDescent="0.3">
      <c r="A466" t="s">
        <v>471</v>
      </c>
      <c r="B466" s="2">
        <v>45716.100694444453</v>
      </c>
      <c r="C466">
        <v>344.88</v>
      </c>
      <c r="D466" t="s">
        <v>1007</v>
      </c>
      <c r="E466" t="s">
        <v>1015</v>
      </c>
      <c r="F466" t="s">
        <v>1019</v>
      </c>
    </row>
    <row r="467" spans="1:7" x14ac:dyDescent="0.3">
      <c r="A467" t="s">
        <v>472</v>
      </c>
      <c r="B467" s="2">
        <v>45702.302083333343</v>
      </c>
      <c r="C467">
        <v>6191.51</v>
      </c>
      <c r="D467" t="s">
        <v>1010</v>
      </c>
      <c r="E467" t="s">
        <v>1015</v>
      </c>
      <c r="F467" t="s">
        <v>1019</v>
      </c>
    </row>
    <row r="468" spans="1:7" x14ac:dyDescent="0.3">
      <c r="A468" t="s">
        <v>473</v>
      </c>
      <c r="B468" s="2">
        <v>45682.269444444442</v>
      </c>
      <c r="C468">
        <v>1898.84</v>
      </c>
      <c r="D468" t="s">
        <v>1011</v>
      </c>
      <c r="E468" t="s">
        <v>1014</v>
      </c>
      <c r="F468" t="s">
        <v>1019</v>
      </c>
    </row>
    <row r="469" spans="1:7" x14ac:dyDescent="0.3">
      <c r="A469" t="s">
        <v>474</v>
      </c>
      <c r="B469" s="2">
        <v>45689.871527777781</v>
      </c>
      <c r="C469">
        <v>5887.58</v>
      </c>
      <c r="D469" t="s">
        <v>1010</v>
      </c>
      <c r="E469" t="s">
        <v>1015</v>
      </c>
      <c r="F469" t="s">
        <v>1019</v>
      </c>
    </row>
    <row r="470" spans="1:7" x14ac:dyDescent="0.3">
      <c r="A470" t="s">
        <v>475</v>
      </c>
      <c r="B470" s="2">
        <v>45735.198611111111</v>
      </c>
      <c r="C470">
        <v>8269.07</v>
      </c>
      <c r="D470" t="s">
        <v>1008</v>
      </c>
      <c r="E470" t="s">
        <v>1012</v>
      </c>
      <c r="F470" t="s">
        <v>1019</v>
      </c>
    </row>
    <row r="471" spans="1:7" x14ac:dyDescent="0.3">
      <c r="A471" t="s">
        <v>476</v>
      </c>
      <c r="B471" s="2">
        <v>45661.823611111111</v>
      </c>
      <c r="C471">
        <v>6994.89</v>
      </c>
      <c r="D471" t="s">
        <v>1008</v>
      </c>
      <c r="E471" t="s">
        <v>1012</v>
      </c>
      <c r="F471" t="s">
        <v>1020</v>
      </c>
      <c r="G471" t="s">
        <v>1022</v>
      </c>
    </row>
    <row r="472" spans="1:7" x14ac:dyDescent="0.3">
      <c r="A472" t="s">
        <v>477</v>
      </c>
      <c r="B472" s="2">
        <v>45681.186111111107</v>
      </c>
      <c r="C472">
        <v>822.97</v>
      </c>
      <c r="D472" t="s">
        <v>1010</v>
      </c>
      <c r="E472" t="s">
        <v>1013</v>
      </c>
      <c r="F472" t="s">
        <v>1020</v>
      </c>
      <c r="G472" t="s">
        <v>1021</v>
      </c>
    </row>
    <row r="473" spans="1:7" x14ac:dyDescent="0.3">
      <c r="A473" t="s">
        <v>478</v>
      </c>
      <c r="B473" s="2">
        <v>45662.104166666657</v>
      </c>
      <c r="C473">
        <v>4121.57</v>
      </c>
      <c r="D473" t="s">
        <v>1010</v>
      </c>
      <c r="E473" t="s">
        <v>1016</v>
      </c>
      <c r="F473" t="s">
        <v>1019</v>
      </c>
    </row>
    <row r="474" spans="1:7" x14ac:dyDescent="0.3">
      <c r="A474" t="s">
        <v>479</v>
      </c>
      <c r="B474" s="2">
        <v>45700.586805555547</v>
      </c>
      <c r="C474">
        <v>6941.72</v>
      </c>
      <c r="D474" t="s">
        <v>1011</v>
      </c>
      <c r="E474" t="s">
        <v>1017</v>
      </c>
      <c r="F474" t="s">
        <v>1019</v>
      </c>
    </row>
    <row r="475" spans="1:7" x14ac:dyDescent="0.3">
      <c r="A475" t="s">
        <v>480</v>
      </c>
      <c r="B475" s="2">
        <v>45678.018750000003</v>
      </c>
      <c r="C475">
        <v>2992.19</v>
      </c>
      <c r="D475" t="s">
        <v>1008</v>
      </c>
      <c r="E475" t="s">
        <v>1018</v>
      </c>
      <c r="F475" t="s">
        <v>1019</v>
      </c>
    </row>
    <row r="476" spans="1:7" x14ac:dyDescent="0.3">
      <c r="A476" t="s">
        <v>481</v>
      </c>
      <c r="B476" s="2">
        <v>45693.263888888891</v>
      </c>
      <c r="C476">
        <v>8037.46</v>
      </c>
      <c r="D476" t="s">
        <v>1009</v>
      </c>
      <c r="E476" t="s">
        <v>1012</v>
      </c>
      <c r="F476" t="s">
        <v>1019</v>
      </c>
    </row>
    <row r="477" spans="1:7" x14ac:dyDescent="0.3">
      <c r="A477" t="s">
        <v>482</v>
      </c>
      <c r="B477" s="2">
        <v>45675.288888888892</v>
      </c>
      <c r="C477">
        <v>3245.14</v>
      </c>
      <c r="D477" t="s">
        <v>1010</v>
      </c>
      <c r="E477" t="s">
        <v>1017</v>
      </c>
      <c r="F477" t="s">
        <v>1019</v>
      </c>
    </row>
    <row r="478" spans="1:7" x14ac:dyDescent="0.3">
      <c r="A478" t="s">
        <v>483</v>
      </c>
      <c r="B478" s="2">
        <v>45742.256944444453</v>
      </c>
      <c r="C478">
        <v>9196.1299999999992</v>
      </c>
      <c r="D478" t="s">
        <v>1007</v>
      </c>
      <c r="E478" t="s">
        <v>1012</v>
      </c>
      <c r="F478" t="s">
        <v>1019</v>
      </c>
    </row>
    <row r="479" spans="1:7" x14ac:dyDescent="0.3">
      <c r="A479" t="s">
        <v>484</v>
      </c>
      <c r="B479" s="2">
        <v>45661.348611111112</v>
      </c>
      <c r="C479">
        <v>9088.5300000000007</v>
      </c>
      <c r="D479" t="s">
        <v>1010</v>
      </c>
      <c r="E479" t="s">
        <v>1016</v>
      </c>
      <c r="F479" t="s">
        <v>1019</v>
      </c>
    </row>
    <row r="480" spans="1:7" x14ac:dyDescent="0.3">
      <c r="A480" t="s">
        <v>485</v>
      </c>
      <c r="B480" s="2">
        <v>45716.995138888888</v>
      </c>
      <c r="C480">
        <v>4007.53</v>
      </c>
      <c r="D480" t="s">
        <v>1011</v>
      </c>
      <c r="E480" t="s">
        <v>1016</v>
      </c>
      <c r="F480" t="s">
        <v>1019</v>
      </c>
    </row>
    <row r="481" spans="1:7" x14ac:dyDescent="0.3">
      <c r="A481" t="s">
        <v>486</v>
      </c>
      <c r="B481" s="2">
        <v>45731.491666666669</v>
      </c>
      <c r="C481">
        <v>8077.4</v>
      </c>
      <c r="D481" t="s">
        <v>1008</v>
      </c>
      <c r="E481" t="s">
        <v>1012</v>
      </c>
      <c r="F481" t="s">
        <v>1019</v>
      </c>
    </row>
    <row r="482" spans="1:7" x14ac:dyDescent="0.3">
      <c r="A482" t="s">
        <v>487</v>
      </c>
      <c r="B482" s="2">
        <v>45705.229861111111</v>
      </c>
      <c r="C482">
        <v>8610.36</v>
      </c>
      <c r="D482" t="s">
        <v>1011</v>
      </c>
      <c r="E482" t="s">
        <v>1014</v>
      </c>
      <c r="F482" t="s">
        <v>1019</v>
      </c>
    </row>
    <row r="483" spans="1:7" x14ac:dyDescent="0.3">
      <c r="A483" t="s">
        <v>488</v>
      </c>
      <c r="B483" s="2">
        <v>45696.01666666667</v>
      </c>
      <c r="C483">
        <v>8346.74</v>
      </c>
      <c r="D483" t="s">
        <v>1007</v>
      </c>
      <c r="E483" t="s">
        <v>1017</v>
      </c>
      <c r="F483" t="s">
        <v>1020</v>
      </c>
      <c r="G483" t="s">
        <v>1025</v>
      </c>
    </row>
    <row r="484" spans="1:7" x14ac:dyDescent="0.3">
      <c r="A484" t="s">
        <v>489</v>
      </c>
      <c r="B484" s="2">
        <v>45700.855555555558</v>
      </c>
      <c r="C484">
        <v>7148.4</v>
      </c>
      <c r="D484" t="s">
        <v>1009</v>
      </c>
      <c r="E484" t="s">
        <v>1014</v>
      </c>
      <c r="F484" t="s">
        <v>1019</v>
      </c>
    </row>
    <row r="485" spans="1:7" x14ac:dyDescent="0.3">
      <c r="A485" t="s">
        <v>490</v>
      </c>
      <c r="B485" s="2">
        <v>45661.302777777782</v>
      </c>
      <c r="C485">
        <v>8315.3700000000008</v>
      </c>
      <c r="D485" t="s">
        <v>1009</v>
      </c>
      <c r="E485" t="s">
        <v>1018</v>
      </c>
      <c r="F485" t="s">
        <v>1019</v>
      </c>
    </row>
    <row r="486" spans="1:7" x14ac:dyDescent="0.3">
      <c r="A486" t="s">
        <v>491</v>
      </c>
      <c r="B486" s="2">
        <v>45699.388194444437</v>
      </c>
      <c r="C486">
        <v>2467.1</v>
      </c>
      <c r="D486" t="s">
        <v>1008</v>
      </c>
      <c r="E486" t="s">
        <v>1013</v>
      </c>
      <c r="F486" t="s">
        <v>1019</v>
      </c>
    </row>
    <row r="487" spans="1:7" x14ac:dyDescent="0.3">
      <c r="A487" t="s">
        <v>492</v>
      </c>
      <c r="B487" s="2">
        <v>45731.020833333343</v>
      </c>
      <c r="C487">
        <v>2319.25</v>
      </c>
      <c r="D487" t="s">
        <v>1011</v>
      </c>
      <c r="E487" t="s">
        <v>1018</v>
      </c>
      <c r="F487" t="s">
        <v>1019</v>
      </c>
    </row>
    <row r="488" spans="1:7" x14ac:dyDescent="0.3">
      <c r="A488" t="s">
        <v>493</v>
      </c>
      <c r="B488" s="2">
        <v>45747.809027777781</v>
      </c>
      <c r="C488">
        <v>3927.06</v>
      </c>
      <c r="D488" t="s">
        <v>1009</v>
      </c>
      <c r="E488" t="s">
        <v>1017</v>
      </c>
      <c r="F488" t="s">
        <v>1019</v>
      </c>
    </row>
    <row r="489" spans="1:7" x14ac:dyDescent="0.3">
      <c r="A489" t="s">
        <v>494</v>
      </c>
      <c r="B489" s="2">
        <v>45670.893055555563</v>
      </c>
      <c r="C489">
        <v>6754.41</v>
      </c>
      <c r="D489" t="s">
        <v>1010</v>
      </c>
      <c r="E489" t="s">
        <v>1013</v>
      </c>
      <c r="F489" t="s">
        <v>1020</v>
      </c>
      <c r="G489" t="s">
        <v>1026</v>
      </c>
    </row>
    <row r="490" spans="1:7" x14ac:dyDescent="0.3">
      <c r="A490" t="s">
        <v>495</v>
      </c>
      <c r="B490" s="2">
        <v>45672.68472222222</v>
      </c>
      <c r="C490">
        <v>3903.31</v>
      </c>
      <c r="D490" t="s">
        <v>1010</v>
      </c>
      <c r="E490" t="s">
        <v>1018</v>
      </c>
      <c r="F490" t="s">
        <v>1019</v>
      </c>
    </row>
    <row r="491" spans="1:7" x14ac:dyDescent="0.3">
      <c r="A491" t="s">
        <v>496</v>
      </c>
      <c r="B491" s="2">
        <v>45672.93472222222</v>
      </c>
      <c r="C491">
        <v>319.52</v>
      </c>
      <c r="D491" t="s">
        <v>1009</v>
      </c>
      <c r="E491" t="s">
        <v>1015</v>
      </c>
      <c r="F491" t="s">
        <v>1019</v>
      </c>
    </row>
    <row r="492" spans="1:7" x14ac:dyDescent="0.3">
      <c r="A492" t="s">
        <v>497</v>
      </c>
      <c r="B492" s="2">
        <v>45702.050694444442</v>
      </c>
      <c r="C492">
        <v>6994.35</v>
      </c>
      <c r="D492" t="s">
        <v>1010</v>
      </c>
      <c r="E492" t="s">
        <v>1017</v>
      </c>
      <c r="F492" t="s">
        <v>1019</v>
      </c>
    </row>
    <row r="493" spans="1:7" x14ac:dyDescent="0.3">
      <c r="A493" t="s">
        <v>498</v>
      </c>
      <c r="B493" s="2">
        <v>45702.781944444447</v>
      </c>
      <c r="C493">
        <v>3698.56</v>
      </c>
      <c r="D493" t="s">
        <v>1010</v>
      </c>
      <c r="E493" t="s">
        <v>1015</v>
      </c>
      <c r="F493" t="s">
        <v>1019</v>
      </c>
    </row>
    <row r="494" spans="1:7" x14ac:dyDescent="0.3">
      <c r="A494" t="s">
        <v>499</v>
      </c>
      <c r="B494" s="2">
        <v>45710.554166666669</v>
      </c>
      <c r="C494">
        <v>1330.84</v>
      </c>
      <c r="D494" t="s">
        <v>1009</v>
      </c>
      <c r="E494" t="s">
        <v>1015</v>
      </c>
      <c r="F494" t="s">
        <v>1019</v>
      </c>
    </row>
    <row r="495" spans="1:7" x14ac:dyDescent="0.3">
      <c r="A495" t="s">
        <v>500</v>
      </c>
      <c r="B495" s="2">
        <v>45667.588194444441</v>
      </c>
      <c r="C495">
        <v>854.41</v>
      </c>
      <c r="D495" t="s">
        <v>1009</v>
      </c>
      <c r="E495" t="s">
        <v>1016</v>
      </c>
      <c r="F495" t="s">
        <v>1019</v>
      </c>
    </row>
    <row r="496" spans="1:7" x14ac:dyDescent="0.3">
      <c r="A496" t="s">
        <v>501</v>
      </c>
      <c r="B496" s="2">
        <v>45739.76458333333</v>
      </c>
      <c r="C496">
        <v>1195.8399999999999</v>
      </c>
      <c r="D496" t="s">
        <v>1009</v>
      </c>
      <c r="E496" t="s">
        <v>1016</v>
      </c>
      <c r="F496" t="s">
        <v>1020</v>
      </c>
      <c r="G496" t="s">
        <v>1026</v>
      </c>
    </row>
    <row r="497" spans="1:7" x14ac:dyDescent="0.3">
      <c r="A497" t="s">
        <v>502</v>
      </c>
      <c r="B497" s="2">
        <v>45724.239583333343</v>
      </c>
      <c r="C497">
        <v>2520.37</v>
      </c>
      <c r="D497" t="s">
        <v>1007</v>
      </c>
      <c r="E497" t="s">
        <v>1015</v>
      </c>
      <c r="F497" t="s">
        <v>1019</v>
      </c>
    </row>
    <row r="498" spans="1:7" x14ac:dyDescent="0.3">
      <c r="A498" t="s">
        <v>503</v>
      </c>
      <c r="B498" s="2">
        <v>45743.288194444453</v>
      </c>
      <c r="C498">
        <v>3137.77</v>
      </c>
      <c r="D498" t="s">
        <v>1010</v>
      </c>
      <c r="E498" t="s">
        <v>1018</v>
      </c>
      <c r="F498" t="s">
        <v>1019</v>
      </c>
    </row>
    <row r="499" spans="1:7" x14ac:dyDescent="0.3">
      <c r="A499" t="s">
        <v>504</v>
      </c>
      <c r="B499" s="2">
        <v>45688.020138888889</v>
      </c>
      <c r="C499">
        <v>2433.12</v>
      </c>
      <c r="D499" t="s">
        <v>1010</v>
      </c>
      <c r="E499" t="s">
        <v>1013</v>
      </c>
      <c r="F499" t="s">
        <v>1020</v>
      </c>
      <c r="G499" t="s">
        <v>1021</v>
      </c>
    </row>
    <row r="500" spans="1:7" x14ac:dyDescent="0.3">
      <c r="A500" t="s">
        <v>505</v>
      </c>
      <c r="B500" s="2">
        <v>45669.77847222222</v>
      </c>
      <c r="C500">
        <v>9784.14</v>
      </c>
      <c r="D500" t="s">
        <v>1009</v>
      </c>
      <c r="E500" t="s">
        <v>1012</v>
      </c>
      <c r="F500" t="s">
        <v>1019</v>
      </c>
    </row>
    <row r="501" spans="1:7" x14ac:dyDescent="0.3">
      <c r="A501" t="s">
        <v>506</v>
      </c>
      <c r="B501" s="2">
        <v>45725.959027777782</v>
      </c>
      <c r="C501">
        <v>6864.92</v>
      </c>
      <c r="D501" t="s">
        <v>1007</v>
      </c>
      <c r="E501" t="s">
        <v>1015</v>
      </c>
      <c r="F501" t="s">
        <v>1019</v>
      </c>
    </row>
    <row r="502" spans="1:7" x14ac:dyDescent="0.3">
      <c r="A502" t="s">
        <v>507</v>
      </c>
      <c r="B502" s="2">
        <v>45699.333333333343</v>
      </c>
      <c r="C502">
        <v>4249.26</v>
      </c>
      <c r="D502" t="s">
        <v>1008</v>
      </c>
      <c r="E502" t="s">
        <v>1015</v>
      </c>
      <c r="F502" t="s">
        <v>1019</v>
      </c>
    </row>
    <row r="503" spans="1:7" x14ac:dyDescent="0.3">
      <c r="A503" t="s">
        <v>508</v>
      </c>
      <c r="B503" s="2">
        <v>45670.744444444441</v>
      </c>
      <c r="C503">
        <v>1282.58</v>
      </c>
      <c r="D503" t="s">
        <v>1011</v>
      </c>
      <c r="E503" t="s">
        <v>1018</v>
      </c>
      <c r="F503" t="s">
        <v>1019</v>
      </c>
    </row>
    <row r="504" spans="1:7" x14ac:dyDescent="0.3">
      <c r="A504" t="s">
        <v>509</v>
      </c>
      <c r="B504" s="2">
        <v>45708.058333333327</v>
      </c>
      <c r="C504">
        <v>1891.04</v>
      </c>
      <c r="D504" t="s">
        <v>1009</v>
      </c>
      <c r="E504" t="s">
        <v>1017</v>
      </c>
      <c r="F504" t="s">
        <v>1020</v>
      </c>
      <c r="G504" t="s">
        <v>1024</v>
      </c>
    </row>
    <row r="505" spans="1:7" x14ac:dyDescent="0.3">
      <c r="A505" t="s">
        <v>510</v>
      </c>
      <c r="B505" s="2">
        <v>45711.728472222218</v>
      </c>
      <c r="C505">
        <v>5787.06</v>
      </c>
      <c r="D505" t="s">
        <v>1011</v>
      </c>
      <c r="E505" t="s">
        <v>1012</v>
      </c>
      <c r="F505" t="s">
        <v>1019</v>
      </c>
    </row>
    <row r="506" spans="1:7" x14ac:dyDescent="0.3">
      <c r="A506" t="s">
        <v>511</v>
      </c>
      <c r="B506" s="2">
        <v>45678.423611111109</v>
      </c>
      <c r="C506">
        <v>2386.89</v>
      </c>
      <c r="D506" t="s">
        <v>1008</v>
      </c>
      <c r="E506" t="s">
        <v>1017</v>
      </c>
      <c r="F506" t="s">
        <v>1020</v>
      </c>
      <c r="G506" t="s">
        <v>1023</v>
      </c>
    </row>
    <row r="507" spans="1:7" x14ac:dyDescent="0.3">
      <c r="A507" t="s">
        <v>512</v>
      </c>
      <c r="B507" s="2">
        <v>45697.435416666667</v>
      </c>
      <c r="C507">
        <v>3478.56</v>
      </c>
      <c r="D507" t="s">
        <v>1008</v>
      </c>
      <c r="E507" t="s">
        <v>1016</v>
      </c>
      <c r="F507" t="s">
        <v>1019</v>
      </c>
    </row>
    <row r="508" spans="1:7" x14ac:dyDescent="0.3">
      <c r="A508" t="s">
        <v>513</v>
      </c>
      <c r="B508" s="2">
        <v>45736.039583333331</v>
      </c>
      <c r="C508">
        <v>6931.91</v>
      </c>
      <c r="D508" t="s">
        <v>1008</v>
      </c>
      <c r="E508" t="s">
        <v>1018</v>
      </c>
      <c r="F508" t="s">
        <v>1019</v>
      </c>
    </row>
    <row r="509" spans="1:7" x14ac:dyDescent="0.3">
      <c r="A509" t="s">
        <v>514</v>
      </c>
      <c r="B509" s="2">
        <v>45745.310416666667</v>
      </c>
      <c r="C509">
        <v>1629.99</v>
      </c>
      <c r="D509" t="s">
        <v>1011</v>
      </c>
      <c r="E509" t="s">
        <v>1012</v>
      </c>
      <c r="F509" t="s">
        <v>1019</v>
      </c>
    </row>
    <row r="510" spans="1:7" x14ac:dyDescent="0.3">
      <c r="A510" t="s">
        <v>515</v>
      </c>
      <c r="B510" s="2">
        <v>45729.270138888889</v>
      </c>
      <c r="C510">
        <v>2637.61</v>
      </c>
      <c r="D510" t="s">
        <v>1009</v>
      </c>
      <c r="E510" t="s">
        <v>1017</v>
      </c>
      <c r="F510" t="s">
        <v>1020</v>
      </c>
      <c r="G510" t="s">
        <v>1022</v>
      </c>
    </row>
    <row r="511" spans="1:7" x14ac:dyDescent="0.3">
      <c r="A511" t="s">
        <v>516</v>
      </c>
      <c r="B511" s="2">
        <v>45725.356249999997</v>
      </c>
      <c r="C511">
        <v>2886.43</v>
      </c>
      <c r="D511" t="s">
        <v>1010</v>
      </c>
      <c r="E511" t="s">
        <v>1017</v>
      </c>
      <c r="F511" t="s">
        <v>1019</v>
      </c>
    </row>
    <row r="512" spans="1:7" x14ac:dyDescent="0.3">
      <c r="A512" t="s">
        <v>517</v>
      </c>
      <c r="B512" s="2">
        <v>45666.049305555563</v>
      </c>
      <c r="C512">
        <v>7018.69</v>
      </c>
      <c r="D512" t="s">
        <v>1011</v>
      </c>
      <c r="E512" t="s">
        <v>1017</v>
      </c>
      <c r="F512" t="s">
        <v>1020</v>
      </c>
      <c r="G512" t="s">
        <v>1022</v>
      </c>
    </row>
    <row r="513" spans="1:7" x14ac:dyDescent="0.3">
      <c r="A513" t="s">
        <v>518</v>
      </c>
      <c r="B513" s="2">
        <v>45676.745833333327</v>
      </c>
      <c r="C513">
        <v>5943.91</v>
      </c>
      <c r="D513" t="s">
        <v>1010</v>
      </c>
      <c r="E513" t="s">
        <v>1012</v>
      </c>
      <c r="F513" t="s">
        <v>1019</v>
      </c>
    </row>
    <row r="514" spans="1:7" x14ac:dyDescent="0.3">
      <c r="A514" t="s">
        <v>519</v>
      </c>
      <c r="B514" s="2">
        <v>45670.330555555563</v>
      </c>
      <c r="C514">
        <v>6982.52</v>
      </c>
      <c r="D514" t="s">
        <v>1010</v>
      </c>
      <c r="E514" t="s">
        <v>1015</v>
      </c>
      <c r="F514" t="s">
        <v>1019</v>
      </c>
    </row>
    <row r="515" spans="1:7" x14ac:dyDescent="0.3">
      <c r="A515" t="s">
        <v>520</v>
      </c>
      <c r="B515" s="2">
        <v>45707.256249999999</v>
      </c>
      <c r="C515">
        <v>2020.52</v>
      </c>
      <c r="D515" t="s">
        <v>1008</v>
      </c>
      <c r="E515" t="s">
        <v>1016</v>
      </c>
      <c r="F515" t="s">
        <v>1019</v>
      </c>
    </row>
    <row r="516" spans="1:7" x14ac:dyDescent="0.3">
      <c r="A516" t="s">
        <v>521</v>
      </c>
      <c r="B516" s="2">
        <v>45658.599305555559</v>
      </c>
      <c r="C516">
        <v>6234.63</v>
      </c>
      <c r="D516" t="s">
        <v>1010</v>
      </c>
      <c r="E516" t="s">
        <v>1018</v>
      </c>
      <c r="F516" t="s">
        <v>1019</v>
      </c>
    </row>
    <row r="517" spans="1:7" x14ac:dyDescent="0.3">
      <c r="A517" t="s">
        <v>522</v>
      </c>
      <c r="B517" s="2">
        <v>45701.181944444441</v>
      </c>
      <c r="C517">
        <v>2432.5300000000002</v>
      </c>
      <c r="D517" t="s">
        <v>1010</v>
      </c>
      <c r="E517" t="s">
        <v>1015</v>
      </c>
      <c r="F517" t="s">
        <v>1019</v>
      </c>
    </row>
    <row r="518" spans="1:7" x14ac:dyDescent="0.3">
      <c r="A518" t="s">
        <v>523</v>
      </c>
      <c r="B518" s="2">
        <v>45692.571527777778</v>
      </c>
      <c r="C518">
        <v>9583.5499999999993</v>
      </c>
      <c r="D518" t="s">
        <v>1011</v>
      </c>
      <c r="E518" t="s">
        <v>1014</v>
      </c>
      <c r="F518" t="s">
        <v>1019</v>
      </c>
    </row>
    <row r="519" spans="1:7" x14ac:dyDescent="0.3">
      <c r="A519" t="s">
        <v>524</v>
      </c>
      <c r="B519" s="2">
        <v>45738.440972222219</v>
      </c>
      <c r="C519">
        <v>4327.12</v>
      </c>
      <c r="D519" t="s">
        <v>1011</v>
      </c>
      <c r="E519" t="s">
        <v>1012</v>
      </c>
      <c r="F519" t="s">
        <v>1020</v>
      </c>
      <c r="G519" t="s">
        <v>1021</v>
      </c>
    </row>
    <row r="520" spans="1:7" x14ac:dyDescent="0.3">
      <c r="A520" t="s">
        <v>525</v>
      </c>
      <c r="B520" s="2">
        <v>45667.339583333327</v>
      </c>
      <c r="C520">
        <v>9243.16</v>
      </c>
      <c r="D520" t="s">
        <v>1008</v>
      </c>
      <c r="E520" t="s">
        <v>1012</v>
      </c>
      <c r="F520" t="s">
        <v>1019</v>
      </c>
    </row>
    <row r="521" spans="1:7" x14ac:dyDescent="0.3">
      <c r="A521" t="s">
        <v>526</v>
      </c>
      <c r="B521" s="2">
        <v>45700.328472222223</v>
      </c>
      <c r="C521">
        <v>9742.8700000000008</v>
      </c>
      <c r="D521" t="s">
        <v>1011</v>
      </c>
      <c r="E521" t="s">
        <v>1016</v>
      </c>
      <c r="F521" t="s">
        <v>1019</v>
      </c>
    </row>
    <row r="522" spans="1:7" x14ac:dyDescent="0.3">
      <c r="A522" t="s">
        <v>527</v>
      </c>
      <c r="B522" s="2">
        <v>45738.862500000003</v>
      </c>
      <c r="C522">
        <v>130.91999999999999</v>
      </c>
      <c r="D522" t="s">
        <v>1008</v>
      </c>
      <c r="E522" t="s">
        <v>1016</v>
      </c>
      <c r="F522" t="s">
        <v>1020</v>
      </c>
      <c r="G522" t="s">
        <v>1021</v>
      </c>
    </row>
    <row r="523" spans="1:7" x14ac:dyDescent="0.3">
      <c r="A523" t="s">
        <v>528</v>
      </c>
      <c r="B523" s="2">
        <v>45691.168749999997</v>
      </c>
      <c r="C523">
        <v>181.26</v>
      </c>
      <c r="D523" t="s">
        <v>1008</v>
      </c>
      <c r="E523" t="s">
        <v>1016</v>
      </c>
      <c r="F523" t="s">
        <v>1019</v>
      </c>
    </row>
    <row r="524" spans="1:7" x14ac:dyDescent="0.3">
      <c r="A524" t="s">
        <v>529</v>
      </c>
      <c r="B524" s="2">
        <v>45659.431250000001</v>
      </c>
      <c r="C524">
        <v>9329.17</v>
      </c>
      <c r="D524" t="s">
        <v>1011</v>
      </c>
      <c r="E524" t="s">
        <v>1015</v>
      </c>
      <c r="F524" t="s">
        <v>1019</v>
      </c>
    </row>
    <row r="525" spans="1:7" x14ac:dyDescent="0.3">
      <c r="A525" t="s">
        <v>530</v>
      </c>
      <c r="B525" s="2">
        <v>45708.96597222222</v>
      </c>
      <c r="C525">
        <v>126.72</v>
      </c>
      <c r="D525" t="s">
        <v>1007</v>
      </c>
      <c r="E525" t="s">
        <v>1014</v>
      </c>
      <c r="F525" t="s">
        <v>1020</v>
      </c>
      <c r="G525" t="s">
        <v>1024</v>
      </c>
    </row>
    <row r="526" spans="1:7" x14ac:dyDescent="0.3">
      <c r="A526" t="s">
        <v>531</v>
      </c>
      <c r="B526" s="2">
        <v>45711.336111111108</v>
      </c>
      <c r="C526">
        <v>8242.1299999999992</v>
      </c>
      <c r="D526" t="s">
        <v>1008</v>
      </c>
      <c r="E526" t="s">
        <v>1016</v>
      </c>
      <c r="F526" t="s">
        <v>1020</v>
      </c>
      <c r="G526" t="s">
        <v>1026</v>
      </c>
    </row>
    <row r="527" spans="1:7" x14ac:dyDescent="0.3">
      <c r="A527" t="s">
        <v>532</v>
      </c>
      <c r="B527" s="2">
        <v>45664.301388888889</v>
      </c>
      <c r="C527">
        <v>9290.44</v>
      </c>
      <c r="D527" t="s">
        <v>1010</v>
      </c>
      <c r="E527" t="s">
        <v>1015</v>
      </c>
      <c r="F527" t="s">
        <v>1020</v>
      </c>
      <c r="G527" t="s">
        <v>1022</v>
      </c>
    </row>
    <row r="528" spans="1:7" x14ac:dyDescent="0.3">
      <c r="A528" t="s">
        <v>533</v>
      </c>
      <c r="B528" s="2">
        <v>45716.241666666669</v>
      </c>
      <c r="C528">
        <v>8677.64</v>
      </c>
      <c r="D528" t="s">
        <v>1007</v>
      </c>
      <c r="E528" t="s">
        <v>1018</v>
      </c>
      <c r="F528" t="s">
        <v>1019</v>
      </c>
    </row>
    <row r="529" spans="1:7" x14ac:dyDescent="0.3">
      <c r="A529" t="s">
        <v>534</v>
      </c>
      <c r="B529" s="2">
        <v>45744.081250000003</v>
      </c>
      <c r="C529">
        <v>8610.0300000000007</v>
      </c>
      <c r="D529" t="s">
        <v>1011</v>
      </c>
      <c r="E529" t="s">
        <v>1018</v>
      </c>
      <c r="F529" t="s">
        <v>1019</v>
      </c>
    </row>
    <row r="530" spans="1:7" x14ac:dyDescent="0.3">
      <c r="A530" t="s">
        <v>535</v>
      </c>
      <c r="B530" s="2">
        <v>45695.319444444453</v>
      </c>
      <c r="C530">
        <v>4084.55</v>
      </c>
      <c r="D530" t="s">
        <v>1010</v>
      </c>
      <c r="E530" t="s">
        <v>1018</v>
      </c>
      <c r="F530" t="s">
        <v>1020</v>
      </c>
      <c r="G530" t="s">
        <v>1021</v>
      </c>
    </row>
    <row r="531" spans="1:7" x14ac:dyDescent="0.3">
      <c r="A531" t="s">
        <v>536</v>
      </c>
      <c r="B531" s="2">
        <v>45693.511805555558</v>
      </c>
      <c r="C531">
        <v>9574.5300000000007</v>
      </c>
      <c r="D531" t="s">
        <v>1011</v>
      </c>
      <c r="E531" t="s">
        <v>1015</v>
      </c>
      <c r="F531" t="s">
        <v>1019</v>
      </c>
    </row>
    <row r="532" spans="1:7" x14ac:dyDescent="0.3">
      <c r="A532" t="s">
        <v>537</v>
      </c>
      <c r="B532" s="2">
        <v>45728.880555555559</v>
      </c>
      <c r="C532">
        <v>6103.6</v>
      </c>
      <c r="D532" t="s">
        <v>1010</v>
      </c>
      <c r="E532" t="s">
        <v>1015</v>
      </c>
      <c r="F532" t="s">
        <v>1019</v>
      </c>
    </row>
    <row r="533" spans="1:7" x14ac:dyDescent="0.3">
      <c r="A533" t="s">
        <v>538</v>
      </c>
      <c r="B533" s="2">
        <v>45697.727777777778</v>
      </c>
      <c r="C533">
        <v>4144.21</v>
      </c>
      <c r="D533" t="s">
        <v>1010</v>
      </c>
      <c r="E533" t="s">
        <v>1014</v>
      </c>
      <c r="F533" t="s">
        <v>1019</v>
      </c>
    </row>
    <row r="534" spans="1:7" x14ac:dyDescent="0.3">
      <c r="A534" t="s">
        <v>539</v>
      </c>
      <c r="B534" s="2">
        <v>45690.556250000001</v>
      </c>
      <c r="C534">
        <v>1144.0899999999999</v>
      </c>
      <c r="D534" t="s">
        <v>1009</v>
      </c>
      <c r="E534" t="s">
        <v>1017</v>
      </c>
      <c r="F534" t="s">
        <v>1020</v>
      </c>
      <c r="G534" t="s">
        <v>1021</v>
      </c>
    </row>
    <row r="535" spans="1:7" x14ac:dyDescent="0.3">
      <c r="A535" t="s">
        <v>540</v>
      </c>
      <c r="B535" s="2">
        <v>45678.748611111107</v>
      </c>
      <c r="C535">
        <v>6389.02</v>
      </c>
      <c r="D535" t="s">
        <v>1009</v>
      </c>
      <c r="E535" t="s">
        <v>1015</v>
      </c>
      <c r="F535" t="s">
        <v>1020</v>
      </c>
      <c r="G535" t="s">
        <v>1023</v>
      </c>
    </row>
    <row r="536" spans="1:7" x14ac:dyDescent="0.3">
      <c r="A536" t="s">
        <v>541</v>
      </c>
      <c r="B536" s="2">
        <v>45726.125</v>
      </c>
      <c r="C536">
        <v>3043.7</v>
      </c>
      <c r="D536" t="s">
        <v>1009</v>
      </c>
      <c r="E536" t="s">
        <v>1017</v>
      </c>
      <c r="F536" t="s">
        <v>1019</v>
      </c>
    </row>
    <row r="537" spans="1:7" x14ac:dyDescent="0.3">
      <c r="A537" t="s">
        <v>542</v>
      </c>
      <c r="B537" s="2">
        <v>45700.059027777781</v>
      </c>
      <c r="C537">
        <v>6253.91</v>
      </c>
      <c r="D537" t="s">
        <v>1009</v>
      </c>
      <c r="E537" t="s">
        <v>1016</v>
      </c>
      <c r="F537" t="s">
        <v>1019</v>
      </c>
    </row>
    <row r="538" spans="1:7" x14ac:dyDescent="0.3">
      <c r="A538" t="s">
        <v>543</v>
      </c>
      <c r="B538" s="2">
        <v>45730.427083333343</v>
      </c>
      <c r="C538">
        <v>6743.09</v>
      </c>
      <c r="D538" t="s">
        <v>1008</v>
      </c>
      <c r="E538" t="s">
        <v>1018</v>
      </c>
      <c r="F538" t="s">
        <v>1019</v>
      </c>
    </row>
    <row r="539" spans="1:7" x14ac:dyDescent="0.3">
      <c r="A539" t="s">
        <v>544</v>
      </c>
      <c r="B539" s="2">
        <v>45696.027777777781</v>
      </c>
      <c r="C539">
        <v>6855.68</v>
      </c>
      <c r="D539" t="s">
        <v>1010</v>
      </c>
      <c r="E539" t="s">
        <v>1016</v>
      </c>
      <c r="F539" t="s">
        <v>1020</v>
      </c>
      <c r="G539" t="s">
        <v>1021</v>
      </c>
    </row>
    <row r="540" spans="1:7" x14ac:dyDescent="0.3">
      <c r="A540" t="s">
        <v>545</v>
      </c>
      <c r="B540" s="2">
        <v>45690.427083333343</v>
      </c>
      <c r="C540">
        <v>9176.2000000000007</v>
      </c>
      <c r="D540" t="s">
        <v>1010</v>
      </c>
      <c r="E540" t="s">
        <v>1013</v>
      </c>
      <c r="F540" t="s">
        <v>1019</v>
      </c>
    </row>
    <row r="541" spans="1:7" x14ac:dyDescent="0.3">
      <c r="A541" t="s">
        <v>546</v>
      </c>
      <c r="B541" s="2">
        <v>45730.229861111111</v>
      </c>
      <c r="C541">
        <v>4564.0600000000004</v>
      </c>
      <c r="D541" t="s">
        <v>1009</v>
      </c>
      <c r="E541" t="s">
        <v>1017</v>
      </c>
      <c r="F541" t="s">
        <v>1019</v>
      </c>
    </row>
    <row r="542" spans="1:7" x14ac:dyDescent="0.3">
      <c r="A542" t="s">
        <v>547</v>
      </c>
      <c r="B542" s="2">
        <v>45726.663888888892</v>
      </c>
      <c r="C542">
        <v>1823.71</v>
      </c>
      <c r="D542" t="s">
        <v>1009</v>
      </c>
      <c r="E542" t="s">
        <v>1015</v>
      </c>
      <c r="F542" t="s">
        <v>1019</v>
      </c>
    </row>
    <row r="543" spans="1:7" x14ac:dyDescent="0.3">
      <c r="A543" t="s">
        <v>548</v>
      </c>
      <c r="B543" s="2">
        <v>45682.830555555563</v>
      </c>
      <c r="C543">
        <v>7951.02</v>
      </c>
      <c r="D543" t="s">
        <v>1011</v>
      </c>
      <c r="E543" t="s">
        <v>1015</v>
      </c>
      <c r="F543" t="s">
        <v>1019</v>
      </c>
    </row>
    <row r="544" spans="1:7" x14ac:dyDescent="0.3">
      <c r="A544" t="s">
        <v>549</v>
      </c>
      <c r="B544" s="2">
        <v>45722.052083333343</v>
      </c>
      <c r="C544">
        <v>3030.05</v>
      </c>
      <c r="D544" t="s">
        <v>1009</v>
      </c>
      <c r="E544" t="s">
        <v>1016</v>
      </c>
      <c r="F544" t="s">
        <v>1019</v>
      </c>
    </row>
    <row r="545" spans="1:7" x14ac:dyDescent="0.3">
      <c r="A545" t="s">
        <v>550</v>
      </c>
      <c r="B545" s="2">
        <v>45703.779861111107</v>
      </c>
      <c r="C545">
        <v>5121.37</v>
      </c>
      <c r="D545" t="s">
        <v>1011</v>
      </c>
      <c r="E545" t="s">
        <v>1014</v>
      </c>
      <c r="F545" t="s">
        <v>1019</v>
      </c>
    </row>
    <row r="546" spans="1:7" x14ac:dyDescent="0.3">
      <c r="A546" t="s">
        <v>551</v>
      </c>
      <c r="B546" s="2">
        <v>45722.531944444447</v>
      </c>
      <c r="C546">
        <v>4778.34</v>
      </c>
      <c r="D546" t="s">
        <v>1010</v>
      </c>
      <c r="E546" t="s">
        <v>1012</v>
      </c>
      <c r="F546" t="s">
        <v>1019</v>
      </c>
    </row>
    <row r="547" spans="1:7" x14ac:dyDescent="0.3">
      <c r="A547" t="s">
        <v>552</v>
      </c>
      <c r="B547" s="2">
        <v>45659.253472222219</v>
      </c>
      <c r="C547">
        <v>4960.4799999999996</v>
      </c>
      <c r="D547" t="s">
        <v>1008</v>
      </c>
      <c r="E547" t="s">
        <v>1014</v>
      </c>
      <c r="F547" t="s">
        <v>1019</v>
      </c>
    </row>
    <row r="548" spans="1:7" x14ac:dyDescent="0.3">
      <c r="A548" t="s">
        <v>553</v>
      </c>
      <c r="B548" s="2">
        <v>45744.678472222222</v>
      </c>
      <c r="C548">
        <v>117.23</v>
      </c>
      <c r="D548" t="s">
        <v>1009</v>
      </c>
      <c r="E548" t="s">
        <v>1016</v>
      </c>
      <c r="F548" t="s">
        <v>1019</v>
      </c>
    </row>
    <row r="549" spans="1:7" x14ac:dyDescent="0.3">
      <c r="A549" t="s">
        <v>554</v>
      </c>
      <c r="B549" s="2">
        <v>45674.290277777778</v>
      </c>
      <c r="C549">
        <v>6919.91</v>
      </c>
      <c r="D549" t="s">
        <v>1007</v>
      </c>
      <c r="E549" t="s">
        <v>1018</v>
      </c>
      <c r="F549" t="s">
        <v>1019</v>
      </c>
    </row>
    <row r="550" spans="1:7" x14ac:dyDescent="0.3">
      <c r="A550" t="s">
        <v>555</v>
      </c>
      <c r="B550" s="2">
        <v>45729.857638888891</v>
      </c>
      <c r="C550">
        <v>4310.87</v>
      </c>
      <c r="D550" t="s">
        <v>1009</v>
      </c>
      <c r="E550" t="s">
        <v>1017</v>
      </c>
      <c r="F550" t="s">
        <v>1019</v>
      </c>
    </row>
    <row r="551" spans="1:7" x14ac:dyDescent="0.3">
      <c r="A551" t="s">
        <v>556</v>
      </c>
      <c r="B551" s="2">
        <v>45742.493055555547</v>
      </c>
      <c r="C551">
        <v>5332.36</v>
      </c>
      <c r="D551" t="s">
        <v>1009</v>
      </c>
      <c r="E551" t="s">
        <v>1014</v>
      </c>
      <c r="F551" t="s">
        <v>1019</v>
      </c>
    </row>
    <row r="552" spans="1:7" x14ac:dyDescent="0.3">
      <c r="A552" t="s">
        <v>557</v>
      </c>
      <c r="B552" s="2">
        <v>45680.554861111108</v>
      </c>
      <c r="C552">
        <v>3286.27</v>
      </c>
      <c r="D552" t="s">
        <v>1007</v>
      </c>
      <c r="E552" t="s">
        <v>1012</v>
      </c>
      <c r="F552" t="s">
        <v>1019</v>
      </c>
    </row>
    <row r="553" spans="1:7" x14ac:dyDescent="0.3">
      <c r="A553" t="s">
        <v>558</v>
      </c>
      <c r="B553" s="2">
        <v>45691.509722222218</v>
      </c>
      <c r="C553">
        <v>1972.73</v>
      </c>
      <c r="D553" t="s">
        <v>1011</v>
      </c>
      <c r="E553" t="s">
        <v>1016</v>
      </c>
      <c r="F553" t="s">
        <v>1020</v>
      </c>
      <c r="G553" t="s">
        <v>1023</v>
      </c>
    </row>
    <row r="554" spans="1:7" x14ac:dyDescent="0.3">
      <c r="A554" t="s">
        <v>559</v>
      </c>
      <c r="B554" s="2">
        <v>45721.874305555553</v>
      </c>
      <c r="C554">
        <v>880.04</v>
      </c>
      <c r="D554" t="s">
        <v>1007</v>
      </c>
      <c r="E554" t="s">
        <v>1017</v>
      </c>
      <c r="F554" t="s">
        <v>1019</v>
      </c>
    </row>
    <row r="555" spans="1:7" x14ac:dyDescent="0.3">
      <c r="A555" t="s">
        <v>560</v>
      </c>
      <c r="B555" s="2">
        <v>45700.397916666669</v>
      </c>
      <c r="C555">
        <v>3657.96</v>
      </c>
      <c r="D555" t="s">
        <v>1009</v>
      </c>
      <c r="E555" t="s">
        <v>1018</v>
      </c>
      <c r="F555" t="s">
        <v>1020</v>
      </c>
      <c r="G555" t="s">
        <v>1025</v>
      </c>
    </row>
    <row r="556" spans="1:7" x14ac:dyDescent="0.3">
      <c r="A556" t="s">
        <v>561</v>
      </c>
      <c r="B556" s="2">
        <v>45747.463888888888</v>
      </c>
      <c r="C556">
        <v>9326.52</v>
      </c>
      <c r="D556" t="s">
        <v>1008</v>
      </c>
      <c r="E556" t="s">
        <v>1018</v>
      </c>
      <c r="F556" t="s">
        <v>1019</v>
      </c>
    </row>
    <row r="557" spans="1:7" x14ac:dyDescent="0.3">
      <c r="A557" t="s">
        <v>562</v>
      </c>
      <c r="B557" s="2">
        <v>45658.917361111111</v>
      </c>
      <c r="C557">
        <v>5946.28</v>
      </c>
      <c r="D557" t="s">
        <v>1009</v>
      </c>
      <c r="E557" t="s">
        <v>1018</v>
      </c>
      <c r="F557" t="s">
        <v>1020</v>
      </c>
      <c r="G557" t="s">
        <v>1023</v>
      </c>
    </row>
    <row r="558" spans="1:7" x14ac:dyDescent="0.3">
      <c r="A558" t="s">
        <v>563</v>
      </c>
      <c r="B558" s="2">
        <v>45714.486805555563</v>
      </c>
      <c r="C558">
        <v>4723.03</v>
      </c>
      <c r="D558" t="s">
        <v>1011</v>
      </c>
      <c r="E558" t="s">
        <v>1014</v>
      </c>
      <c r="F558" t="s">
        <v>1020</v>
      </c>
      <c r="G558" t="s">
        <v>1025</v>
      </c>
    </row>
    <row r="559" spans="1:7" x14ac:dyDescent="0.3">
      <c r="A559" t="s">
        <v>564</v>
      </c>
      <c r="B559" s="2">
        <v>45672.055555555547</v>
      </c>
      <c r="C559">
        <v>8536.6299999999992</v>
      </c>
      <c r="D559" t="s">
        <v>1011</v>
      </c>
      <c r="E559" t="s">
        <v>1017</v>
      </c>
      <c r="F559" t="s">
        <v>1020</v>
      </c>
      <c r="G559" t="s">
        <v>1026</v>
      </c>
    </row>
    <row r="560" spans="1:7" x14ac:dyDescent="0.3">
      <c r="A560" t="s">
        <v>565</v>
      </c>
      <c r="B560" s="2">
        <v>45729.361111111109</v>
      </c>
      <c r="C560">
        <v>6062.92</v>
      </c>
      <c r="D560" t="s">
        <v>1010</v>
      </c>
      <c r="E560" t="s">
        <v>1018</v>
      </c>
      <c r="F560" t="s">
        <v>1019</v>
      </c>
    </row>
    <row r="561" spans="1:7" x14ac:dyDescent="0.3">
      <c r="A561" t="s">
        <v>566</v>
      </c>
      <c r="B561" s="2">
        <v>45686.165972222218</v>
      </c>
      <c r="C561">
        <v>5077.8599999999997</v>
      </c>
      <c r="D561" t="s">
        <v>1011</v>
      </c>
      <c r="E561" t="s">
        <v>1017</v>
      </c>
      <c r="F561" t="s">
        <v>1020</v>
      </c>
      <c r="G561" t="s">
        <v>1026</v>
      </c>
    </row>
    <row r="562" spans="1:7" x14ac:dyDescent="0.3">
      <c r="A562" t="s">
        <v>567</v>
      </c>
      <c r="B562" s="2">
        <v>45720.838888888888</v>
      </c>
      <c r="C562">
        <v>5196.1499999999996</v>
      </c>
      <c r="D562" t="s">
        <v>1007</v>
      </c>
      <c r="E562" t="s">
        <v>1016</v>
      </c>
      <c r="F562" t="s">
        <v>1019</v>
      </c>
    </row>
    <row r="563" spans="1:7" x14ac:dyDescent="0.3">
      <c r="A563" t="s">
        <v>568</v>
      </c>
      <c r="B563" s="2">
        <v>45696.142361111109</v>
      </c>
      <c r="C563">
        <v>9532.2900000000009</v>
      </c>
      <c r="D563" t="s">
        <v>1008</v>
      </c>
      <c r="E563" t="s">
        <v>1015</v>
      </c>
      <c r="F563" t="s">
        <v>1019</v>
      </c>
    </row>
    <row r="564" spans="1:7" x14ac:dyDescent="0.3">
      <c r="A564" t="s">
        <v>569</v>
      </c>
      <c r="B564" s="2">
        <v>45673.650694444441</v>
      </c>
      <c r="C564">
        <v>563.16</v>
      </c>
      <c r="D564" t="s">
        <v>1009</v>
      </c>
      <c r="E564" t="s">
        <v>1012</v>
      </c>
      <c r="F564" t="s">
        <v>1019</v>
      </c>
    </row>
    <row r="565" spans="1:7" x14ac:dyDescent="0.3">
      <c r="A565" t="s">
        <v>570</v>
      </c>
      <c r="B565" s="2">
        <v>45720.436805555553</v>
      </c>
      <c r="C565">
        <v>648.29999999999995</v>
      </c>
      <c r="D565" t="s">
        <v>1008</v>
      </c>
      <c r="E565" t="s">
        <v>1012</v>
      </c>
      <c r="F565" t="s">
        <v>1020</v>
      </c>
      <c r="G565" t="s">
        <v>1022</v>
      </c>
    </row>
    <row r="566" spans="1:7" x14ac:dyDescent="0.3">
      <c r="A566" t="s">
        <v>571</v>
      </c>
      <c r="B566" s="2">
        <v>45687.097916666673</v>
      </c>
      <c r="C566">
        <v>5496.06</v>
      </c>
      <c r="D566" t="s">
        <v>1011</v>
      </c>
      <c r="E566" t="s">
        <v>1015</v>
      </c>
      <c r="F566" t="s">
        <v>1019</v>
      </c>
    </row>
    <row r="567" spans="1:7" x14ac:dyDescent="0.3">
      <c r="A567" t="s">
        <v>572</v>
      </c>
      <c r="B567" s="2">
        <v>45660.01666666667</v>
      </c>
      <c r="C567">
        <v>3526.03</v>
      </c>
      <c r="D567" t="s">
        <v>1008</v>
      </c>
      <c r="E567" t="s">
        <v>1016</v>
      </c>
      <c r="F567" t="s">
        <v>1019</v>
      </c>
    </row>
    <row r="568" spans="1:7" x14ac:dyDescent="0.3">
      <c r="A568" t="s">
        <v>573</v>
      </c>
      <c r="B568" s="2">
        <v>45678.782638888893</v>
      </c>
      <c r="C568">
        <v>504.92</v>
      </c>
      <c r="D568" t="s">
        <v>1008</v>
      </c>
      <c r="E568" t="s">
        <v>1018</v>
      </c>
      <c r="F568" t="s">
        <v>1019</v>
      </c>
    </row>
    <row r="569" spans="1:7" x14ac:dyDescent="0.3">
      <c r="A569" t="s">
        <v>574</v>
      </c>
      <c r="B569" s="2">
        <v>45667.722222222219</v>
      </c>
      <c r="C569">
        <v>9479.74</v>
      </c>
      <c r="D569" t="s">
        <v>1011</v>
      </c>
      <c r="E569" t="s">
        <v>1017</v>
      </c>
      <c r="F569" t="s">
        <v>1019</v>
      </c>
    </row>
    <row r="570" spans="1:7" x14ac:dyDescent="0.3">
      <c r="A570" t="s">
        <v>575</v>
      </c>
      <c r="B570" s="2">
        <v>45724.220833333333</v>
      </c>
      <c r="C570">
        <v>6730.84</v>
      </c>
      <c r="D570" t="s">
        <v>1011</v>
      </c>
      <c r="E570" t="s">
        <v>1016</v>
      </c>
      <c r="F570" t="s">
        <v>1019</v>
      </c>
    </row>
    <row r="571" spans="1:7" x14ac:dyDescent="0.3">
      <c r="A571" t="s">
        <v>576</v>
      </c>
      <c r="B571" s="2">
        <v>45685.220833333333</v>
      </c>
      <c r="C571">
        <v>3592.35</v>
      </c>
      <c r="D571" t="s">
        <v>1009</v>
      </c>
      <c r="E571" t="s">
        <v>1013</v>
      </c>
      <c r="F571" t="s">
        <v>1019</v>
      </c>
    </row>
    <row r="572" spans="1:7" x14ac:dyDescent="0.3">
      <c r="A572" t="s">
        <v>577</v>
      </c>
      <c r="B572" s="2">
        <v>45741.1875</v>
      </c>
      <c r="C572">
        <v>5530.21</v>
      </c>
      <c r="D572" t="s">
        <v>1011</v>
      </c>
      <c r="E572" t="s">
        <v>1018</v>
      </c>
      <c r="F572" t="s">
        <v>1019</v>
      </c>
    </row>
    <row r="573" spans="1:7" x14ac:dyDescent="0.3">
      <c r="A573" t="s">
        <v>578</v>
      </c>
      <c r="B573" s="2">
        <v>45666.90347222222</v>
      </c>
      <c r="C573">
        <v>731.45</v>
      </c>
      <c r="D573" t="s">
        <v>1010</v>
      </c>
      <c r="E573" t="s">
        <v>1012</v>
      </c>
      <c r="F573" t="s">
        <v>1019</v>
      </c>
    </row>
    <row r="574" spans="1:7" x14ac:dyDescent="0.3">
      <c r="A574" t="s">
        <v>579</v>
      </c>
      <c r="B574" s="2">
        <v>45721.65</v>
      </c>
      <c r="C574">
        <v>4186.3900000000003</v>
      </c>
      <c r="D574" t="s">
        <v>1009</v>
      </c>
      <c r="E574" t="s">
        <v>1018</v>
      </c>
      <c r="F574" t="s">
        <v>1019</v>
      </c>
    </row>
    <row r="575" spans="1:7" x14ac:dyDescent="0.3">
      <c r="A575" t="s">
        <v>580</v>
      </c>
      <c r="B575" s="2">
        <v>45685.23541666667</v>
      </c>
      <c r="C575">
        <v>5299.2</v>
      </c>
      <c r="D575" t="s">
        <v>1011</v>
      </c>
      <c r="E575" t="s">
        <v>1014</v>
      </c>
      <c r="F575" t="s">
        <v>1019</v>
      </c>
    </row>
    <row r="576" spans="1:7" x14ac:dyDescent="0.3">
      <c r="A576" t="s">
        <v>581</v>
      </c>
      <c r="B576" s="2">
        <v>45738.082638888889</v>
      </c>
      <c r="C576">
        <v>6957.79</v>
      </c>
      <c r="D576" t="s">
        <v>1011</v>
      </c>
      <c r="E576" t="s">
        <v>1018</v>
      </c>
      <c r="F576" t="s">
        <v>1019</v>
      </c>
    </row>
    <row r="577" spans="1:7" x14ac:dyDescent="0.3">
      <c r="A577" t="s">
        <v>582</v>
      </c>
      <c r="B577" s="2">
        <v>45743.881249999999</v>
      </c>
      <c r="C577">
        <v>8834.6</v>
      </c>
      <c r="D577" t="s">
        <v>1011</v>
      </c>
      <c r="E577" t="s">
        <v>1015</v>
      </c>
      <c r="F577" t="s">
        <v>1019</v>
      </c>
    </row>
    <row r="578" spans="1:7" x14ac:dyDescent="0.3">
      <c r="A578" t="s">
        <v>583</v>
      </c>
      <c r="B578" s="2">
        <v>45661.448611111111</v>
      </c>
      <c r="C578">
        <v>4411.3100000000004</v>
      </c>
      <c r="D578" t="s">
        <v>1010</v>
      </c>
      <c r="E578" t="s">
        <v>1016</v>
      </c>
      <c r="F578" t="s">
        <v>1019</v>
      </c>
    </row>
    <row r="579" spans="1:7" x14ac:dyDescent="0.3">
      <c r="A579" t="s">
        <v>584</v>
      </c>
      <c r="B579" s="2">
        <v>45690.831944444442</v>
      </c>
      <c r="C579">
        <v>2726.14</v>
      </c>
      <c r="D579" t="s">
        <v>1011</v>
      </c>
      <c r="E579" t="s">
        <v>1014</v>
      </c>
      <c r="F579" t="s">
        <v>1019</v>
      </c>
    </row>
    <row r="580" spans="1:7" x14ac:dyDescent="0.3">
      <c r="A580" t="s">
        <v>585</v>
      </c>
      <c r="B580" s="2">
        <v>45680.56527777778</v>
      </c>
      <c r="C580">
        <v>7418.38</v>
      </c>
      <c r="D580" t="s">
        <v>1011</v>
      </c>
      <c r="E580" t="s">
        <v>1016</v>
      </c>
      <c r="F580" t="s">
        <v>1019</v>
      </c>
    </row>
    <row r="581" spans="1:7" x14ac:dyDescent="0.3">
      <c r="A581" t="s">
        <v>586</v>
      </c>
      <c r="B581" s="2">
        <v>45674.220833333333</v>
      </c>
      <c r="C581">
        <v>1126.8900000000001</v>
      </c>
      <c r="D581" t="s">
        <v>1009</v>
      </c>
      <c r="E581" t="s">
        <v>1017</v>
      </c>
      <c r="F581" t="s">
        <v>1019</v>
      </c>
    </row>
    <row r="582" spans="1:7" x14ac:dyDescent="0.3">
      <c r="A582" t="s">
        <v>587</v>
      </c>
      <c r="B582" s="2">
        <v>45719.183333333327</v>
      </c>
      <c r="C582">
        <v>5014.12</v>
      </c>
      <c r="D582" t="s">
        <v>1007</v>
      </c>
      <c r="E582" t="s">
        <v>1015</v>
      </c>
      <c r="F582" t="s">
        <v>1019</v>
      </c>
    </row>
    <row r="583" spans="1:7" x14ac:dyDescent="0.3">
      <c r="A583" t="s">
        <v>588</v>
      </c>
      <c r="B583" s="2">
        <v>45699.814583333333</v>
      </c>
      <c r="C583">
        <v>5263.28</v>
      </c>
      <c r="D583" t="s">
        <v>1008</v>
      </c>
      <c r="E583" t="s">
        <v>1017</v>
      </c>
      <c r="F583" t="s">
        <v>1019</v>
      </c>
    </row>
    <row r="584" spans="1:7" x14ac:dyDescent="0.3">
      <c r="A584" t="s">
        <v>589</v>
      </c>
      <c r="B584" s="2">
        <v>45667.790277777778</v>
      </c>
      <c r="C584">
        <v>9264.3700000000008</v>
      </c>
      <c r="D584" t="s">
        <v>1007</v>
      </c>
      <c r="E584" t="s">
        <v>1014</v>
      </c>
      <c r="F584" t="s">
        <v>1020</v>
      </c>
      <c r="G584" t="s">
        <v>1025</v>
      </c>
    </row>
    <row r="585" spans="1:7" x14ac:dyDescent="0.3">
      <c r="A585" t="s">
        <v>590</v>
      </c>
      <c r="B585" s="2">
        <v>45743.421527777777</v>
      </c>
      <c r="C585">
        <v>9408.91</v>
      </c>
      <c r="D585" t="s">
        <v>1010</v>
      </c>
      <c r="E585" t="s">
        <v>1013</v>
      </c>
      <c r="F585" t="s">
        <v>1019</v>
      </c>
    </row>
    <row r="586" spans="1:7" x14ac:dyDescent="0.3">
      <c r="A586" t="s">
        <v>591</v>
      </c>
      <c r="B586" s="2">
        <v>45747.820833333331</v>
      </c>
      <c r="C586">
        <v>1549.95</v>
      </c>
      <c r="D586" t="s">
        <v>1008</v>
      </c>
      <c r="E586" t="s">
        <v>1017</v>
      </c>
      <c r="F586" t="s">
        <v>1019</v>
      </c>
    </row>
    <row r="587" spans="1:7" x14ac:dyDescent="0.3">
      <c r="A587" t="s">
        <v>592</v>
      </c>
      <c r="B587" s="2">
        <v>45746.584027777782</v>
      </c>
      <c r="C587">
        <v>5361.15</v>
      </c>
      <c r="D587" t="s">
        <v>1010</v>
      </c>
      <c r="E587" t="s">
        <v>1017</v>
      </c>
      <c r="F587" t="s">
        <v>1020</v>
      </c>
      <c r="G587" t="s">
        <v>1025</v>
      </c>
    </row>
    <row r="588" spans="1:7" x14ac:dyDescent="0.3">
      <c r="A588" t="s">
        <v>593</v>
      </c>
      <c r="B588" s="2">
        <v>45699.605555555558</v>
      </c>
      <c r="C588">
        <v>8175.99</v>
      </c>
      <c r="D588" t="s">
        <v>1007</v>
      </c>
      <c r="E588" t="s">
        <v>1013</v>
      </c>
      <c r="F588" t="s">
        <v>1020</v>
      </c>
      <c r="G588" t="s">
        <v>1026</v>
      </c>
    </row>
    <row r="589" spans="1:7" x14ac:dyDescent="0.3">
      <c r="A589" t="s">
        <v>594</v>
      </c>
      <c r="B589" s="2">
        <v>45725.148611111108</v>
      </c>
      <c r="C589">
        <v>4479.76</v>
      </c>
      <c r="D589" t="s">
        <v>1008</v>
      </c>
      <c r="E589" t="s">
        <v>1017</v>
      </c>
      <c r="F589" t="s">
        <v>1020</v>
      </c>
      <c r="G589" t="s">
        <v>1026</v>
      </c>
    </row>
    <row r="590" spans="1:7" x14ac:dyDescent="0.3">
      <c r="A590" t="s">
        <v>595</v>
      </c>
      <c r="B590" s="2">
        <v>45679.57708333333</v>
      </c>
      <c r="C590">
        <v>6799.75</v>
      </c>
      <c r="D590" t="s">
        <v>1009</v>
      </c>
      <c r="E590" t="s">
        <v>1015</v>
      </c>
      <c r="F590" t="s">
        <v>1019</v>
      </c>
    </row>
    <row r="591" spans="1:7" x14ac:dyDescent="0.3">
      <c r="A591" t="s">
        <v>596</v>
      </c>
      <c r="B591" s="2">
        <v>45680.472222222219</v>
      </c>
      <c r="C591">
        <v>8925.44</v>
      </c>
      <c r="D591" t="s">
        <v>1008</v>
      </c>
      <c r="E591" t="s">
        <v>1014</v>
      </c>
      <c r="F591" t="s">
        <v>1019</v>
      </c>
    </row>
    <row r="592" spans="1:7" x14ac:dyDescent="0.3">
      <c r="A592" t="s">
        <v>597</v>
      </c>
      <c r="B592" s="2">
        <v>45725.792361111111</v>
      </c>
      <c r="C592">
        <v>6414.16</v>
      </c>
      <c r="D592" t="s">
        <v>1011</v>
      </c>
      <c r="E592" t="s">
        <v>1016</v>
      </c>
      <c r="F592" t="s">
        <v>1020</v>
      </c>
      <c r="G592" t="s">
        <v>1026</v>
      </c>
    </row>
    <row r="593" spans="1:7" x14ac:dyDescent="0.3">
      <c r="A593" t="s">
        <v>598</v>
      </c>
      <c r="B593" s="2">
        <v>45686.484722222223</v>
      </c>
      <c r="C593">
        <v>9549.5</v>
      </c>
      <c r="D593" t="s">
        <v>1010</v>
      </c>
      <c r="E593" t="s">
        <v>1013</v>
      </c>
      <c r="F593" t="s">
        <v>1020</v>
      </c>
      <c r="G593" t="s">
        <v>1025</v>
      </c>
    </row>
    <row r="594" spans="1:7" x14ac:dyDescent="0.3">
      <c r="A594" t="s">
        <v>599</v>
      </c>
      <c r="B594" s="2">
        <v>45687.506249999999</v>
      </c>
      <c r="C594">
        <v>5078.76</v>
      </c>
      <c r="D594" t="s">
        <v>1007</v>
      </c>
      <c r="E594" t="s">
        <v>1014</v>
      </c>
      <c r="F594" t="s">
        <v>1020</v>
      </c>
      <c r="G594" t="s">
        <v>1023</v>
      </c>
    </row>
    <row r="595" spans="1:7" x14ac:dyDescent="0.3">
      <c r="A595" t="s">
        <v>600</v>
      </c>
      <c r="B595" s="2">
        <v>45709.324999999997</v>
      </c>
      <c r="C595">
        <v>4903.6000000000004</v>
      </c>
      <c r="D595" t="s">
        <v>1008</v>
      </c>
      <c r="E595" t="s">
        <v>1012</v>
      </c>
      <c r="F595" t="s">
        <v>1019</v>
      </c>
    </row>
    <row r="596" spans="1:7" x14ac:dyDescent="0.3">
      <c r="A596" t="s">
        <v>601</v>
      </c>
      <c r="B596" s="2">
        <v>45722.770138888889</v>
      </c>
      <c r="C596">
        <v>5014.3900000000003</v>
      </c>
      <c r="D596" t="s">
        <v>1010</v>
      </c>
      <c r="E596" t="s">
        <v>1017</v>
      </c>
      <c r="F596" t="s">
        <v>1019</v>
      </c>
    </row>
    <row r="597" spans="1:7" x14ac:dyDescent="0.3">
      <c r="A597" t="s">
        <v>602</v>
      </c>
      <c r="B597" s="2">
        <v>45721.259722222218</v>
      </c>
      <c r="C597">
        <v>8179.39</v>
      </c>
      <c r="D597" t="s">
        <v>1011</v>
      </c>
      <c r="E597" t="s">
        <v>1016</v>
      </c>
      <c r="F597" t="s">
        <v>1019</v>
      </c>
    </row>
    <row r="598" spans="1:7" x14ac:dyDescent="0.3">
      <c r="A598" t="s">
        <v>603</v>
      </c>
      <c r="B598" s="2">
        <v>45674.263888888891</v>
      </c>
      <c r="C598">
        <v>3593.23</v>
      </c>
      <c r="D598" t="s">
        <v>1011</v>
      </c>
      <c r="E598" t="s">
        <v>1017</v>
      </c>
      <c r="F598" t="s">
        <v>1019</v>
      </c>
    </row>
    <row r="599" spans="1:7" x14ac:dyDescent="0.3">
      <c r="A599" t="s">
        <v>604</v>
      </c>
      <c r="B599" s="2">
        <v>45747.602083333331</v>
      </c>
      <c r="C599">
        <v>6685.94</v>
      </c>
      <c r="D599" t="s">
        <v>1007</v>
      </c>
      <c r="E599" t="s">
        <v>1016</v>
      </c>
      <c r="F599" t="s">
        <v>1019</v>
      </c>
    </row>
    <row r="600" spans="1:7" x14ac:dyDescent="0.3">
      <c r="A600" t="s">
        <v>605</v>
      </c>
      <c r="B600" s="2">
        <v>45692.529166666667</v>
      </c>
      <c r="C600">
        <v>9274.93</v>
      </c>
      <c r="D600" t="s">
        <v>1009</v>
      </c>
      <c r="E600" t="s">
        <v>1017</v>
      </c>
      <c r="F600" t="s">
        <v>1019</v>
      </c>
    </row>
    <row r="601" spans="1:7" x14ac:dyDescent="0.3">
      <c r="A601" t="s">
        <v>606</v>
      </c>
      <c r="B601" s="2">
        <v>45727.074999999997</v>
      </c>
      <c r="C601">
        <v>8315.11</v>
      </c>
      <c r="D601" t="s">
        <v>1008</v>
      </c>
      <c r="E601" t="s">
        <v>1018</v>
      </c>
      <c r="F601" t="s">
        <v>1019</v>
      </c>
    </row>
    <row r="602" spans="1:7" x14ac:dyDescent="0.3">
      <c r="A602" t="s">
        <v>607</v>
      </c>
      <c r="B602" s="2">
        <v>45735.326388888891</v>
      </c>
      <c r="C602">
        <v>5388.46</v>
      </c>
      <c r="D602" t="s">
        <v>1009</v>
      </c>
      <c r="E602" t="s">
        <v>1015</v>
      </c>
      <c r="F602" t="s">
        <v>1019</v>
      </c>
    </row>
    <row r="603" spans="1:7" x14ac:dyDescent="0.3">
      <c r="A603" t="s">
        <v>608</v>
      </c>
      <c r="B603" s="2">
        <v>45742.23333333333</v>
      </c>
      <c r="C603">
        <v>2637.66</v>
      </c>
      <c r="D603" t="s">
        <v>1008</v>
      </c>
      <c r="E603" t="s">
        <v>1014</v>
      </c>
      <c r="F603" t="s">
        <v>1019</v>
      </c>
    </row>
    <row r="604" spans="1:7" x14ac:dyDescent="0.3">
      <c r="A604" t="s">
        <v>609</v>
      </c>
      <c r="B604" s="2">
        <v>45708.577777777777</v>
      </c>
      <c r="C604">
        <v>937.43</v>
      </c>
      <c r="D604" t="s">
        <v>1009</v>
      </c>
      <c r="E604" t="s">
        <v>1012</v>
      </c>
      <c r="F604" t="s">
        <v>1019</v>
      </c>
    </row>
    <row r="605" spans="1:7" x14ac:dyDescent="0.3">
      <c r="A605" t="s">
        <v>610</v>
      </c>
      <c r="B605" s="2">
        <v>45686.582638888889</v>
      </c>
      <c r="C605">
        <v>7619.04</v>
      </c>
      <c r="D605" t="s">
        <v>1010</v>
      </c>
      <c r="E605" t="s">
        <v>1013</v>
      </c>
      <c r="F605" t="s">
        <v>1019</v>
      </c>
    </row>
    <row r="606" spans="1:7" x14ac:dyDescent="0.3">
      <c r="A606" t="s">
        <v>611</v>
      </c>
      <c r="B606" s="2">
        <v>45747.959722222222</v>
      </c>
      <c r="C606">
        <v>9635.67</v>
      </c>
      <c r="D606" t="s">
        <v>1011</v>
      </c>
      <c r="E606" t="s">
        <v>1012</v>
      </c>
      <c r="F606" t="s">
        <v>1019</v>
      </c>
    </row>
    <row r="607" spans="1:7" x14ac:dyDescent="0.3">
      <c r="A607" t="s">
        <v>612</v>
      </c>
      <c r="B607" s="2">
        <v>45706.953472222223</v>
      </c>
      <c r="C607">
        <v>3660.51</v>
      </c>
      <c r="D607" t="s">
        <v>1011</v>
      </c>
      <c r="E607" t="s">
        <v>1018</v>
      </c>
      <c r="F607" t="s">
        <v>1019</v>
      </c>
    </row>
    <row r="608" spans="1:7" x14ac:dyDescent="0.3">
      <c r="A608" t="s">
        <v>613</v>
      </c>
      <c r="B608" s="2">
        <v>45722.755555555559</v>
      </c>
      <c r="C608">
        <v>405.15</v>
      </c>
      <c r="D608" t="s">
        <v>1008</v>
      </c>
      <c r="E608" t="s">
        <v>1015</v>
      </c>
      <c r="F608" t="s">
        <v>1019</v>
      </c>
    </row>
    <row r="609" spans="1:7" x14ac:dyDescent="0.3">
      <c r="A609" t="s">
        <v>614</v>
      </c>
      <c r="B609" s="2">
        <v>45744.899305555547</v>
      </c>
      <c r="C609">
        <v>5868.46</v>
      </c>
      <c r="D609" t="s">
        <v>1011</v>
      </c>
      <c r="E609" t="s">
        <v>1016</v>
      </c>
      <c r="F609" t="s">
        <v>1019</v>
      </c>
    </row>
    <row r="610" spans="1:7" x14ac:dyDescent="0.3">
      <c r="A610" t="s">
        <v>615</v>
      </c>
      <c r="B610" s="2">
        <v>45682.410416666673</v>
      </c>
      <c r="C610">
        <v>9519.44</v>
      </c>
      <c r="D610" t="s">
        <v>1009</v>
      </c>
      <c r="E610" t="s">
        <v>1018</v>
      </c>
      <c r="F610" t="s">
        <v>1020</v>
      </c>
      <c r="G610" t="s">
        <v>1026</v>
      </c>
    </row>
    <row r="611" spans="1:7" x14ac:dyDescent="0.3">
      <c r="A611" t="s">
        <v>616</v>
      </c>
      <c r="B611" s="2">
        <v>45663.42083333333</v>
      </c>
      <c r="C611">
        <v>8175.11</v>
      </c>
      <c r="D611" t="s">
        <v>1009</v>
      </c>
      <c r="E611" t="s">
        <v>1018</v>
      </c>
      <c r="F611" t="s">
        <v>1019</v>
      </c>
    </row>
    <row r="612" spans="1:7" x14ac:dyDescent="0.3">
      <c r="A612" t="s">
        <v>617</v>
      </c>
      <c r="B612" s="2">
        <v>45746.729861111111</v>
      </c>
      <c r="C612">
        <v>185.37</v>
      </c>
      <c r="D612" t="s">
        <v>1009</v>
      </c>
      <c r="E612" t="s">
        <v>1013</v>
      </c>
      <c r="F612" t="s">
        <v>1019</v>
      </c>
    </row>
    <row r="613" spans="1:7" x14ac:dyDescent="0.3">
      <c r="A613" t="s">
        <v>618</v>
      </c>
      <c r="B613" s="2">
        <v>45727.39166666667</v>
      </c>
      <c r="C613">
        <v>6316.5</v>
      </c>
      <c r="D613" t="s">
        <v>1007</v>
      </c>
      <c r="E613" t="s">
        <v>1018</v>
      </c>
      <c r="F613" t="s">
        <v>1019</v>
      </c>
    </row>
    <row r="614" spans="1:7" x14ac:dyDescent="0.3">
      <c r="A614" t="s">
        <v>619</v>
      </c>
      <c r="B614" s="2">
        <v>45716.372916666667</v>
      </c>
      <c r="C614">
        <v>6652.18</v>
      </c>
      <c r="D614" t="s">
        <v>1010</v>
      </c>
      <c r="E614" t="s">
        <v>1016</v>
      </c>
      <c r="F614" t="s">
        <v>1019</v>
      </c>
    </row>
    <row r="615" spans="1:7" x14ac:dyDescent="0.3">
      <c r="A615" t="s">
        <v>620</v>
      </c>
      <c r="B615" s="2">
        <v>45726.341666666667</v>
      </c>
      <c r="C615">
        <v>5563.52</v>
      </c>
      <c r="D615" t="s">
        <v>1009</v>
      </c>
      <c r="E615" t="s">
        <v>1015</v>
      </c>
      <c r="F615" t="s">
        <v>1019</v>
      </c>
    </row>
    <row r="616" spans="1:7" x14ac:dyDescent="0.3">
      <c r="A616" t="s">
        <v>621</v>
      </c>
      <c r="B616" s="2">
        <v>45703.092361111107</v>
      </c>
      <c r="C616">
        <v>4882.3500000000004</v>
      </c>
      <c r="D616" t="s">
        <v>1010</v>
      </c>
      <c r="E616" t="s">
        <v>1013</v>
      </c>
      <c r="F616" t="s">
        <v>1020</v>
      </c>
      <c r="G616" t="s">
        <v>1022</v>
      </c>
    </row>
    <row r="617" spans="1:7" x14ac:dyDescent="0.3">
      <c r="A617" t="s">
        <v>622</v>
      </c>
      <c r="B617" s="2">
        <v>45691.684027777781</v>
      </c>
      <c r="C617">
        <v>3039.71</v>
      </c>
      <c r="D617" t="s">
        <v>1009</v>
      </c>
      <c r="E617" t="s">
        <v>1017</v>
      </c>
      <c r="F617" t="s">
        <v>1019</v>
      </c>
    </row>
    <row r="618" spans="1:7" x14ac:dyDescent="0.3">
      <c r="A618" t="s">
        <v>623</v>
      </c>
      <c r="B618" s="2">
        <v>45710.800694444442</v>
      </c>
      <c r="C618">
        <v>7918.55</v>
      </c>
      <c r="D618" t="s">
        <v>1008</v>
      </c>
      <c r="E618" t="s">
        <v>1013</v>
      </c>
      <c r="F618" t="s">
        <v>1020</v>
      </c>
      <c r="G618" t="s">
        <v>1026</v>
      </c>
    </row>
    <row r="619" spans="1:7" x14ac:dyDescent="0.3">
      <c r="A619" t="s">
        <v>624</v>
      </c>
      <c r="B619" s="2">
        <v>45679.362500000003</v>
      </c>
      <c r="C619">
        <v>367.6</v>
      </c>
      <c r="D619" t="s">
        <v>1011</v>
      </c>
      <c r="E619" t="s">
        <v>1013</v>
      </c>
      <c r="F619" t="s">
        <v>1019</v>
      </c>
    </row>
    <row r="620" spans="1:7" x14ac:dyDescent="0.3">
      <c r="A620" t="s">
        <v>625</v>
      </c>
      <c r="B620" s="2">
        <v>45674.742361111108</v>
      </c>
      <c r="C620">
        <v>8312.0400000000009</v>
      </c>
      <c r="D620" t="s">
        <v>1007</v>
      </c>
      <c r="E620" t="s">
        <v>1012</v>
      </c>
      <c r="F620" t="s">
        <v>1019</v>
      </c>
    </row>
    <row r="621" spans="1:7" x14ac:dyDescent="0.3">
      <c r="A621" t="s">
        <v>626</v>
      </c>
      <c r="B621" s="2">
        <v>45690.104861111111</v>
      </c>
      <c r="C621">
        <v>8033.15</v>
      </c>
      <c r="D621" t="s">
        <v>1007</v>
      </c>
      <c r="E621" t="s">
        <v>1012</v>
      </c>
      <c r="F621" t="s">
        <v>1019</v>
      </c>
    </row>
    <row r="622" spans="1:7" x14ac:dyDescent="0.3">
      <c r="A622" t="s">
        <v>627</v>
      </c>
      <c r="B622" s="2">
        <v>45745.321527777778</v>
      </c>
      <c r="C622">
        <v>1068.69</v>
      </c>
      <c r="D622" t="s">
        <v>1008</v>
      </c>
      <c r="E622" t="s">
        <v>1017</v>
      </c>
      <c r="F622" t="s">
        <v>1019</v>
      </c>
    </row>
    <row r="623" spans="1:7" x14ac:dyDescent="0.3">
      <c r="A623" t="s">
        <v>628</v>
      </c>
      <c r="B623" s="2">
        <v>45665.894444444442</v>
      </c>
      <c r="C623">
        <v>79.86</v>
      </c>
      <c r="D623" t="s">
        <v>1009</v>
      </c>
      <c r="E623" t="s">
        <v>1016</v>
      </c>
      <c r="F623" t="s">
        <v>1019</v>
      </c>
    </row>
    <row r="624" spans="1:7" x14ac:dyDescent="0.3">
      <c r="A624" t="s">
        <v>629</v>
      </c>
      <c r="B624" s="2">
        <v>45737.819444444453</v>
      </c>
      <c r="C624">
        <v>1170.95</v>
      </c>
      <c r="D624" t="s">
        <v>1010</v>
      </c>
      <c r="E624" t="s">
        <v>1017</v>
      </c>
      <c r="F624" t="s">
        <v>1019</v>
      </c>
    </row>
    <row r="625" spans="1:7" x14ac:dyDescent="0.3">
      <c r="A625" t="s">
        <v>630</v>
      </c>
      <c r="B625" s="2">
        <v>45693.535416666673</v>
      </c>
      <c r="C625">
        <v>7653.89</v>
      </c>
      <c r="D625" t="s">
        <v>1008</v>
      </c>
      <c r="E625" t="s">
        <v>1016</v>
      </c>
      <c r="F625" t="s">
        <v>1019</v>
      </c>
    </row>
    <row r="626" spans="1:7" x14ac:dyDescent="0.3">
      <c r="A626" t="s">
        <v>631</v>
      </c>
      <c r="B626" s="2">
        <v>45671.118055555547</v>
      </c>
      <c r="C626">
        <v>297.02999999999997</v>
      </c>
      <c r="D626" t="s">
        <v>1007</v>
      </c>
      <c r="E626" t="s">
        <v>1015</v>
      </c>
      <c r="F626" t="s">
        <v>1019</v>
      </c>
    </row>
    <row r="627" spans="1:7" x14ac:dyDescent="0.3">
      <c r="A627" t="s">
        <v>632</v>
      </c>
      <c r="B627" s="2">
        <v>45677.282638888893</v>
      </c>
      <c r="C627">
        <v>9165.57</v>
      </c>
      <c r="D627" t="s">
        <v>1007</v>
      </c>
      <c r="E627" t="s">
        <v>1014</v>
      </c>
      <c r="F627" t="s">
        <v>1019</v>
      </c>
    </row>
    <row r="628" spans="1:7" x14ac:dyDescent="0.3">
      <c r="A628" t="s">
        <v>633</v>
      </c>
      <c r="B628" s="2">
        <v>45689.581944444442</v>
      </c>
      <c r="C628">
        <v>5683.37</v>
      </c>
      <c r="D628" t="s">
        <v>1009</v>
      </c>
      <c r="E628" t="s">
        <v>1012</v>
      </c>
      <c r="F628" t="s">
        <v>1019</v>
      </c>
    </row>
    <row r="629" spans="1:7" x14ac:dyDescent="0.3">
      <c r="A629" t="s">
        <v>634</v>
      </c>
      <c r="B629" s="2">
        <v>45683.862500000003</v>
      </c>
      <c r="C629">
        <v>9626.32</v>
      </c>
      <c r="D629" t="s">
        <v>1009</v>
      </c>
      <c r="E629" t="s">
        <v>1018</v>
      </c>
      <c r="F629" t="s">
        <v>1019</v>
      </c>
    </row>
    <row r="630" spans="1:7" x14ac:dyDescent="0.3">
      <c r="A630" t="s">
        <v>635</v>
      </c>
      <c r="B630" s="2">
        <v>45732.759027777778</v>
      </c>
      <c r="C630">
        <v>7787.6</v>
      </c>
      <c r="D630" t="s">
        <v>1011</v>
      </c>
      <c r="E630" t="s">
        <v>1013</v>
      </c>
      <c r="F630" t="s">
        <v>1020</v>
      </c>
      <c r="G630" t="s">
        <v>1026</v>
      </c>
    </row>
    <row r="631" spans="1:7" x14ac:dyDescent="0.3">
      <c r="A631" t="s">
        <v>636</v>
      </c>
      <c r="B631" s="2">
        <v>45702.226388888892</v>
      </c>
      <c r="C631">
        <v>3200.64</v>
      </c>
      <c r="D631" t="s">
        <v>1010</v>
      </c>
      <c r="E631" t="s">
        <v>1015</v>
      </c>
      <c r="F631" t="s">
        <v>1020</v>
      </c>
      <c r="G631" t="s">
        <v>1026</v>
      </c>
    </row>
    <row r="632" spans="1:7" x14ac:dyDescent="0.3">
      <c r="A632" t="s">
        <v>637</v>
      </c>
      <c r="B632" s="2">
        <v>45662.992361111108</v>
      </c>
      <c r="C632">
        <v>8824.61</v>
      </c>
      <c r="D632" t="s">
        <v>1010</v>
      </c>
      <c r="E632" t="s">
        <v>1014</v>
      </c>
      <c r="F632" t="s">
        <v>1019</v>
      </c>
    </row>
    <row r="633" spans="1:7" x14ac:dyDescent="0.3">
      <c r="A633" t="s">
        <v>638</v>
      </c>
      <c r="B633" s="2">
        <v>45725.421527777777</v>
      </c>
      <c r="C633">
        <v>1435.27</v>
      </c>
      <c r="D633" t="s">
        <v>1008</v>
      </c>
      <c r="E633" t="s">
        <v>1016</v>
      </c>
      <c r="F633" t="s">
        <v>1020</v>
      </c>
      <c r="G633" t="s">
        <v>1022</v>
      </c>
    </row>
    <row r="634" spans="1:7" x14ac:dyDescent="0.3">
      <c r="A634" t="s">
        <v>639</v>
      </c>
      <c r="B634" s="2">
        <v>45689.206944444442</v>
      </c>
      <c r="C634">
        <v>2038.91</v>
      </c>
      <c r="D634" t="s">
        <v>1010</v>
      </c>
      <c r="E634" t="s">
        <v>1013</v>
      </c>
      <c r="F634" t="s">
        <v>1019</v>
      </c>
    </row>
    <row r="635" spans="1:7" x14ac:dyDescent="0.3">
      <c r="A635" t="s">
        <v>640</v>
      </c>
      <c r="B635" s="2">
        <v>45703.547222222223</v>
      </c>
      <c r="C635">
        <v>665.7</v>
      </c>
      <c r="D635" t="s">
        <v>1009</v>
      </c>
      <c r="E635" t="s">
        <v>1017</v>
      </c>
      <c r="F635" t="s">
        <v>1019</v>
      </c>
    </row>
    <row r="636" spans="1:7" x14ac:dyDescent="0.3">
      <c r="A636" t="s">
        <v>641</v>
      </c>
      <c r="B636" s="2">
        <v>45744.316666666673</v>
      </c>
      <c r="C636">
        <v>8022.96</v>
      </c>
      <c r="D636" t="s">
        <v>1007</v>
      </c>
      <c r="E636" t="s">
        <v>1013</v>
      </c>
      <c r="F636" t="s">
        <v>1019</v>
      </c>
    </row>
    <row r="637" spans="1:7" x14ac:dyDescent="0.3">
      <c r="A637" t="s">
        <v>642</v>
      </c>
      <c r="B637" s="2">
        <v>45745.40902777778</v>
      </c>
      <c r="C637">
        <v>5370.71</v>
      </c>
      <c r="D637" t="s">
        <v>1008</v>
      </c>
      <c r="E637" t="s">
        <v>1014</v>
      </c>
      <c r="F637" t="s">
        <v>1019</v>
      </c>
    </row>
    <row r="638" spans="1:7" x14ac:dyDescent="0.3">
      <c r="A638" t="s">
        <v>643</v>
      </c>
      <c r="B638" s="2">
        <v>45662.057638888888</v>
      </c>
      <c r="C638">
        <v>3484.17</v>
      </c>
      <c r="D638" t="s">
        <v>1008</v>
      </c>
      <c r="E638" t="s">
        <v>1014</v>
      </c>
      <c r="F638" t="s">
        <v>1019</v>
      </c>
    </row>
    <row r="639" spans="1:7" x14ac:dyDescent="0.3">
      <c r="A639" t="s">
        <v>644</v>
      </c>
      <c r="B639" s="2">
        <v>45691.344444444447</v>
      </c>
      <c r="C639">
        <v>8444.06</v>
      </c>
      <c r="D639" t="s">
        <v>1011</v>
      </c>
      <c r="E639" t="s">
        <v>1016</v>
      </c>
      <c r="F639" t="s">
        <v>1020</v>
      </c>
      <c r="G639" t="s">
        <v>1023</v>
      </c>
    </row>
    <row r="640" spans="1:7" x14ac:dyDescent="0.3">
      <c r="A640" t="s">
        <v>645</v>
      </c>
      <c r="B640" s="2">
        <v>45712.631249999999</v>
      </c>
      <c r="C640">
        <v>5223.24</v>
      </c>
      <c r="D640" t="s">
        <v>1011</v>
      </c>
      <c r="E640" t="s">
        <v>1017</v>
      </c>
      <c r="F640" t="s">
        <v>1020</v>
      </c>
      <c r="G640" t="s">
        <v>1025</v>
      </c>
    </row>
    <row r="641" spans="1:7" x14ac:dyDescent="0.3">
      <c r="A641" t="s">
        <v>646</v>
      </c>
      <c r="B641" s="2">
        <v>45660.703472222223</v>
      </c>
      <c r="C641">
        <v>9783.09</v>
      </c>
      <c r="D641" t="s">
        <v>1011</v>
      </c>
      <c r="E641" t="s">
        <v>1014</v>
      </c>
      <c r="F641" t="s">
        <v>1019</v>
      </c>
    </row>
    <row r="642" spans="1:7" x14ac:dyDescent="0.3">
      <c r="A642" t="s">
        <v>647</v>
      </c>
      <c r="B642" s="2">
        <v>45663.701388888891</v>
      </c>
      <c r="C642">
        <v>8772.84</v>
      </c>
      <c r="D642" t="s">
        <v>1007</v>
      </c>
      <c r="E642" t="s">
        <v>1018</v>
      </c>
      <c r="F642" t="s">
        <v>1019</v>
      </c>
    </row>
    <row r="643" spans="1:7" x14ac:dyDescent="0.3">
      <c r="A643" t="s">
        <v>648</v>
      </c>
      <c r="B643" s="2">
        <v>45672.886805555558</v>
      </c>
      <c r="C643">
        <v>4659.4399999999996</v>
      </c>
      <c r="D643" t="s">
        <v>1009</v>
      </c>
      <c r="E643" t="s">
        <v>1012</v>
      </c>
      <c r="F643" t="s">
        <v>1020</v>
      </c>
      <c r="G643" t="s">
        <v>1021</v>
      </c>
    </row>
    <row r="644" spans="1:7" x14ac:dyDescent="0.3">
      <c r="A644" t="s">
        <v>649</v>
      </c>
      <c r="B644" s="2">
        <v>45670.770138888889</v>
      </c>
      <c r="C644">
        <v>3707</v>
      </c>
      <c r="D644" t="s">
        <v>1009</v>
      </c>
      <c r="E644" t="s">
        <v>1018</v>
      </c>
      <c r="F644" t="s">
        <v>1019</v>
      </c>
    </row>
    <row r="645" spans="1:7" x14ac:dyDescent="0.3">
      <c r="A645" t="s">
        <v>650</v>
      </c>
      <c r="B645" s="2">
        <v>45659.252083333333</v>
      </c>
      <c r="C645">
        <v>5008.74</v>
      </c>
      <c r="D645" t="s">
        <v>1008</v>
      </c>
      <c r="E645" t="s">
        <v>1013</v>
      </c>
      <c r="F645" t="s">
        <v>1020</v>
      </c>
      <c r="G645" t="s">
        <v>1023</v>
      </c>
    </row>
    <row r="646" spans="1:7" x14ac:dyDescent="0.3">
      <c r="A646" t="s">
        <v>651</v>
      </c>
      <c r="B646" s="2">
        <v>45701.93472222222</v>
      </c>
      <c r="C646">
        <v>3611.06</v>
      </c>
      <c r="D646" t="s">
        <v>1008</v>
      </c>
      <c r="E646" t="s">
        <v>1018</v>
      </c>
      <c r="F646" t="s">
        <v>1019</v>
      </c>
    </row>
    <row r="647" spans="1:7" x14ac:dyDescent="0.3">
      <c r="A647" t="s">
        <v>652</v>
      </c>
      <c r="B647" s="2">
        <v>45744.416666666657</v>
      </c>
      <c r="C647">
        <v>5392.62</v>
      </c>
      <c r="D647" t="s">
        <v>1011</v>
      </c>
      <c r="E647" t="s">
        <v>1018</v>
      </c>
      <c r="F647" t="s">
        <v>1020</v>
      </c>
      <c r="G647" t="s">
        <v>1021</v>
      </c>
    </row>
    <row r="648" spans="1:7" x14ac:dyDescent="0.3">
      <c r="A648" t="s">
        <v>653</v>
      </c>
      <c r="B648" s="2">
        <v>45730.442361111112</v>
      </c>
      <c r="C648">
        <v>8110.34</v>
      </c>
      <c r="D648" t="s">
        <v>1009</v>
      </c>
      <c r="E648" t="s">
        <v>1014</v>
      </c>
      <c r="F648" t="s">
        <v>1019</v>
      </c>
    </row>
    <row r="649" spans="1:7" x14ac:dyDescent="0.3">
      <c r="A649" t="s">
        <v>654</v>
      </c>
      <c r="B649" s="2">
        <v>45693.693749999999</v>
      </c>
      <c r="C649">
        <v>1653.93</v>
      </c>
      <c r="D649" t="s">
        <v>1009</v>
      </c>
      <c r="E649" t="s">
        <v>1013</v>
      </c>
      <c r="F649" t="s">
        <v>1020</v>
      </c>
      <c r="G649" t="s">
        <v>1023</v>
      </c>
    </row>
    <row r="650" spans="1:7" x14ac:dyDescent="0.3">
      <c r="A650" t="s">
        <v>655</v>
      </c>
      <c r="B650" s="2">
        <v>45659.429166666669</v>
      </c>
      <c r="C650">
        <v>5763.57</v>
      </c>
      <c r="D650" t="s">
        <v>1010</v>
      </c>
      <c r="E650" t="s">
        <v>1015</v>
      </c>
      <c r="F650" t="s">
        <v>1019</v>
      </c>
    </row>
    <row r="651" spans="1:7" x14ac:dyDescent="0.3">
      <c r="A651" t="s">
        <v>656</v>
      </c>
      <c r="B651" s="2">
        <v>45714.48333333333</v>
      </c>
      <c r="C651">
        <v>7221.67</v>
      </c>
      <c r="D651" t="s">
        <v>1009</v>
      </c>
      <c r="E651" t="s">
        <v>1013</v>
      </c>
      <c r="F651" t="s">
        <v>1019</v>
      </c>
    </row>
    <row r="652" spans="1:7" x14ac:dyDescent="0.3">
      <c r="A652" t="s">
        <v>657</v>
      </c>
      <c r="B652" s="2">
        <v>45730.480555555558</v>
      </c>
      <c r="C652">
        <v>4629.63</v>
      </c>
      <c r="D652" t="s">
        <v>1007</v>
      </c>
      <c r="E652" t="s">
        <v>1012</v>
      </c>
      <c r="F652" t="s">
        <v>1019</v>
      </c>
    </row>
    <row r="653" spans="1:7" x14ac:dyDescent="0.3">
      <c r="A653" t="s">
        <v>658</v>
      </c>
      <c r="B653" s="2">
        <v>45690.857638888891</v>
      </c>
      <c r="C653">
        <v>8814.0300000000007</v>
      </c>
      <c r="D653" t="s">
        <v>1010</v>
      </c>
      <c r="E653" t="s">
        <v>1017</v>
      </c>
      <c r="F653" t="s">
        <v>1019</v>
      </c>
    </row>
    <row r="654" spans="1:7" x14ac:dyDescent="0.3">
      <c r="A654" t="s">
        <v>659</v>
      </c>
      <c r="B654" s="2">
        <v>45666.531944444447</v>
      </c>
      <c r="C654">
        <v>2228.71</v>
      </c>
      <c r="D654" t="s">
        <v>1008</v>
      </c>
      <c r="E654" t="s">
        <v>1017</v>
      </c>
      <c r="F654" t="s">
        <v>1019</v>
      </c>
    </row>
    <row r="655" spans="1:7" x14ac:dyDescent="0.3">
      <c r="A655" t="s">
        <v>660</v>
      </c>
      <c r="B655" s="2">
        <v>45699.35</v>
      </c>
      <c r="C655">
        <v>8931.98</v>
      </c>
      <c r="D655" t="s">
        <v>1009</v>
      </c>
      <c r="E655" t="s">
        <v>1013</v>
      </c>
      <c r="F655" t="s">
        <v>1019</v>
      </c>
    </row>
    <row r="656" spans="1:7" x14ac:dyDescent="0.3">
      <c r="A656" t="s">
        <v>661</v>
      </c>
      <c r="B656" s="2">
        <v>45677.402777777781</v>
      </c>
      <c r="C656">
        <v>380.48</v>
      </c>
      <c r="D656" t="s">
        <v>1008</v>
      </c>
      <c r="E656" t="s">
        <v>1018</v>
      </c>
      <c r="F656" t="s">
        <v>1019</v>
      </c>
    </row>
    <row r="657" spans="1:7" x14ac:dyDescent="0.3">
      <c r="A657" t="s">
        <v>662</v>
      </c>
      <c r="B657" s="2">
        <v>45684.449305555558</v>
      </c>
      <c r="C657">
        <v>1635.26</v>
      </c>
      <c r="D657" t="s">
        <v>1010</v>
      </c>
      <c r="E657" t="s">
        <v>1018</v>
      </c>
      <c r="F657" t="s">
        <v>1020</v>
      </c>
      <c r="G657" t="s">
        <v>1023</v>
      </c>
    </row>
    <row r="658" spans="1:7" x14ac:dyDescent="0.3">
      <c r="A658" t="s">
        <v>663</v>
      </c>
      <c r="B658" s="2">
        <v>45674.802083333343</v>
      </c>
      <c r="C658">
        <v>8348.27</v>
      </c>
      <c r="D658" t="s">
        <v>1008</v>
      </c>
      <c r="E658" t="s">
        <v>1017</v>
      </c>
      <c r="F658" t="s">
        <v>1019</v>
      </c>
    </row>
    <row r="659" spans="1:7" x14ac:dyDescent="0.3">
      <c r="A659" t="s">
        <v>664</v>
      </c>
      <c r="B659" s="2">
        <v>45679.946527777778</v>
      </c>
      <c r="C659">
        <v>6535.37</v>
      </c>
      <c r="D659" t="s">
        <v>1009</v>
      </c>
      <c r="E659" t="s">
        <v>1017</v>
      </c>
      <c r="F659" t="s">
        <v>1019</v>
      </c>
    </row>
    <row r="660" spans="1:7" x14ac:dyDescent="0.3">
      <c r="A660" t="s">
        <v>665</v>
      </c>
      <c r="B660" s="2">
        <v>45737.34652777778</v>
      </c>
      <c r="C660">
        <v>4105.3500000000004</v>
      </c>
      <c r="D660" t="s">
        <v>1010</v>
      </c>
      <c r="E660" t="s">
        <v>1016</v>
      </c>
      <c r="F660" t="s">
        <v>1019</v>
      </c>
    </row>
    <row r="661" spans="1:7" x14ac:dyDescent="0.3">
      <c r="A661" t="s">
        <v>666</v>
      </c>
      <c r="B661" s="2">
        <v>45688.913888888892</v>
      </c>
      <c r="C661">
        <v>6789.54</v>
      </c>
      <c r="D661" t="s">
        <v>1010</v>
      </c>
      <c r="E661" t="s">
        <v>1016</v>
      </c>
      <c r="F661" t="s">
        <v>1020</v>
      </c>
      <c r="G661" t="s">
        <v>1026</v>
      </c>
    </row>
    <row r="662" spans="1:7" x14ac:dyDescent="0.3">
      <c r="A662" t="s">
        <v>667</v>
      </c>
      <c r="B662" s="2">
        <v>45674.940972222219</v>
      </c>
      <c r="C662">
        <v>8128.49</v>
      </c>
      <c r="D662" t="s">
        <v>1008</v>
      </c>
      <c r="E662" t="s">
        <v>1018</v>
      </c>
      <c r="F662" t="s">
        <v>1019</v>
      </c>
    </row>
    <row r="663" spans="1:7" x14ac:dyDescent="0.3">
      <c r="A663" t="s">
        <v>668</v>
      </c>
      <c r="B663" s="2">
        <v>45668.031944444447</v>
      </c>
      <c r="C663">
        <v>8344.7999999999993</v>
      </c>
      <c r="D663" t="s">
        <v>1010</v>
      </c>
      <c r="E663" t="s">
        <v>1012</v>
      </c>
      <c r="F663" t="s">
        <v>1020</v>
      </c>
      <c r="G663" t="s">
        <v>1021</v>
      </c>
    </row>
    <row r="664" spans="1:7" x14ac:dyDescent="0.3">
      <c r="A664" t="s">
        <v>669</v>
      </c>
      <c r="B664" s="2">
        <v>45670.097222222219</v>
      </c>
      <c r="C664">
        <v>6011.39</v>
      </c>
      <c r="D664" t="s">
        <v>1011</v>
      </c>
      <c r="E664" t="s">
        <v>1015</v>
      </c>
      <c r="F664" t="s">
        <v>1020</v>
      </c>
      <c r="G664" t="s">
        <v>1021</v>
      </c>
    </row>
    <row r="665" spans="1:7" x14ac:dyDescent="0.3">
      <c r="A665" t="s">
        <v>670</v>
      </c>
      <c r="B665" s="2">
        <v>45741.222916666673</v>
      </c>
      <c r="C665">
        <v>9730.2999999999993</v>
      </c>
      <c r="D665" t="s">
        <v>1009</v>
      </c>
      <c r="E665" t="s">
        <v>1017</v>
      </c>
      <c r="F665" t="s">
        <v>1019</v>
      </c>
    </row>
    <row r="666" spans="1:7" x14ac:dyDescent="0.3">
      <c r="A666" t="s">
        <v>671</v>
      </c>
      <c r="B666" s="2">
        <v>45714.804166666669</v>
      </c>
      <c r="C666">
        <v>8188.47</v>
      </c>
      <c r="D666" t="s">
        <v>1010</v>
      </c>
      <c r="E666" t="s">
        <v>1018</v>
      </c>
      <c r="F666" t="s">
        <v>1019</v>
      </c>
    </row>
    <row r="667" spans="1:7" x14ac:dyDescent="0.3">
      <c r="A667" t="s">
        <v>672</v>
      </c>
      <c r="B667" s="2">
        <v>45735.388194444437</v>
      </c>
      <c r="C667">
        <v>4992.4799999999996</v>
      </c>
      <c r="D667" t="s">
        <v>1008</v>
      </c>
      <c r="E667" t="s">
        <v>1012</v>
      </c>
      <c r="F667" t="s">
        <v>1019</v>
      </c>
    </row>
    <row r="668" spans="1:7" x14ac:dyDescent="0.3">
      <c r="A668" t="s">
        <v>673</v>
      </c>
      <c r="B668" s="2">
        <v>45675.646527777782</v>
      </c>
      <c r="C668">
        <v>3670.16</v>
      </c>
      <c r="D668" t="s">
        <v>1010</v>
      </c>
      <c r="E668" t="s">
        <v>1013</v>
      </c>
      <c r="F668" t="s">
        <v>1020</v>
      </c>
      <c r="G668" t="s">
        <v>1023</v>
      </c>
    </row>
    <row r="669" spans="1:7" x14ac:dyDescent="0.3">
      <c r="A669" t="s">
        <v>674</v>
      </c>
      <c r="B669" s="2">
        <v>45662.603472222218</v>
      </c>
      <c r="C669">
        <v>3508.66</v>
      </c>
      <c r="D669" t="s">
        <v>1011</v>
      </c>
      <c r="E669" t="s">
        <v>1016</v>
      </c>
      <c r="F669" t="s">
        <v>1019</v>
      </c>
    </row>
    <row r="670" spans="1:7" x14ac:dyDescent="0.3">
      <c r="A670" t="s">
        <v>675</v>
      </c>
      <c r="B670" s="2">
        <v>45736.813888888893</v>
      </c>
      <c r="C670">
        <v>5876.46</v>
      </c>
      <c r="D670" t="s">
        <v>1010</v>
      </c>
      <c r="E670" t="s">
        <v>1013</v>
      </c>
      <c r="F670" t="s">
        <v>1019</v>
      </c>
    </row>
    <row r="671" spans="1:7" x14ac:dyDescent="0.3">
      <c r="A671" t="s">
        <v>676</v>
      </c>
      <c r="B671" s="2">
        <v>45676.122916666667</v>
      </c>
      <c r="C671">
        <v>3386.82</v>
      </c>
      <c r="D671" t="s">
        <v>1011</v>
      </c>
      <c r="E671" t="s">
        <v>1016</v>
      </c>
      <c r="F671" t="s">
        <v>1019</v>
      </c>
    </row>
    <row r="672" spans="1:7" x14ac:dyDescent="0.3">
      <c r="A672" t="s">
        <v>677</v>
      </c>
      <c r="B672" s="2">
        <v>45716.54583333333</v>
      </c>
      <c r="C672">
        <v>6769.09</v>
      </c>
      <c r="D672" t="s">
        <v>1011</v>
      </c>
      <c r="E672" t="s">
        <v>1016</v>
      </c>
      <c r="F672" t="s">
        <v>1019</v>
      </c>
    </row>
    <row r="673" spans="1:7" x14ac:dyDescent="0.3">
      <c r="A673" t="s">
        <v>678</v>
      </c>
      <c r="B673" s="2">
        <v>45664.849305555559</v>
      </c>
      <c r="C673">
        <v>7235.28</v>
      </c>
      <c r="D673" t="s">
        <v>1007</v>
      </c>
      <c r="E673" t="s">
        <v>1017</v>
      </c>
      <c r="F673" t="s">
        <v>1019</v>
      </c>
    </row>
    <row r="674" spans="1:7" x14ac:dyDescent="0.3">
      <c r="A674" t="s">
        <v>679</v>
      </c>
      <c r="B674" s="2">
        <v>45682.338194444441</v>
      </c>
      <c r="C674">
        <v>2586.7600000000002</v>
      </c>
      <c r="D674" t="s">
        <v>1009</v>
      </c>
      <c r="E674" t="s">
        <v>1012</v>
      </c>
      <c r="F674" t="s">
        <v>1019</v>
      </c>
    </row>
    <row r="675" spans="1:7" x14ac:dyDescent="0.3">
      <c r="A675" t="s">
        <v>680</v>
      </c>
      <c r="B675" s="2">
        <v>45687.612500000003</v>
      </c>
      <c r="C675">
        <v>9453.26</v>
      </c>
      <c r="D675" t="s">
        <v>1010</v>
      </c>
      <c r="E675" t="s">
        <v>1016</v>
      </c>
      <c r="F675" t="s">
        <v>1019</v>
      </c>
    </row>
    <row r="676" spans="1:7" x14ac:dyDescent="0.3">
      <c r="A676" t="s">
        <v>681</v>
      </c>
      <c r="B676" s="2">
        <v>45688.649305555547</v>
      </c>
      <c r="C676">
        <v>1438.94</v>
      </c>
      <c r="D676" t="s">
        <v>1008</v>
      </c>
      <c r="E676" t="s">
        <v>1012</v>
      </c>
      <c r="F676" t="s">
        <v>1019</v>
      </c>
    </row>
    <row r="677" spans="1:7" x14ac:dyDescent="0.3">
      <c r="A677" t="s">
        <v>682</v>
      </c>
      <c r="B677" s="2">
        <v>45691.767361111109</v>
      </c>
      <c r="C677">
        <v>6041.28</v>
      </c>
      <c r="D677" t="s">
        <v>1008</v>
      </c>
      <c r="E677" t="s">
        <v>1014</v>
      </c>
      <c r="F677" t="s">
        <v>1020</v>
      </c>
      <c r="G677" t="s">
        <v>1024</v>
      </c>
    </row>
    <row r="678" spans="1:7" x14ac:dyDescent="0.3">
      <c r="A678" t="s">
        <v>683</v>
      </c>
      <c r="B678" s="2">
        <v>45727.5</v>
      </c>
      <c r="C678">
        <v>8662.02</v>
      </c>
      <c r="D678" t="s">
        <v>1009</v>
      </c>
      <c r="E678" t="s">
        <v>1013</v>
      </c>
      <c r="F678" t="s">
        <v>1019</v>
      </c>
    </row>
    <row r="679" spans="1:7" x14ac:dyDescent="0.3">
      <c r="A679" t="s">
        <v>684</v>
      </c>
      <c r="B679" s="2">
        <v>45714.897222222222</v>
      </c>
      <c r="C679">
        <v>9295.84</v>
      </c>
      <c r="D679" t="s">
        <v>1008</v>
      </c>
      <c r="E679" t="s">
        <v>1012</v>
      </c>
      <c r="F679" t="s">
        <v>1019</v>
      </c>
    </row>
    <row r="680" spans="1:7" x14ac:dyDescent="0.3">
      <c r="A680" t="s">
        <v>685</v>
      </c>
      <c r="B680" s="2">
        <v>45661.098611111112</v>
      </c>
      <c r="C680">
        <v>6905.1</v>
      </c>
      <c r="D680" t="s">
        <v>1009</v>
      </c>
      <c r="E680" t="s">
        <v>1016</v>
      </c>
      <c r="F680" t="s">
        <v>1019</v>
      </c>
    </row>
    <row r="681" spans="1:7" x14ac:dyDescent="0.3">
      <c r="A681" t="s">
        <v>686</v>
      </c>
      <c r="B681" s="2">
        <v>45713.964583333327</v>
      </c>
      <c r="C681">
        <v>4023.51</v>
      </c>
      <c r="D681" t="s">
        <v>1009</v>
      </c>
      <c r="E681" t="s">
        <v>1014</v>
      </c>
      <c r="F681" t="s">
        <v>1019</v>
      </c>
    </row>
    <row r="682" spans="1:7" x14ac:dyDescent="0.3">
      <c r="A682" t="s">
        <v>687</v>
      </c>
      <c r="B682" s="2">
        <v>45696.376388888893</v>
      </c>
      <c r="C682">
        <v>7923.72</v>
      </c>
      <c r="D682" t="s">
        <v>1009</v>
      </c>
      <c r="E682" t="s">
        <v>1012</v>
      </c>
      <c r="F682" t="s">
        <v>1019</v>
      </c>
    </row>
    <row r="683" spans="1:7" x14ac:dyDescent="0.3">
      <c r="A683" t="s">
        <v>688</v>
      </c>
      <c r="B683" s="2">
        <v>45704.419444444437</v>
      </c>
      <c r="C683">
        <v>3857.65</v>
      </c>
      <c r="D683" t="s">
        <v>1008</v>
      </c>
      <c r="E683" t="s">
        <v>1016</v>
      </c>
      <c r="F683" t="s">
        <v>1019</v>
      </c>
    </row>
    <row r="684" spans="1:7" x14ac:dyDescent="0.3">
      <c r="A684" t="s">
        <v>689</v>
      </c>
      <c r="B684" s="2">
        <v>45672.033333333333</v>
      </c>
      <c r="C684">
        <v>4923.68</v>
      </c>
      <c r="D684" t="s">
        <v>1007</v>
      </c>
      <c r="E684" t="s">
        <v>1017</v>
      </c>
      <c r="F684" t="s">
        <v>1019</v>
      </c>
    </row>
    <row r="685" spans="1:7" x14ac:dyDescent="0.3">
      <c r="A685" t="s">
        <v>690</v>
      </c>
      <c r="B685" s="2">
        <v>45724.65902777778</v>
      </c>
      <c r="C685">
        <v>2331.52</v>
      </c>
      <c r="D685" t="s">
        <v>1008</v>
      </c>
      <c r="E685" t="s">
        <v>1013</v>
      </c>
      <c r="F685" t="s">
        <v>1019</v>
      </c>
    </row>
    <row r="686" spans="1:7" x14ac:dyDescent="0.3">
      <c r="A686" t="s">
        <v>691</v>
      </c>
      <c r="B686" s="2">
        <v>45739.624305555553</v>
      </c>
      <c r="C686">
        <v>2512.7600000000002</v>
      </c>
      <c r="D686" t="s">
        <v>1010</v>
      </c>
      <c r="E686" t="s">
        <v>1014</v>
      </c>
      <c r="F686" t="s">
        <v>1019</v>
      </c>
    </row>
    <row r="687" spans="1:7" x14ac:dyDescent="0.3">
      <c r="A687" t="s">
        <v>692</v>
      </c>
      <c r="B687" s="2">
        <v>45658.222222222219</v>
      </c>
      <c r="C687">
        <v>481.58</v>
      </c>
      <c r="D687" t="s">
        <v>1011</v>
      </c>
      <c r="E687" t="s">
        <v>1017</v>
      </c>
      <c r="F687" t="s">
        <v>1020</v>
      </c>
      <c r="G687" t="s">
        <v>1021</v>
      </c>
    </row>
    <row r="688" spans="1:7" x14ac:dyDescent="0.3">
      <c r="A688" t="s">
        <v>693</v>
      </c>
      <c r="B688" s="2">
        <v>45702.494444444441</v>
      </c>
      <c r="C688">
        <v>9624.6</v>
      </c>
      <c r="D688" t="s">
        <v>1011</v>
      </c>
      <c r="E688" t="s">
        <v>1012</v>
      </c>
      <c r="F688" t="s">
        <v>1019</v>
      </c>
    </row>
    <row r="689" spans="1:7" x14ac:dyDescent="0.3">
      <c r="A689" t="s">
        <v>694</v>
      </c>
      <c r="B689" s="2">
        <v>45725.736805555563</v>
      </c>
      <c r="C689">
        <v>5657.14</v>
      </c>
      <c r="D689" t="s">
        <v>1010</v>
      </c>
      <c r="E689" t="s">
        <v>1012</v>
      </c>
      <c r="F689" t="s">
        <v>1020</v>
      </c>
      <c r="G689" t="s">
        <v>1023</v>
      </c>
    </row>
    <row r="690" spans="1:7" x14ac:dyDescent="0.3">
      <c r="A690" t="s">
        <v>695</v>
      </c>
      <c r="B690" s="2">
        <v>45737.875694444447</v>
      </c>
      <c r="C690">
        <v>9273.43</v>
      </c>
      <c r="D690" t="s">
        <v>1010</v>
      </c>
      <c r="E690" t="s">
        <v>1016</v>
      </c>
      <c r="F690" t="s">
        <v>1019</v>
      </c>
    </row>
    <row r="691" spans="1:7" x14ac:dyDescent="0.3">
      <c r="A691" t="s">
        <v>696</v>
      </c>
      <c r="B691" s="2">
        <v>45708.188888888893</v>
      </c>
      <c r="C691">
        <v>4975.82</v>
      </c>
      <c r="D691" t="s">
        <v>1008</v>
      </c>
      <c r="E691" t="s">
        <v>1018</v>
      </c>
      <c r="F691" t="s">
        <v>1019</v>
      </c>
    </row>
    <row r="692" spans="1:7" x14ac:dyDescent="0.3">
      <c r="A692" t="s">
        <v>697</v>
      </c>
      <c r="B692" s="2">
        <v>45717.092361111107</v>
      </c>
      <c r="C692">
        <v>5645.5</v>
      </c>
      <c r="D692" t="s">
        <v>1010</v>
      </c>
      <c r="E692" t="s">
        <v>1013</v>
      </c>
      <c r="F692" t="s">
        <v>1019</v>
      </c>
    </row>
    <row r="693" spans="1:7" x14ac:dyDescent="0.3">
      <c r="A693" t="s">
        <v>698</v>
      </c>
      <c r="B693" s="2">
        <v>45668.59097222222</v>
      </c>
      <c r="C693">
        <v>1669.2</v>
      </c>
      <c r="D693" t="s">
        <v>1008</v>
      </c>
      <c r="E693" t="s">
        <v>1013</v>
      </c>
      <c r="F693" t="s">
        <v>1020</v>
      </c>
      <c r="G693" t="s">
        <v>1023</v>
      </c>
    </row>
    <row r="694" spans="1:7" x14ac:dyDescent="0.3">
      <c r="A694" t="s">
        <v>699</v>
      </c>
      <c r="B694" s="2">
        <v>45665.44027777778</v>
      </c>
      <c r="C694">
        <v>7695.05</v>
      </c>
      <c r="D694" t="s">
        <v>1008</v>
      </c>
      <c r="E694" t="s">
        <v>1013</v>
      </c>
      <c r="F694" t="s">
        <v>1020</v>
      </c>
      <c r="G694" t="s">
        <v>1024</v>
      </c>
    </row>
    <row r="695" spans="1:7" x14ac:dyDescent="0.3">
      <c r="A695" t="s">
        <v>700</v>
      </c>
      <c r="B695" s="2">
        <v>45676.761805555558</v>
      </c>
      <c r="C695">
        <v>2649.23</v>
      </c>
      <c r="D695" t="s">
        <v>1011</v>
      </c>
      <c r="E695" t="s">
        <v>1015</v>
      </c>
      <c r="F695" t="s">
        <v>1019</v>
      </c>
    </row>
    <row r="696" spans="1:7" x14ac:dyDescent="0.3">
      <c r="A696" t="s">
        <v>701</v>
      </c>
      <c r="B696" s="2">
        <v>45698.215277777781</v>
      </c>
      <c r="C696">
        <v>8141.61</v>
      </c>
      <c r="D696" t="s">
        <v>1011</v>
      </c>
      <c r="E696" t="s">
        <v>1018</v>
      </c>
      <c r="F696" t="s">
        <v>1019</v>
      </c>
    </row>
    <row r="697" spans="1:7" x14ac:dyDescent="0.3">
      <c r="A697" t="s">
        <v>702</v>
      </c>
      <c r="B697" s="2">
        <v>45734.120138888888</v>
      </c>
      <c r="C697">
        <v>7972.81</v>
      </c>
      <c r="D697" t="s">
        <v>1011</v>
      </c>
      <c r="E697" t="s">
        <v>1014</v>
      </c>
      <c r="F697" t="s">
        <v>1019</v>
      </c>
    </row>
    <row r="698" spans="1:7" x14ac:dyDescent="0.3">
      <c r="A698" t="s">
        <v>703</v>
      </c>
      <c r="B698" s="2">
        <v>45718.461805555547</v>
      </c>
      <c r="C698">
        <v>2438.5500000000002</v>
      </c>
      <c r="D698" t="s">
        <v>1009</v>
      </c>
      <c r="E698" t="s">
        <v>1015</v>
      </c>
      <c r="F698" t="s">
        <v>1019</v>
      </c>
    </row>
    <row r="699" spans="1:7" x14ac:dyDescent="0.3">
      <c r="A699" t="s">
        <v>704</v>
      </c>
      <c r="B699" s="2">
        <v>45717.552083333343</v>
      </c>
      <c r="C699">
        <v>9198.41</v>
      </c>
      <c r="D699" t="s">
        <v>1007</v>
      </c>
      <c r="E699" t="s">
        <v>1018</v>
      </c>
      <c r="F699" t="s">
        <v>1019</v>
      </c>
    </row>
    <row r="700" spans="1:7" x14ac:dyDescent="0.3">
      <c r="A700" t="s">
        <v>705</v>
      </c>
      <c r="B700" s="2">
        <v>45732.841666666667</v>
      </c>
      <c r="C700">
        <v>7249.12</v>
      </c>
      <c r="D700" t="s">
        <v>1009</v>
      </c>
      <c r="E700" t="s">
        <v>1017</v>
      </c>
      <c r="F700" t="s">
        <v>1019</v>
      </c>
    </row>
    <row r="701" spans="1:7" x14ac:dyDescent="0.3">
      <c r="A701" t="s">
        <v>706</v>
      </c>
      <c r="B701" s="2">
        <v>45687.195138888892</v>
      </c>
      <c r="C701">
        <v>6742.25</v>
      </c>
      <c r="D701" t="s">
        <v>1008</v>
      </c>
      <c r="E701" t="s">
        <v>1014</v>
      </c>
      <c r="F701" t="s">
        <v>1019</v>
      </c>
    </row>
    <row r="702" spans="1:7" x14ac:dyDescent="0.3">
      <c r="A702" t="s">
        <v>707</v>
      </c>
      <c r="B702" s="2">
        <v>45728.109027777777</v>
      </c>
      <c r="C702">
        <v>4708.09</v>
      </c>
      <c r="D702" t="s">
        <v>1008</v>
      </c>
      <c r="E702" t="s">
        <v>1012</v>
      </c>
      <c r="F702" t="s">
        <v>1019</v>
      </c>
    </row>
    <row r="703" spans="1:7" x14ac:dyDescent="0.3">
      <c r="A703" t="s">
        <v>708</v>
      </c>
      <c r="B703" s="2">
        <v>45680.922222222223</v>
      </c>
      <c r="C703">
        <v>3678.12</v>
      </c>
      <c r="D703" t="s">
        <v>1010</v>
      </c>
      <c r="E703" t="s">
        <v>1017</v>
      </c>
      <c r="F703" t="s">
        <v>1019</v>
      </c>
    </row>
    <row r="704" spans="1:7" x14ac:dyDescent="0.3">
      <c r="A704" t="s">
        <v>709</v>
      </c>
      <c r="B704" s="2">
        <v>45679.411111111112</v>
      </c>
      <c r="C704">
        <v>1901.92</v>
      </c>
      <c r="D704" t="s">
        <v>1011</v>
      </c>
      <c r="E704" t="s">
        <v>1017</v>
      </c>
      <c r="F704" t="s">
        <v>1019</v>
      </c>
    </row>
    <row r="705" spans="1:6" x14ac:dyDescent="0.3">
      <c r="A705" t="s">
        <v>710</v>
      </c>
      <c r="B705" s="2">
        <v>45670.002083333333</v>
      </c>
      <c r="C705">
        <v>5640.09</v>
      </c>
      <c r="D705" t="s">
        <v>1009</v>
      </c>
      <c r="E705" t="s">
        <v>1013</v>
      </c>
      <c r="F705" t="s">
        <v>1019</v>
      </c>
    </row>
    <row r="706" spans="1:6" x14ac:dyDescent="0.3">
      <c r="A706" t="s">
        <v>711</v>
      </c>
      <c r="B706" s="2">
        <v>45677.697222222218</v>
      </c>
      <c r="C706">
        <v>5738.05</v>
      </c>
      <c r="D706" t="s">
        <v>1011</v>
      </c>
      <c r="E706" t="s">
        <v>1012</v>
      </c>
      <c r="F706" t="s">
        <v>1019</v>
      </c>
    </row>
    <row r="707" spans="1:6" x14ac:dyDescent="0.3">
      <c r="A707" t="s">
        <v>712</v>
      </c>
      <c r="B707" s="2">
        <v>45746.584027777782</v>
      </c>
      <c r="C707">
        <v>5933.53</v>
      </c>
      <c r="D707" t="s">
        <v>1011</v>
      </c>
      <c r="E707" t="s">
        <v>1018</v>
      </c>
      <c r="F707" t="s">
        <v>1019</v>
      </c>
    </row>
    <row r="708" spans="1:6" x14ac:dyDescent="0.3">
      <c r="A708" t="s">
        <v>713</v>
      </c>
      <c r="B708" s="2">
        <v>45720.681250000001</v>
      </c>
      <c r="C708">
        <v>7280.28</v>
      </c>
      <c r="D708" t="s">
        <v>1010</v>
      </c>
      <c r="E708" t="s">
        <v>1015</v>
      </c>
      <c r="F708" t="s">
        <v>1019</v>
      </c>
    </row>
    <row r="709" spans="1:6" x14ac:dyDescent="0.3">
      <c r="A709" t="s">
        <v>714</v>
      </c>
      <c r="B709" s="2">
        <v>45666.293055555558</v>
      </c>
      <c r="C709">
        <v>5087.3100000000004</v>
      </c>
      <c r="D709" t="s">
        <v>1008</v>
      </c>
      <c r="E709" t="s">
        <v>1015</v>
      </c>
      <c r="F709" t="s">
        <v>1019</v>
      </c>
    </row>
    <row r="710" spans="1:6" x14ac:dyDescent="0.3">
      <c r="A710" t="s">
        <v>715</v>
      </c>
      <c r="B710" s="2">
        <v>45700.984027777777</v>
      </c>
      <c r="C710">
        <v>8821.6299999999992</v>
      </c>
      <c r="D710" t="s">
        <v>1010</v>
      </c>
      <c r="E710" t="s">
        <v>1012</v>
      </c>
      <c r="F710" t="s">
        <v>1019</v>
      </c>
    </row>
    <row r="711" spans="1:6" x14ac:dyDescent="0.3">
      <c r="A711" t="s">
        <v>716</v>
      </c>
      <c r="B711" s="2">
        <v>45738.23541666667</v>
      </c>
      <c r="C711">
        <v>6386.48</v>
      </c>
      <c r="D711" t="s">
        <v>1008</v>
      </c>
      <c r="E711" t="s">
        <v>1016</v>
      </c>
      <c r="F711" t="s">
        <v>1019</v>
      </c>
    </row>
    <row r="712" spans="1:6" x14ac:dyDescent="0.3">
      <c r="A712" t="s">
        <v>717</v>
      </c>
      <c r="B712" s="2">
        <v>45721.676388888889</v>
      </c>
      <c r="C712">
        <v>8272.06</v>
      </c>
      <c r="D712" t="s">
        <v>1011</v>
      </c>
      <c r="E712" t="s">
        <v>1017</v>
      </c>
      <c r="F712" t="s">
        <v>1019</v>
      </c>
    </row>
    <row r="713" spans="1:6" x14ac:dyDescent="0.3">
      <c r="A713" t="s">
        <v>718</v>
      </c>
      <c r="B713" s="2">
        <v>45693.42083333333</v>
      </c>
      <c r="C713">
        <v>2223.8200000000002</v>
      </c>
      <c r="D713" t="s">
        <v>1008</v>
      </c>
      <c r="E713" t="s">
        <v>1012</v>
      </c>
      <c r="F713" t="s">
        <v>1019</v>
      </c>
    </row>
    <row r="714" spans="1:6" x14ac:dyDescent="0.3">
      <c r="A714" t="s">
        <v>719</v>
      </c>
      <c r="B714" s="2">
        <v>45717.57916666667</v>
      </c>
      <c r="C714">
        <v>3516.36</v>
      </c>
      <c r="D714" t="s">
        <v>1009</v>
      </c>
      <c r="E714" t="s">
        <v>1013</v>
      </c>
      <c r="F714" t="s">
        <v>1019</v>
      </c>
    </row>
    <row r="715" spans="1:6" x14ac:dyDescent="0.3">
      <c r="A715" t="s">
        <v>720</v>
      </c>
      <c r="B715" s="2">
        <v>45690.138888888891</v>
      </c>
      <c r="C715">
        <v>302.99</v>
      </c>
      <c r="D715" t="s">
        <v>1010</v>
      </c>
      <c r="E715" t="s">
        <v>1014</v>
      </c>
      <c r="F715" t="s">
        <v>1019</v>
      </c>
    </row>
    <row r="716" spans="1:6" x14ac:dyDescent="0.3">
      <c r="A716" t="s">
        <v>721</v>
      </c>
      <c r="B716" s="2">
        <v>45670.411111111112</v>
      </c>
      <c r="C716">
        <v>6539.61</v>
      </c>
      <c r="D716" t="s">
        <v>1010</v>
      </c>
      <c r="E716" t="s">
        <v>1018</v>
      </c>
      <c r="F716" t="s">
        <v>1019</v>
      </c>
    </row>
    <row r="717" spans="1:6" x14ac:dyDescent="0.3">
      <c r="A717" t="s">
        <v>722</v>
      </c>
      <c r="B717" s="2">
        <v>45721.503472222219</v>
      </c>
      <c r="C717">
        <v>5336.1</v>
      </c>
      <c r="D717" t="s">
        <v>1009</v>
      </c>
      <c r="E717" t="s">
        <v>1014</v>
      </c>
      <c r="F717" t="s">
        <v>1019</v>
      </c>
    </row>
    <row r="718" spans="1:6" x14ac:dyDescent="0.3">
      <c r="A718" t="s">
        <v>723</v>
      </c>
      <c r="B718" s="2">
        <v>45672.049305555563</v>
      </c>
      <c r="C718">
        <v>5900.15</v>
      </c>
      <c r="D718" t="s">
        <v>1007</v>
      </c>
      <c r="E718" t="s">
        <v>1016</v>
      </c>
      <c r="F718" t="s">
        <v>1019</v>
      </c>
    </row>
    <row r="719" spans="1:6" x14ac:dyDescent="0.3">
      <c r="A719" t="s">
        <v>724</v>
      </c>
      <c r="B719" s="2">
        <v>45695.916666666657</v>
      </c>
      <c r="C719">
        <v>9827.6200000000008</v>
      </c>
      <c r="D719" t="s">
        <v>1010</v>
      </c>
      <c r="E719" t="s">
        <v>1014</v>
      </c>
      <c r="F719" t="s">
        <v>1019</v>
      </c>
    </row>
    <row r="720" spans="1:6" x14ac:dyDescent="0.3">
      <c r="A720" t="s">
        <v>725</v>
      </c>
      <c r="B720" s="2">
        <v>45697.746527777781</v>
      </c>
      <c r="C720">
        <v>7744.88</v>
      </c>
      <c r="D720" t="s">
        <v>1011</v>
      </c>
      <c r="E720" t="s">
        <v>1014</v>
      </c>
      <c r="F720" t="s">
        <v>1019</v>
      </c>
    </row>
    <row r="721" spans="1:7" x14ac:dyDescent="0.3">
      <c r="A721" t="s">
        <v>726</v>
      </c>
      <c r="B721" s="2">
        <v>45697.198611111111</v>
      </c>
      <c r="C721">
        <v>6801.84</v>
      </c>
      <c r="D721" t="s">
        <v>1007</v>
      </c>
      <c r="E721" t="s">
        <v>1012</v>
      </c>
      <c r="F721" t="s">
        <v>1019</v>
      </c>
    </row>
    <row r="722" spans="1:7" x14ac:dyDescent="0.3">
      <c r="A722" t="s">
        <v>727</v>
      </c>
      <c r="B722" s="2">
        <v>45737.027777777781</v>
      </c>
      <c r="C722">
        <v>3766.65</v>
      </c>
      <c r="D722" t="s">
        <v>1008</v>
      </c>
      <c r="E722" t="s">
        <v>1016</v>
      </c>
      <c r="F722" t="s">
        <v>1020</v>
      </c>
      <c r="G722" t="s">
        <v>1026</v>
      </c>
    </row>
    <row r="723" spans="1:7" x14ac:dyDescent="0.3">
      <c r="A723" t="s">
        <v>728</v>
      </c>
      <c r="B723" s="2">
        <v>45697.370833333327</v>
      </c>
      <c r="C723">
        <v>5378.87</v>
      </c>
      <c r="D723" t="s">
        <v>1010</v>
      </c>
      <c r="E723" t="s">
        <v>1012</v>
      </c>
      <c r="F723" t="s">
        <v>1019</v>
      </c>
    </row>
    <row r="724" spans="1:7" x14ac:dyDescent="0.3">
      <c r="A724" t="s">
        <v>729</v>
      </c>
      <c r="B724" s="2">
        <v>45735.430555555547</v>
      </c>
      <c r="C724">
        <v>7838.92</v>
      </c>
      <c r="D724" t="s">
        <v>1009</v>
      </c>
      <c r="E724" t="s">
        <v>1015</v>
      </c>
      <c r="F724" t="s">
        <v>1020</v>
      </c>
      <c r="G724" t="s">
        <v>1025</v>
      </c>
    </row>
    <row r="725" spans="1:7" x14ac:dyDescent="0.3">
      <c r="A725" t="s">
        <v>730</v>
      </c>
      <c r="B725" s="2">
        <v>45684.581944444442</v>
      </c>
      <c r="C725">
        <v>3359.68</v>
      </c>
      <c r="D725" t="s">
        <v>1011</v>
      </c>
      <c r="E725" t="s">
        <v>1012</v>
      </c>
      <c r="F725" t="s">
        <v>1019</v>
      </c>
    </row>
    <row r="726" spans="1:7" x14ac:dyDescent="0.3">
      <c r="A726" t="s">
        <v>731</v>
      </c>
      <c r="B726" s="2">
        <v>45734.620138888888</v>
      </c>
      <c r="C726">
        <v>7395.55</v>
      </c>
      <c r="D726" t="s">
        <v>1010</v>
      </c>
      <c r="E726" t="s">
        <v>1015</v>
      </c>
      <c r="F726" t="s">
        <v>1019</v>
      </c>
    </row>
    <row r="727" spans="1:7" x14ac:dyDescent="0.3">
      <c r="A727" t="s">
        <v>732</v>
      </c>
      <c r="B727" s="2">
        <v>45744.487500000003</v>
      </c>
      <c r="C727">
        <v>7586.21</v>
      </c>
      <c r="D727" t="s">
        <v>1009</v>
      </c>
      <c r="E727" t="s">
        <v>1015</v>
      </c>
      <c r="F727" t="s">
        <v>1019</v>
      </c>
    </row>
    <row r="728" spans="1:7" x14ac:dyDescent="0.3">
      <c r="A728" t="s">
        <v>733</v>
      </c>
      <c r="B728" s="2">
        <v>45731.414583333331</v>
      </c>
      <c r="C728">
        <v>3138.37</v>
      </c>
      <c r="D728" t="s">
        <v>1010</v>
      </c>
      <c r="E728" t="s">
        <v>1013</v>
      </c>
      <c r="F728" t="s">
        <v>1019</v>
      </c>
    </row>
    <row r="729" spans="1:7" x14ac:dyDescent="0.3">
      <c r="A729" t="s">
        <v>734</v>
      </c>
      <c r="B729" s="2">
        <v>45669.973611111112</v>
      </c>
      <c r="C729">
        <v>3968.33</v>
      </c>
      <c r="D729" t="s">
        <v>1011</v>
      </c>
      <c r="E729" t="s">
        <v>1013</v>
      </c>
      <c r="F729" t="s">
        <v>1020</v>
      </c>
      <c r="G729" t="s">
        <v>1022</v>
      </c>
    </row>
    <row r="730" spans="1:7" x14ac:dyDescent="0.3">
      <c r="A730" t="s">
        <v>735</v>
      </c>
      <c r="B730" s="2">
        <v>45665.675694444442</v>
      </c>
      <c r="C730">
        <v>8270.23</v>
      </c>
      <c r="D730" t="s">
        <v>1008</v>
      </c>
      <c r="E730" t="s">
        <v>1013</v>
      </c>
      <c r="F730" t="s">
        <v>1020</v>
      </c>
      <c r="G730" t="s">
        <v>1025</v>
      </c>
    </row>
    <row r="731" spans="1:7" x14ac:dyDescent="0.3">
      <c r="A731" t="s">
        <v>736</v>
      </c>
      <c r="B731" s="2">
        <v>45682.290277777778</v>
      </c>
      <c r="C731">
        <v>2757.26</v>
      </c>
      <c r="D731" t="s">
        <v>1011</v>
      </c>
      <c r="E731" t="s">
        <v>1014</v>
      </c>
      <c r="F731" t="s">
        <v>1019</v>
      </c>
    </row>
    <row r="732" spans="1:7" x14ac:dyDescent="0.3">
      <c r="A732" t="s">
        <v>737</v>
      </c>
      <c r="B732" s="2">
        <v>45721.672222222223</v>
      </c>
      <c r="C732">
        <v>906.49</v>
      </c>
      <c r="D732" t="s">
        <v>1010</v>
      </c>
      <c r="E732" t="s">
        <v>1014</v>
      </c>
      <c r="F732" t="s">
        <v>1019</v>
      </c>
    </row>
    <row r="733" spans="1:7" x14ac:dyDescent="0.3">
      <c r="A733" t="s">
        <v>738</v>
      </c>
      <c r="B733" s="2">
        <v>45716.90625</v>
      </c>
      <c r="C733">
        <v>8554.99</v>
      </c>
      <c r="D733" t="s">
        <v>1008</v>
      </c>
      <c r="E733" t="s">
        <v>1013</v>
      </c>
      <c r="F733" t="s">
        <v>1019</v>
      </c>
    </row>
    <row r="734" spans="1:7" x14ac:dyDescent="0.3">
      <c r="A734" t="s">
        <v>739</v>
      </c>
      <c r="B734" s="2">
        <v>45711.62777777778</v>
      </c>
      <c r="C734">
        <v>6243.93</v>
      </c>
      <c r="D734" t="s">
        <v>1008</v>
      </c>
      <c r="E734" t="s">
        <v>1017</v>
      </c>
      <c r="F734" t="s">
        <v>1019</v>
      </c>
    </row>
    <row r="735" spans="1:7" x14ac:dyDescent="0.3">
      <c r="A735" t="s">
        <v>740</v>
      </c>
      <c r="B735" s="2">
        <v>45732.390972222223</v>
      </c>
      <c r="C735">
        <v>8878.98</v>
      </c>
      <c r="D735" t="s">
        <v>1007</v>
      </c>
      <c r="E735" t="s">
        <v>1013</v>
      </c>
      <c r="F735" t="s">
        <v>1019</v>
      </c>
    </row>
    <row r="736" spans="1:7" x14ac:dyDescent="0.3">
      <c r="A736" t="s">
        <v>741</v>
      </c>
      <c r="B736" s="2">
        <v>45700.352083333331</v>
      </c>
      <c r="C736">
        <v>4088.01</v>
      </c>
      <c r="D736" t="s">
        <v>1011</v>
      </c>
      <c r="E736" t="s">
        <v>1018</v>
      </c>
      <c r="F736" t="s">
        <v>1020</v>
      </c>
      <c r="G736" t="s">
        <v>1025</v>
      </c>
    </row>
    <row r="737" spans="1:7" x14ac:dyDescent="0.3">
      <c r="A737" t="s">
        <v>742</v>
      </c>
      <c r="B737" s="2">
        <v>45712.102777777778</v>
      </c>
      <c r="C737">
        <v>8524.73</v>
      </c>
      <c r="D737" t="s">
        <v>1010</v>
      </c>
      <c r="E737" t="s">
        <v>1012</v>
      </c>
      <c r="F737" t="s">
        <v>1019</v>
      </c>
    </row>
    <row r="738" spans="1:7" x14ac:dyDescent="0.3">
      <c r="A738" t="s">
        <v>743</v>
      </c>
      <c r="B738" s="2">
        <v>45660.188194444447</v>
      </c>
      <c r="C738">
        <v>3580.52</v>
      </c>
      <c r="D738" t="s">
        <v>1008</v>
      </c>
      <c r="E738" t="s">
        <v>1018</v>
      </c>
      <c r="F738" t="s">
        <v>1019</v>
      </c>
    </row>
    <row r="739" spans="1:7" x14ac:dyDescent="0.3">
      <c r="A739" t="s">
        <v>744</v>
      </c>
      <c r="B739" s="2">
        <v>45684.494444444441</v>
      </c>
      <c r="C739">
        <v>7831.92</v>
      </c>
      <c r="D739" t="s">
        <v>1011</v>
      </c>
      <c r="E739" t="s">
        <v>1017</v>
      </c>
      <c r="F739" t="s">
        <v>1020</v>
      </c>
      <c r="G739" t="s">
        <v>1022</v>
      </c>
    </row>
    <row r="740" spans="1:7" x14ac:dyDescent="0.3">
      <c r="A740" t="s">
        <v>745</v>
      </c>
      <c r="B740" s="2">
        <v>45742.434027777781</v>
      </c>
      <c r="C740">
        <v>6686.54</v>
      </c>
      <c r="D740" t="s">
        <v>1010</v>
      </c>
      <c r="E740" t="s">
        <v>1017</v>
      </c>
      <c r="F740" t="s">
        <v>1019</v>
      </c>
    </row>
    <row r="741" spans="1:7" x14ac:dyDescent="0.3">
      <c r="A741" t="s">
        <v>746</v>
      </c>
      <c r="B741" s="2">
        <v>45742.975694444453</v>
      </c>
      <c r="C741">
        <v>3191.9</v>
      </c>
      <c r="D741" t="s">
        <v>1011</v>
      </c>
      <c r="E741" t="s">
        <v>1016</v>
      </c>
      <c r="F741" t="s">
        <v>1019</v>
      </c>
    </row>
    <row r="742" spans="1:7" x14ac:dyDescent="0.3">
      <c r="A742" t="s">
        <v>747</v>
      </c>
      <c r="B742" s="2">
        <v>45669.461805555547</v>
      </c>
      <c r="C742">
        <v>3394.56</v>
      </c>
      <c r="D742" t="s">
        <v>1010</v>
      </c>
      <c r="E742" t="s">
        <v>1014</v>
      </c>
      <c r="F742" t="s">
        <v>1019</v>
      </c>
    </row>
    <row r="743" spans="1:7" x14ac:dyDescent="0.3">
      <c r="A743" t="s">
        <v>748</v>
      </c>
      <c r="B743" s="2">
        <v>45686.974305555559</v>
      </c>
      <c r="C743">
        <v>9936.48</v>
      </c>
      <c r="D743" t="s">
        <v>1009</v>
      </c>
      <c r="E743" t="s">
        <v>1013</v>
      </c>
      <c r="F743" t="s">
        <v>1019</v>
      </c>
    </row>
    <row r="744" spans="1:7" x14ac:dyDescent="0.3">
      <c r="A744" t="s">
        <v>749</v>
      </c>
      <c r="B744" s="2">
        <v>45703.002083333333</v>
      </c>
      <c r="C744">
        <v>8430.36</v>
      </c>
      <c r="D744" t="s">
        <v>1009</v>
      </c>
      <c r="E744" t="s">
        <v>1012</v>
      </c>
      <c r="F744" t="s">
        <v>1019</v>
      </c>
    </row>
    <row r="745" spans="1:7" x14ac:dyDescent="0.3">
      <c r="A745" t="s">
        <v>750</v>
      </c>
      <c r="B745" s="2">
        <v>45723.256249999999</v>
      </c>
      <c r="C745">
        <v>857.64</v>
      </c>
      <c r="D745" t="s">
        <v>1008</v>
      </c>
      <c r="E745" t="s">
        <v>1014</v>
      </c>
      <c r="F745" t="s">
        <v>1019</v>
      </c>
    </row>
    <row r="746" spans="1:7" x14ac:dyDescent="0.3">
      <c r="A746" t="s">
        <v>751</v>
      </c>
      <c r="B746" s="2">
        <v>45662.154166666667</v>
      </c>
      <c r="C746">
        <v>3296.66</v>
      </c>
      <c r="D746" t="s">
        <v>1010</v>
      </c>
      <c r="E746" t="s">
        <v>1013</v>
      </c>
      <c r="F746" t="s">
        <v>1020</v>
      </c>
      <c r="G746" t="s">
        <v>1024</v>
      </c>
    </row>
    <row r="747" spans="1:7" x14ac:dyDescent="0.3">
      <c r="A747" t="s">
        <v>752</v>
      </c>
      <c r="B747" s="2">
        <v>45678.582638888889</v>
      </c>
      <c r="C747">
        <v>5916.92</v>
      </c>
      <c r="D747" t="s">
        <v>1008</v>
      </c>
      <c r="E747" t="s">
        <v>1014</v>
      </c>
      <c r="F747" t="s">
        <v>1019</v>
      </c>
    </row>
    <row r="748" spans="1:7" x14ac:dyDescent="0.3">
      <c r="A748" t="s">
        <v>753</v>
      </c>
      <c r="B748" s="2">
        <v>45713.802777777782</v>
      </c>
      <c r="C748">
        <v>5108.8500000000004</v>
      </c>
      <c r="D748" t="s">
        <v>1009</v>
      </c>
      <c r="E748" t="s">
        <v>1016</v>
      </c>
      <c r="F748" t="s">
        <v>1019</v>
      </c>
    </row>
    <row r="749" spans="1:7" x14ac:dyDescent="0.3">
      <c r="A749" t="s">
        <v>754</v>
      </c>
      <c r="B749" s="2">
        <v>45666.272222222222</v>
      </c>
      <c r="C749">
        <v>4168.03</v>
      </c>
      <c r="D749" t="s">
        <v>1007</v>
      </c>
      <c r="E749" t="s">
        <v>1012</v>
      </c>
      <c r="F749" t="s">
        <v>1019</v>
      </c>
    </row>
    <row r="750" spans="1:7" x14ac:dyDescent="0.3">
      <c r="A750" t="s">
        <v>755</v>
      </c>
      <c r="B750" s="2">
        <v>45662.67083333333</v>
      </c>
      <c r="C750">
        <v>766.85</v>
      </c>
      <c r="D750" t="s">
        <v>1011</v>
      </c>
      <c r="E750" t="s">
        <v>1016</v>
      </c>
      <c r="F750" t="s">
        <v>1019</v>
      </c>
    </row>
    <row r="751" spans="1:7" x14ac:dyDescent="0.3">
      <c r="A751" t="s">
        <v>756</v>
      </c>
      <c r="B751" s="2">
        <v>45683.55</v>
      </c>
      <c r="C751">
        <v>4577.76</v>
      </c>
      <c r="D751" t="s">
        <v>1011</v>
      </c>
      <c r="E751" t="s">
        <v>1015</v>
      </c>
      <c r="F751" t="s">
        <v>1019</v>
      </c>
    </row>
    <row r="752" spans="1:7" x14ac:dyDescent="0.3">
      <c r="A752" t="s">
        <v>757</v>
      </c>
      <c r="B752" s="2">
        <v>45747.003472222219</v>
      </c>
      <c r="C752">
        <v>8455.89</v>
      </c>
      <c r="D752" t="s">
        <v>1008</v>
      </c>
      <c r="E752" t="s">
        <v>1013</v>
      </c>
      <c r="F752" t="s">
        <v>1019</v>
      </c>
    </row>
    <row r="753" spans="1:7" x14ac:dyDescent="0.3">
      <c r="A753" t="s">
        <v>758</v>
      </c>
      <c r="B753" s="2">
        <v>45670.070138888892</v>
      </c>
      <c r="C753">
        <v>5276.01</v>
      </c>
      <c r="D753" t="s">
        <v>1011</v>
      </c>
      <c r="E753" t="s">
        <v>1015</v>
      </c>
      <c r="F753" t="s">
        <v>1019</v>
      </c>
    </row>
    <row r="754" spans="1:7" x14ac:dyDescent="0.3">
      <c r="A754" t="s">
        <v>759</v>
      </c>
      <c r="B754" s="2">
        <v>45679.181250000001</v>
      </c>
      <c r="C754">
        <v>5231.71</v>
      </c>
      <c r="D754" t="s">
        <v>1010</v>
      </c>
      <c r="E754" t="s">
        <v>1012</v>
      </c>
      <c r="F754" t="s">
        <v>1019</v>
      </c>
    </row>
    <row r="755" spans="1:7" x14ac:dyDescent="0.3">
      <c r="A755" t="s">
        <v>760</v>
      </c>
      <c r="B755" s="2">
        <v>45684.963888888888</v>
      </c>
      <c r="C755">
        <v>1202.83</v>
      </c>
      <c r="D755" t="s">
        <v>1007</v>
      </c>
      <c r="E755" t="s">
        <v>1018</v>
      </c>
      <c r="F755" t="s">
        <v>1019</v>
      </c>
    </row>
    <row r="756" spans="1:7" x14ac:dyDescent="0.3">
      <c r="A756" t="s">
        <v>761</v>
      </c>
      <c r="B756" s="2">
        <v>45716.438194444447</v>
      </c>
      <c r="C756">
        <v>7190.75</v>
      </c>
      <c r="D756" t="s">
        <v>1007</v>
      </c>
      <c r="E756" t="s">
        <v>1015</v>
      </c>
      <c r="F756" t="s">
        <v>1020</v>
      </c>
      <c r="G756" t="s">
        <v>1024</v>
      </c>
    </row>
    <row r="757" spans="1:7" x14ac:dyDescent="0.3">
      <c r="A757" t="s">
        <v>762</v>
      </c>
      <c r="B757" s="2">
        <v>45734.282638888893</v>
      </c>
      <c r="C757">
        <v>4621.9399999999996</v>
      </c>
      <c r="D757" t="s">
        <v>1011</v>
      </c>
      <c r="E757" t="s">
        <v>1015</v>
      </c>
      <c r="F757" t="s">
        <v>1019</v>
      </c>
    </row>
    <row r="758" spans="1:7" x14ac:dyDescent="0.3">
      <c r="A758" t="s">
        <v>763</v>
      </c>
      <c r="B758" s="2">
        <v>45736.886111111111</v>
      </c>
      <c r="C758">
        <v>2635.85</v>
      </c>
      <c r="D758" t="s">
        <v>1010</v>
      </c>
      <c r="E758" t="s">
        <v>1012</v>
      </c>
      <c r="F758" t="s">
        <v>1020</v>
      </c>
      <c r="G758" t="s">
        <v>1026</v>
      </c>
    </row>
    <row r="759" spans="1:7" x14ac:dyDescent="0.3">
      <c r="A759" t="s">
        <v>764</v>
      </c>
      <c r="B759" s="2">
        <v>45732.798611111109</v>
      </c>
      <c r="C759">
        <v>787.27</v>
      </c>
      <c r="D759" t="s">
        <v>1007</v>
      </c>
      <c r="E759" t="s">
        <v>1018</v>
      </c>
      <c r="F759" t="s">
        <v>1019</v>
      </c>
    </row>
    <row r="760" spans="1:7" x14ac:dyDescent="0.3">
      <c r="A760" t="s">
        <v>765</v>
      </c>
      <c r="B760" s="2">
        <v>45736.809027777781</v>
      </c>
      <c r="C760">
        <v>3055.67</v>
      </c>
      <c r="D760" t="s">
        <v>1009</v>
      </c>
      <c r="E760" t="s">
        <v>1015</v>
      </c>
      <c r="F760" t="s">
        <v>1019</v>
      </c>
    </row>
    <row r="761" spans="1:7" x14ac:dyDescent="0.3">
      <c r="A761" t="s">
        <v>766</v>
      </c>
      <c r="B761" s="2">
        <v>45695.820833333331</v>
      </c>
      <c r="C761">
        <v>3559.52</v>
      </c>
      <c r="D761" t="s">
        <v>1007</v>
      </c>
      <c r="E761" t="s">
        <v>1013</v>
      </c>
      <c r="F761" t="s">
        <v>1019</v>
      </c>
    </row>
    <row r="762" spans="1:7" x14ac:dyDescent="0.3">
      <c r="A762" t="s">
        <v>767</v>
      </c>
      <c r="B762" s="2">
        <v>45683.647222222222</v>
      </c>
      <c r="C762">
        <v>3964.63</v>
      </c>
      <c r="D762" t="s">
        <v>1009</v>
      </c>
      <c r="E762" t="s">
        <v>1015</v>
      </c>
      <c r="F762" t="s">
        <v>1019</v>
      </c>
    </row>
    <row r="763" spans="1:7" x14ac:dyDescent="0.3">
      <c r="A763" t="s">
        <v>768</v>
      </c>
      <c r="B763" s="2">
        <v>45727.647222222222</v>
      </c>
      <c r="C763">
        <v>6572.06</v>
      </c>
      <c r="D763" t="s">
        <v>1010</v>
      </c>
      <c r="E763" t="s">
        <v>1017</v>
      </c>
      <c r="F763" t="s">
        <v>1019</v>
      </c>
    </row>
    <row r="764" spans="1:7" x14ac:dyDescent="0.3">
      <c r="A764" t="s">
        <v>769</v>
      </c>
      <c r="B764" s="2">
        <v>45676.831250000003</v>
      </c>
      <c r="C764">
        <v>618.54999999999995</v>
      </c>
      <c r="D764" t="s">
        <v>1011</v>
      </c>
      <c r="E764" t="s">
        <v>1012</v>
      </c>
      <c r="F764" t="s">
        <v>1019</v>
      </c>
    </row>
    <row r="765" spans="1:7" x14ac:dyDescent="0.3">
      <c r="A765" t="s">
        <v>770</v>
      </c>
      <c r="B765" s="2">
        <v>45743.595833333333</v>
      </c>
      <c r="C765">
        <v>3053.77</v>
      </c>
      <c r="D765" t="s">
        <v>1011</v>
      </c>
      <c r="E765" t="s">
        <v>1012</v>
      </c>
      <c r="F765" t="s">
        <v>1019</v>
      </c>
    </row>
    <row r="766" spans="1:7" x14ac:dyDescent="0.3">
      <c r="A766" t="s">
        <v>771</v>
      </c>
      <c r="B766" s="2">
        <v>45659.025694444441</v>
      </c>
      <c r="C766">
        <v>843.16</v>
      </c>
      <c r="D766" t="s">
        <v>1009</v>
      </c>
      <c r="E766" t="s">
        <v>1017</v>
      </c>
      <c r="F766" t="s">
        <v>1020</v>
      </c>
      <c r="G766" t="s">
        <v>1024</v>
      </c>
    </row>
    <row r="767" spans="1:7" x14ac:dyDescent="0.3">
      <c r="A767" t="s">
        <v>772</v>
      </c>
      <c r="B767" s="2">
        <v>45679.354166666657</v>
      </c>
      <c r="C767">
        <v>2819.22</v>
      </c>
      <c r="D767" t="s">
        <v>1007</v>
      </c>
      <c r="E767" t="s">
        <v>1012</v>
      </c>
      <c r="F767" t="s">
        <v>1019</v>
      </c>
    </row>
    <row r="768" spans="1:7" x14ac:dyDescent="0.3">
      <c r="A768" t="s">
        <v>773</v>
      </c>
      <c r="B768" s="2">
        <v>45711.38958333333</v>
      </c>
      <c r="C768">
        <v>142.46</v>
      </c>
      <c r="D768" t="s">
        <v>1007</v>
      </c>
      <c r="E768" t="s">
        <v>1016</v>
      </c>
      <c r="F768" t="s">
        <v>1020</v>
      </c>
      <c r="G768" t="s">
        <v>1023</v>
      </c>
    </row>
    <row r="769" spans="1:7" x14ac:dyDescent="0.3">
      <c r="A769" t="s">
        <v>774</v>
      </c>
      <c r="B769" s="2">
        <v>45739.320138888892</v>
      </c>
      <c r="C769">
        <v>2422.2600000000002</v>
      </c>
      <c r="D769" t="s">
        <v>1007</v>
      </c>
      <c r="E769" t="s">
        <v>1018</v>
      </c>
      <c r="F769" t="s">
        <v>1019</v>
      </c>
    </row>
    <row r="770" spans="1:7" x14ac:dyDescent="0.3">
      <c r="A770" t="s">
        <v>775</v>
      </c>
      <c r="B770" s="2">
        <v>45669.767361111109</v>
      </c>
      <c r="C770">
        <v>5393.58</v>
      </c>
      <c r="D770" t="s">
        <v>1007</v>
      </c>
      <c r="E770" t="s">
        <v>1014</v>
      </c>
      <c r="F770" t="s">
        <v>1019</v>
      </c>
    </row>
    <row r="771" spans="1:7" x14ac:dyDescent="0.3">
      <c r="A771" t="s">
        <v>776</v>
      </c>
      <c r="B771" s="2">
        <v>45704.377083333333</v>
      </c>
      <c r="C771">
        <v>8191.23</v>
      </c>
      <c r="D771" t="s">
        <v>1010</v>
      </c>
      <c r="E771" t="s">
        <v>1018</v>
      </c>
      <c r="F771" t="s">
        <v>1020</v>
      </c>
      <c r="G771" t="s">
        <v>1026</v>
      </c>
    </row>
    <row r="772" spans="1:7" x14ac:dyDescent="0.3">
      <c r="A772" t="s">
        <v>777</v>
      </c>
      <c r="B772" s="2">
        <v>45693.074305555558</v>
      </c>
      <c r="C772">
        <v>8168.94</v>
      </c>
      <c r="D772" t="s">
        <v>1011</v>
      </c>
      <c r="E772" t="s">
        <v>1013</v>
      </c>
      <c r="F772" t="s">
        <v>1019</v>
      </c>
    </row>
    <row r="773" spans="1:7" x14ac:dyDescent="0.3">
      <c r="A773" t="s">
        <v>778</v>
      </c>
      <c r="B773" s="2">
        <v>45691.070833333331</v>
      </c>
      <c r="C773">
        <v>1156.48</v>
      </c>
      <c r="D773" t="s">
        <v>1011</v>
      </c>
      <c r="E773" t="s">
        <v>1014</v>
      </c>
      <c r="F773" t="s">
        <v>1020</v>
      </c>
      <c r="G773" t="s">
        <v>1021</v>
      </c>
    </row>
    <row r="774" spans="1:7" x14ac:dyDescent="0.3">
      <c r="A774" t="s">
        <v>779</v>
      </c>
      <c r="B774" s="2">
        <v>45683.329861111109</v>
      </c>
      <c r="C774">
        <v>4693.2700000000004</v>
      </c>
      <c r="D774" t="s">
        <v>1010</v>
      </c>
      <c r="E774" t="s">
        <v>1014</v>
      </c>
      <c r="F774" t="s">
        <v>1019</v>
      </c>
    </row>
    <row r="775" spans="1:7" x14ac:dyDescent="0.3">
      <c r="A775" t="s">
        <v>780</v>
      </c>
      <c r="B775" s="2">
        <v>45677.318749999999</v>
      </c>
      <c r="C775">
        <v>5246.66</v>
      </c>
      <c r="D775" t="s">
        <v>1008</v>
      </c>
      <c r="E775" t="s">
        <v>1018</v>
      </c>
      <c r="F775" t="s">
        <v>1019</v>
      </c>
    </row>
    <row r="776" spans="1:7" x14ac:dyDescent="0.3">
      <c r="A776" t="s">
        <v>781</v>
      </c>
      <c r="B776" s="2">
        <v>45667.165972222218</v>
      </c>
      <c r="C776">
        <v>5671.31</v>
      </c>
      <c r="D776" t="s">
        <v>1010</v>
      </c>
      <c r="E776" t="s">
        <v>1012</v>
      </c>
      <c r="F776" t="s">
        <v>1020</v>
      </c>
      <c r="G776" t="s">
        <v>1026</v>
      </c>
    </row>
    <row r="777" spans="1:7" x14ac:dyDescent="0.3">
      <c r="A777" t="s">
        <v>782</v>
      </c>
      <c r="B777" s="2">
        <v>45708.500694444447</v>
      </c>
      <c r="C777">
        <v>3129.5</v>
      </c>
      <c r="D777" t="s">
        <v>1007</v>
      </c>
      <c r="E777" t="s">
        <v>1018</v>
      </c>
      <c r="F777" t="s">
        <v>1019</v>
      </c>
    </row>
    <row r="778" spans="1:7" x14ac:dyDescent="0.3">
      <c r="A778" t="s">
        <v>783</v>
      </c>
      <c r="B778" s="2">
        <v>45740.632638888892</v>
      </c>
      <c r="C778">
        <v>5585.29</v>
      </c>
      <c r="D778" t="s">
        <v>1009</v>
      </c>
      <c r="E778" t="s">
        <v>1015</v>
      </c>
      <c r="F778" t="s">
        <v>1019</v>
      </c>
    </row>
    <row r="779" spans="1:7" x14ac:dyDescent="0.3">
      <c r="A779" t="s">
        <v>784</v>
      </c>
      <c r="B779" s="2">
        <v>45722.386111111111</v>
      </c>
      <c r="C779">
        <v>4800.8999999999996</v>
      </c>
      <c r="D779" t="s">
        <v>1011</v>
      </c>
      <c r="E779" t="s">
        <v>1015</v>
      </c>
      <c r="F779" t="s">
        <v>1019</v>
      </c>
    </row>
    <row r="780" spans="1:7" x14ac:dyDescent="0.3">
      <c r="A780" t="s">
        <v>785</v>
      </c>
      <c r="B780" s="2">
        <v>45692.506944444453</v>
      </c>
      <c r="C780">
        <v>2389.52</v>
      </c>
      <c r="D780" t="s">
        <v>1008</v>
      </c>
      <c r="E780" t="s">
        <v>1018</v>
      </c>
      <c r="F780" t="s">
        <v>1019</v>
      </c>
    </row>
    <row r="781" spans="1:7" x14ac:dyDescent="0.3">
      <c r="A781" t="s">
        <v>786</v>
      </c>
      <c r="B781" s="2">
        <v>45668.136111111111</v>
      </c>
      <c r="C781">
        <v>1326.27</v>
      </c>
      <c r="D781" t="s">
        <v>1007</v>
      </c>
      <c r="E781" t="s">
        <v>1017</v>
      </c>
      <c r="F781" t="s">
        <v>1019</v>
      </c>
    </row>
    <row r="782" spans="1:7" x14ac:dyDescent="0.3">
      <c r="A782" t="s">
        <v>787</v>
      </c>
      <c r="B782" s="2">
        <v>45732.128472222219</v>
      </c>
      <c r="C782">
        <v>7743.5</v>
      </c>
      <c r="D782" t="s">
        <v>1011</v>
      </c>
      <c r="E782" t="s">
        <v>1013</v>
      </c>
      <c r="F782" t="s">
        <v>1020</v>
      </c>
      <c r="G782" t="s">
        <v>1024</v>
      </c>
    </row>
    <row r="783" spans="1:7" x14ac:dyDescent="0.3">
      <c r="A783" t="s">
        <v>788</v>
      </c>
      <c r="B783" s="2">
        <v>45712.217361111107</v>
      </c>
      <c r="C783">
        <v>7229.92</v>
      </c>
      <c r="D783" t="s">
        <v>1008</v>
      </c>
      <c r="E783" t="s">
        <v>1013</v>
      </c>
      <c r="F783" t="s">
        <v>1020</v>
      </c>
      <c r="G783" t="s">
        <v>1026</v>
      </c>
    </row>
    <row r="784" spans="1:7" x14ac:dyDescent="0.3">
      <c r="A784" t="s">
        <v>789</v>
      </c>
      <c r="B784" s="2">
        <v>45702.543055555558</v>
      </c>
      <c r="C784">
        <v>2662.44</v>
      </c>
      <c r="D784" t="s">
        <v>1010</v>
      </c>
      <c r="E784" t="s">
        <v>1015</v>
      </c>
      <c r="F784" t="s">
        <v>1019</v>
      </c>
    </row>
    <row r="785" spans="1:7" x14ac:dyDescent="0.3">
      <c r="A785" t="s">
        <v>790</v>
      </c>
      <c r="B785" s="2">
        <v>45731.959027777782</v>
      </c>
      <c r="C785">
        <v>5204.93</v>
      </c>
      <c r="D785" t="s">
        <v>1008</v>
      </c>
      <c r="E785" t="s">
        <v>1017</v>
      </c>
      <c r="F785" t="s">
        <v>1019</v>
      </c>
    </row>
    <row r="786" spans="1:7" x14ac:dyDescent="0.3">
      <c r="A786" t="s">
        <v>791</v>
      </c>
      <c r="B786" s="2">
        <v>45674.954861111109</v>
      </c>
      <c r="C786">
        <v>6704.32</v>
      </c>
      <c r="D786" t="s">
        <v>1009</v>
      </c>
      <c r="E786" t="s">
        <v>1012</v>
      </c>
      <c r="F786" t="s">
        <v>1019</v>
      </c>
    </row>
    <row r="787" spans="1:7" x14ac:dyDescent="0.3">
      <c r="A787" t="s">
        <v>792</v>
      </c>
      <c r="B787" s="2">
        <v>45737.436805555553</v>
      </c>
      <c r="C787">
        <v>1423.29</v>
      </c>
      <c r="D787" t="s">
        <v>1009</v>
      </c>
      <c r="E787" t="s">
        <v>1017</v>
      </c>
      <c r="F787" t="s">
        <v>1019</v>
      </c>
    </row>
    <row r="788" spans="1:7" x14ac:dyDescent="0.3">
      <c r="A788" t="s">
        <v>793</v>
      </c>
      <c r="B788" s="2">
        <v>45664.605555555558</v>
      </c>
      <c r="C788">
        <v>4844.21</v>
      </c>
      <c r="D788" t="s">
        <v>1007</v>
      </c>
      <c r="E788" t="s">
        <v>1017</v>
      </c>
      <c r="F788" t="s">
        <v>1019</v>
      </c>
    </row>
    <row r="789" spans="1:7" x14ac:dyDescent="0.3">
      <c r="A789" t="s">
        <v>794</v>
      </c>
      <c r="B789" s="2">
        <v>45740.306944444441</v>
      </c>
      <c r="C789">
        <v>4797.3</v>
      </c>
      <c r="D789" t="s">
        <v>1010</v>
      </c>
      <c r="E789" t="s">
        <v>1017</v>
      </c>
      <c r="F789" t="s">
        <v>1019</v>
      </c>
    </row>
    <row r="790" spans="1:7" x14ac:dyDescent="0.3">
      <c r="A790" t="s">
        <v>795</v>
      </c>
      <c r="B790" s="2">
        <v>45689.637499999997</v>
      </c>
      <c r="C790">
        <v>3061.2</v>
      </c>
      <c r="D790" t="s">
        <v>1010</v>
      </c>
      <c r="E790" t="s">
        <v>1012</v>
      </c>
      <c r="F790" t="s">
        <v>1019</v>
      </c>
    </row>
    <row r="791" spans="1:7" x14ac:dyDescent="0.3">
      <c r="A791" t="s">
        <v>796</v>
      </c>
      <c r="B791" s="2">
        <v>45679.664583333331</v>
      </c>
      <c r="C791">
        <v>4893.3900000000003</v>
      </c>
      <c r="D791" t="s">
        <v>1011</v>
      </c>
      <c r="E791" t="s">
        <v>1013</v>
      </c>
      <c r="F791" t="s">
        <v>1019</v>
      </c>
    </row>
    <row r="792" spans="1:7" x14ac:dyDescent="0.3">
      <c r="A792" t="s">
        <v>797</v>
      </c>
      <c r="B792" s="2">
        <v>45690.411805555559</v>
      </c>
      <c r="C792">
        <v>5428</v>
      </c>
      <c r="D792" t="s">
        <v>1008</v>
      </c>
      <c r="E792" t="s">
        <v>1014</v>
      </c>
      <c r="F792" t="s">
        <v>1019</v>
      </c>
    </row>
    <row r="793" spans="1:7" x14ac:dyDescent="0.3">
      <c r="A793" t="s">
        <v>798</v>
      </c>
      <c r="B793" s="2">
        <v>45732.130555555559</v>
      </c>
      <c r="C793">
        <v>675.24</v>
      </c>
      <c r="D793" t="s">
        <v>1011</v>
      </c>
      <c r="E793" t="s">
        <v>1016</v>
      </c>
      <c r="F793" t="s">
        <v>1019</v>
      </c>
    </row>
    <row r="794" spans="1:7" x14ac:dyDescent="0.3">
      <c r="A794" t="s">
        <v>799</v>
      </c>
      <c r="B794" s="2">
        <v>45698.50277777778</v>
      </c>
      <c r="C794">
        <v>5994.48</v>
      </c>
      <c r="D794" t="s">
        <v>1010</v>
      </c>
      <c r="E794" t="s">
        <v>1015</v>
      </c>
      <c r="F794" t="s">
        <v>1020</v>
      </c>
      <c r="G794" t="s">
        <v>1026</v>
      </c>
    </row>
    <row r="795" spans="1:7" x14ac:dyDescent="0.3">
      <c r="A795" t="s">
        <v>800</v>
      </c>
      <c r="B795" s="2">
        <v>45700.473611111112</v>
      </c>
      <c r="C795">
        <v>8538.83</v>
      </c>
      <c r="D795" t="s">
        <v>1011</v>
      </c>
      <c r="E795" t="s">
        <v>1015</v>
      </c>
      <c r="F795" t="s">
        <v>1019</v>
      </c>
    </row>
    <row r="796" spans="1:7" x14ac:dyDescent="0.3">
      <c r="A796" t="s">
        <v>801</v>
      </c>
      <c r="B796" s="2">
        <v>45705.063888888893</v>
      </c>
      <c r="C796">
        <v>4828.0600000000004</v>
      </c>
      <c r="D796" t="s">
        <v>1009</v>
      </c>
      <c r="E796" t="s">
        <v>1013</v>
      </c>
      <c r="F796" t="s">
        <v>1019</v>
      </c>
    </row>
    <row r="797" spans="1:7" x14ac:dyDescent="0.3">
      <c r="A797" t="s">
        <v>802</v>
      </c>
      <c r="B797" s="2">
        <v>45699.40347222222</v>
      </c>
      <c r="C797">
        <v>6660.31</v>
      </c>
      <c r="D797" t="s">
        <v>1007</v>
      </c>
      <c r="E797" t="s">
        <v>1016</v>
      </c>
      <c r="F797" t="s">
        <v>1019</v>
      </c>
    </row>
    <row r="798" spans="1:7" x14ac:dyDescent="0.3">
      <c r="A798" t="s">
        <v>803</v>
      </c>
      <c r="B798" s="2">
        <v>45725.554861111108</v>
      </c>
      <c r="C798">
        <v>3119.86</v>
      </c>
      <c r="D798" t="s">
        <v>1009</v>
      </c>
      <c r="E798" t="s">
        <v>1017</v>
      </c>
      <c r="F798" t="s">
        <v>1020</v>
      </c>
      <c r="G798" t="s">
        <v>1021</v>
      </c>
    </row>
    <row r="799" spans="1:7" x14ac:dyDescent="0.3">
      <c r="A799" t="s">
        <v>804</v>
      </c>
      <c r="B799" s="2">
        <v>45703.081944444442</v>
      </c>
      <c r="C799">
        <v>3525.21</v>
      </c>
      <c r="D799" t="s">
        <v>1008</v>
      </c>
      <c r="E799" t="s">
        <v>1013</v>
      </c>
      <c r="F799" t="s">
        <v>1019</v>
      </c>
    </row>
    <row r="800" spans="1:7" x14ac:dyDescent="0.3">
      <c r="A800" t="s">
        <v>805</v>
      </c>
      <c r="B800" s="2">
        <v>45728.581250000003</v>
      </c>
      <c r="C800">
        <v>3959.32</v>
      </c>
      <c r="D800" t="s">
        <v>1011</v>
      </c>
      <c r="E800" t="s">
        <v>1016</v>
      </c>
      <c r="F800" t="s">
        <v>1019</v>
      </c>
    </row>
    <row r="801" spans="1:7" x14ac:dyDescent="0.3">
      <c r="A801" t="s">
        <v>806</v>
      </c>
      <c r="B801" s="2">
        <v>45727.561111111107</v>
      </c>
      <c r="C801">
        <v>5851.91</v>
      </c>
      <c r="D801" t="s">
        <v>1007</v>
      </c>
      <c r="E801" t="s">
        <v>1016</v>
      </c>
      <c r="F801" t="s">
        <v>1019</v>
      </c>
    </row>
    <row r="802" spans="1:7" x14ac:dyDescent="0.3">
      <c r="A802" t="s">
        <v>807</v>
      </c>
      <c r="B802" s="2">
        <v>45703.851388888892</v>
      </c>
      <c r="C802">
        <v>3586.92</v>
      </c>
      <c r="D802" t="s">
        <v>1011</v>
      </c>
      <c r="E802" t="s">
        <v>1017</v>
      </c>
      <c r="F802" t="s">
        <v>1019</v>
      </c>
    </row>
    <row r="803" spans="1:7" x14ac:dyDescent="0.3">
      <c r="A803" t="s">
        <v>808</v>
      </c>
      <c r="B803" s="2">
        <v>45693.818749999999</v>
      </c>
      <c r="C803">
        <v>1101.5999999999999</v>
      </c>
      <c r="D803" t="s">
        <v>1009</v>
      </c>
      <c r="E803" t="s">
        <v>1015</v>
      </c>
      <c r="F803" t="s">
        <v>1019</v>
      </c>
    </row>
    <row r="804" spans="1:7" x14ac:dyDescent="0.3">
      <c r="A804" t="s">
        <v>809</v>
      </c>
      <c r="B804" s="2">
        <v>45727.959722222222</v>
      </c>
      <c r="C804">
        <v>5661.33</v>
      </c>
      <c r="D804" t="s">
        <v>1007</v>
      </c>
      <c r="E804" t="s">
        <v>1018</v>
      </c>
      <c r="F804" t="s">
        <v>1019</v>
      </c>
    </row>
    <row r="805" spans="1:7" x14ac:dyDescent="0.3">
      <c r="A805" t="s">
        <v>810</v>
      </c>
      <c r="B805" s="2">
        <v>45725.831944444442</v>
      </c>
      <c r="C805">
        <v>1371.07</v>
      </c>
      <c r="D805" t="s">
        <v>1009</v>
      </c>
      <c r="E805" t="s">
        <v>1015</v>
      </c>
      <c r="F805" t="s">
        <v>1019</v>
      </c>
    </row>
    <row r="806" spans="1:7" x14ac:dyDescent="0.3">
      <c r="A806" t="s">
        <v>811</v>
      </c>
      <c r="B806" s="2">
        <v>45696.31527777778</v>
      </c>
      <c r="C806">
        <v>8569.14</v>
      </c>
      <c r="D806" t="s">
        <v>1007</v>
      </c>
      <c r="E806" t="s">
        <v>1014</v>
      </c>
      <c r="F806" t="s">
        <v>1020</v>
      </c>
      <c r="G806" t="s">
        <v>1022</v>
      </c>
    </row>
    <row r="807" spans="1:7" x14ac:dyDescent="0.3">
      <c r="A807" t="s">
        <v>812</v>
      </c>
      <c r="B807" s="2">
        <v>45667.004861111112</v>
      </c>
      <c r="C807">
        <v>3332.41</v>
      </c>
      <c r="D807" t="s">
        <v>1010</v>
      </c>
      <c r="E807" t="s">
        <v>1013</v>
      </c>
      <c r="F807" t="s">
        <v>1019</v>
      </c>
    </row>
    <row r="808" spans="1:7" x14ac:dyDescent="0.3">
      <c r="A808" t="s">
        <v>813</v>
      </c>
      <c r="B808" s="2">
        <v>45666.805555555547</v>
      </c>
      <c r="C808">
        <v>1410.07</v>
      </c>
      <c r="D808" t="s">
        <v>1009</v>
      </c>
      <c r="E808" t="s">
        <v>1014</v>
      </c>
      <c r="F808" t="s">
        <v>1019</v>
      </c>
    </row>
    <row r="809" spans="1:7" x14ac:dyDescent="0.3">
      <c r="A809" t="s">
        <v>814</v>
      </c>
      <c r="B809" s="2">
        <v>45719.500694444447</v>
      </c>
      <c r="C809">
        <v>8305.2099999999991</v>
      </c>
      <c r="D809" t="s">
        <v>1010</v>
      </c>
      <c r="E809" t="s">
        <v>1018</v>
      </c>
      <c r="F809" t="s">
        <v>1019</v>
      </c>
    </row>
    <row r="810" spans="1:7" x14ac:dyDescent="0.3">
      <c r="A810" t="s">
        <v>815</v>
      </c>
      <c r="B810" s="2">
        <v>45742.135416666657</v>
      </c>
      <c r="C810">
        <v>1566.46</v>
      </c>
      <c r="D810" t="s">
        <v>1007</v>
      </c>
      <c r="E810" t="s">
        <v>1017</v>
      </c>
      <c r="F810" t="s">
        <v>1019</v>
      </c>
    </row>
    <row r="811" spans="1:7" x14ac:dyDescent="0.3">
      <c r="A811" t="s">
        <v>816</v>
      </c>
      <c r="B811" s="2">
        <v>45666.67291666667</v>
      </c>
      <c r="C811">
        <v>7188.9</v>
      </c>
      <c r="D811" t="s">
        <v>1011</v>
      </c>
      <c r="E811" t="s">
        <v>1016</v>
      </c>
      <c r="F811" t="s">
        <v>1019</v>
      </c>
    </row>
    <row r="812" spans="1:7" x14ac:dyDescent="0.3">
      <c r="A812" t="s">
        <v>817</v>
      </c>
      <c r="B812" s="2">
        <v>45728.80972222222</v>
      </c>
      <c r="C812">
        <v>7558.92</v>
      </c>
      <c r="D812" t="s">
        <v>1007</v>
      </c>
      <c r="E812" t="s">
        <v>1018</v>
      </c>
      <c r="F812" t="s">
        <v>1019</v>
      </c>
    </row>
    <row r="813" spans="1:7" x14ac:dyDescent="0.3">
      <c r="A813" t="s">
        <v>818</v>
      </c>
      <c r="B813" s="2">
        <v>45665.09097222222</v>
      </c>
      <c r="C813">
        <v>9406.5</v>
      </c>
      <c r="D813" t="s">
        <v>1008</v>
      </c>
      <c r="E813" t="s">
        <v>1013</v>
      </c>
      <c r="F813" t="s">
        <v>1019</v>
      </c>
    </row>
    <row r="814" spans="1:7" x14ac:dyDescent="0.3">
      <c r="A814" t="s">
        <v>819</v>
      </c>
      <c r="B814" s="2">
        <v>45736.870833333327</v>
      </c>
      <c r="C814">
        <v>8853.98</v>
      </c>
      <c r="D814" t="s">
        <v>1011</v>
      </c>
      <c r="E814" t="s">
        <v>1014</v>
      </c>
      <c r="F814" t="s">
        <v>1019</v>
      </c>
    </row>
    <row r="815" spans="1:7" x14ac:dyDescent="0.3">
      <c r="A815" t="s">
        <v>820</v>
      </c>
      <c r="B815" s="2">
        <v>45702.322222222218</v>
      </c>
      <c r="C815">
        <v>6788.95</v>
      </c>
      <c r="D815" t="s">
        <v>1009</v>
      </c>
      <c r="E815" t="s">
        <v>1015</v>
      </c>
      <c r="F815" t="s">
        <v>1019</v>
      </c>
    </row>
    <row r="816" spans="1:7" x14ac:dyDescent="0.3">
      <c r="A816" t="s">
        <v>821</v>
      </c>
      <c r="B816" s="2">
        <v>45735.030555555553</v>
      </c>
      <c r="C816">
        <v>4583.34</v>
      </c>
      <c r="D816" t="s">
        <v>1010</v>
      </c>
      <c r="E816" t="s">
        <v>1018</v>
      </c>
      <c r="F816" t="s">
        <v>1019</v>
      </c>
    </row>
    <row r="817" spans="1:7" x14ac:dyDescent="0.3">
      <c r="A817" t="s">
        <v>822</v>
      </c>
      <c r="B817" s="2">
        <v>45744.539583333331</v>
      </c>
      <c r="C817">
        <v>1664.44</v>
      </c>
      <c r="D817" t="s">
        <v>1008</v>
      </c>
      <c r="E817" t="s">
        <v>1014</v>
      </c>
      <c r="F817" t="s">
        <v>1019</v>
      </c>
    </row>
    <row r="818" spans="1:7" x14ac:dyDescent="0.3">
      <c r="A818" t="s">
        <v>823</v>
      </c>
      <c r="B818" s="2">
        <v>45687.47152777778</v>
      </c>
      <c r="C818">
        <v>7590.3</v>
      </c>
      <c r="D818" t="s">
        <v>1011</v>
      </c>
      <c r="E818" t="s">
        <v>1012</v>
      </c>
      <c r="F818" t="s">
        <v>1019</v>
      </c>
    </row>
    <row r="819" spans="1:7" x14ac:dyDescent="0.3">
      <c r="A819" t="s">
        <v>824</v>
      </c>
      <c r="B819" s="2">
        <v>45726.774305555547</v>
      </c>
      <c r="C819">
        <v>9856.34</v>
      </c>
      <c r="D819" t="s">
        <v>1009</v>
      </c>
      <c r="E819" t="s">
        <v>1017</v>
      </c>
      <c r="F819" t="s">
        <v>1019</v>
      </c>
    </row>
    <row r="820" spans="1:7" x14ac:dyDescent="0.3">
      <c r="A820" t="s">
        <v>825</v>
      </c>
      <c r="B820" s="2">
        <v>45693.475694444453</v>
      </c>
      <c r="C820">
        <v>3287.54</v>
      </c>
      <c r="D820" t="s">
        <v>1011</v>
      </c>
      <c r="E820" t="s">
        <v>1014</v>
      </c>
      <c r="F820" t="s">
        <v>1019</v>
      </c>
    </row>
    <row r="821" spans="1:7" x14ac:dyDescent="0.3">
      <c r="A821" t="s">
        <v>826</v>
      </c>
      <c r="B821" s="2">
        <v>45684.585416666669</v>
      </c>
      <c r="C821">
        <v>5857.8</v>
      </c>
      <c r="D821" t="s">
        <v>1007</v>
      </c>
      <c r="E821" t="s">
        <v>1018</v>
      </c>
      <c r="F821" t="s">
        <v>1019</v>
      </c>
    </row>
    <row r="822" spans="1:7" x14ac:dyDescent="0.3">
      <c r="A822" t="s">
        <v>827</v>
      </c>
      <c r="B822" s="2">
        <v>45664.069444444453</v>
      </c>
      <c r="C822">
        <v>3308.15</v>
      </c>
      <c r="D822" t="s">
        <v>1007</v>
      </c>
      <c r="E822" t="s">
        <v>1013</v>
      </c>
      <c r="F822" t="s">
        <v>1019</v>
      </c>
    </row>
    <row r="823" spans="1:7" x14ac:dyDescent="0.3">
      <c r="A823" t="s">
        <v>828</v>
      </c>
      <c r="B823" s="2">
        <v>45672.507638888892</v>
      </c>
      <c r="C823">
        <v>9555.06</v>
      </c>
      <c r="D823" t="s">
        <v>1008</v>
      </c>
      <c r="E823" t="s">
        <v>1015</v>
      </c>
      <c r="F823" t="s">
        <v>1019</v>
      </c>
    </row>
    <row r="824" spans="1:7" x14ac:dyDescent="0.3">
      <c r="A824" t="s">
        <v>829</v>
      </c>
      <c r="B824" s="2">
        <v>45695.728472222218</v>
      </c>
      <c r="C824">
        <v>2860.83</v>
      </c>
      <c r="D824" t="s">
        <v>1010</v>
      </c>
      <c r="E824" t="s">
        <v>1018</v>
      </c>
      <c r="F824" t="s">
        <v>1019</v>
      </c>
    </row>
    <row r="825" spans="1:7" x14ac:dyDescent="0.3">
      <c r="A825" t="s">
        <v>830</v>
      </c>
      <c r="B825" s="2">
        <v>45684.51458333333</v>
      </c>
      <c r="C825">
        <v>888.77</v>
      </c>
      <c r="D825" t="s">
        <v>1011</v>
      </c>
      <c r="E825" t="s">
        <v>1018</v>
      </c>
      <c r="F825" t="s">
        <v>1019</v>
      </c>
    </row>
    <row r="826" spans="1:7" x14ac:dyDescent="0.3">
      <c r="A826" t="s">
        <v>831</v>
      </c>
      <c r="B826" s="2">
        <v>45706.09097222222</v>
      </c>
      <c r="C826">
        <v>650.9</v>
      </c>
      <c r="D826" t="s">
        <v>1011</v>
      </c>
      <c r="E826" t="s">
        <v>1014</v>
      </c>
      <c r="F826" t="s">
        <v>1019</v>
      </c>
    </row>
    <row r="827" spans="1:7" x14ac:dyDescent="0.3">
      <c r="A827" t="s">
        <v>832</v>
      </c>
      <c r="B827" s="2">
        <v>45746.223611111112</v>
      </c>
      <c r="C827">
        <v>6092.26</v>
      </c>
      <c r="D827" t="s">
        <v>1010</v>
      </c>
      <c r="E827" t="s">
        <v>1016</v>
      </c>
      <c r="F827" t="s">
        <v>1019</v>
      </c>
    </row>
    <row r="828" spans="1:7" x14ac:dyDescent="0.3">
      <c r="A828" t="s">
        <v>833</v>
      </c>
      <c r="B828" s="2">
        <v>45666.231944444437</v>
      </c>
      <c r="C828">
        <v>1840.29</v>
      </c>
      <c r="D828" t="s">
        <v>1007</v>
      </c>
      <c r="E828" t="s">
        <v>1015</v>
      </c>
      <c r="F828" t="s">
        <v>1019</v>
      </c>
    </row>
    <row r="829" spans="1:7" x14ac:dyDescent="0.3">
      <c r="A829" t="s">
        <v>834</v>
      </c>
      <c r="B829" s="2">
        <v>45691.164583333331</v>
      </c>
      <c r="C829">
        <v>9625.11</v>
      </c>
      <c r="D829" t="s">
        <v>1008</v>
      </c>
      <c r="E829" t="s">
        <v>1016</v>
      </c>
      <c r="F829" t="s">
        <v>1020</v>
      </c>
      <c r="G829" t="s">
        <v>1024</v>
      </c>
    </row>
    <row r="830" spans="1:7" x14ac:dyDescent="0.3">
      <c r="A830" t="s">
        <v>835</v>
      </c>
      <c r="B830" s="2">
        <v>45727.24722222222</v>
      </c>
      <c r="C830">
        <v>9750.24</v>
      </c>
      <c r="D830" t="s">
        <v>1009</v>
      </c>
      <c r="E830" t="s">
        <v>1018</v>
      </c>
      <c r="F830" t="s">
        <v>1019</v>
      </c>
    </row>
    <row r="831" spans="1:7" x14ac:dyDescent="0.3">
      <c r="A831" t="s">
        <v>836</v>
      </c>
      <c r="B831" s="2">
        <v>45742.106249999997</v>
      </c>
      <c r="C831">
        <v>8963.18</v>
      </c>
      <c r="D831" t="s">
        <v>1007</v>
      </c>
      <c r="E831" t="s">
        <v>1015</v>
      </c>
      <c r="F831" t="s">
        <v>1019</v>
      </c>
    </row>
    <row r="832" spans="1:7" x14ac:dyDescent="0.3">
      <c r="A832" t="s">
        <v>837</v>
      </c>
      <c r="B832" s="2">
        <v>45690.21875</v>
      </c>
      <c r="C832">
        <v>676.92</v>
      </c>
      <c r="D832" t="s">
        <v>1011</v>
      </c>
      <c r="E832" t="s">
        <v>1012</v>
      </c>
      <c r="F832" t="s">
        <v>1020</v>
      </c>
      <c r="G832" t="s">
        <v>1023</v>
      </c>
    </row>
    <row r="833" spans="1:7" x14ac:dyDescent="0.3">
      <c r="A833" t="s">
        <v>838</v>
      </c>
      <c r="B833" s="2">
        <v>45738.634722222218</v>
      </c>
      <c r="C833">
        <v>5527.02</v>
      </c>
      <c r="D833" t="s">
        <v>1009</v>
      </c>
      <c r="E833" t="s">
        <v>1018</v>
      </c>
      <c r="F833" t="s">
        <v>1019</v>
      </c>
    </row>
    <row r="834" spans="1:7" x14ac:dyDescent="0.3">
      <c r="A834" t="s">
        <v>839</v>
      </c>
      <c r="B834" s="2">
        <v>45691.893750000003</v>
      </c>
      <c r="C834">
        <v>1053.05</v>
      </c>
      <c r="D834" t="s">
        <v>1008</v>
      </c>
      <c r="E834" t="s">
        <v>1014</v>
      </c>
      <c r="F834" t="s">
        <v>1020</v>
      </c>
      <c r="G834" t="s">
        <v>1025</v>
      </c>
    </row>
    <row r="835" spans="1:7" x14ac:dyDescent="0.3">
      <c r="A835" t="s">
        <v>840</v>
      </c>
      <c r="B835" s="2">
        <v>45694.486111111109</v>
      </c>
      <c r="C835">
        <v>990.04</v>
      </c>
      <c r="D835" t="s">
        <v>1010</v>
      </c>
      <c r="E835" t="s">
        <v>1012</v>
      </c>
      <c r="F835" t="s">
        <v>1019</v>
      </c>
    </row>
    <row r="836" spans="1:7" x14ac:dyDescent="0.3">
      <c r="A836" t="s">
        <v>841</v>
      </c>
      <c r="B836" s="2">
        <v>45718.565972222219</v>
      </c>
      <c r="C836">
        <v>4124.6099999999997</v>
      </c>
      <c r="D836" t="s">
        <v>1008</v>
      </c>
      <c r="E836" t="s">
        <v>1013</v>
      </c>
      <c r="F836" t="s">
        <v>1019</v>
      </c>
    </row>
    <row r="837" spans="1:7" x14ac:dyDescent="0.3">
      <c r="A837" t="s">
        <v>842</v>
      </c>
      <c r="B837" s="2">
        <v>45743.929166666669</v>
      </c>
      <c r="C837">
        <v>6856.37</v>
      </c>
      <c r="D837" t="s">
        <v>1011</v>
      </c>
      <c r="E837" t="s">
        <v>1015</v>
      </c>
      <c r="F837" t="s">
        <v>1019</v>
      </c>
    </row>
    <row r="838" spans="1:7" x14ac:dyDescent="0.3">
      <c r="A838" t="s">
        <v>843</v>
      </c>
      <c r="B838" s="2">
        <v>45687.559027777781</v>
      </c>
      <c r="C838">
        <v>6094.34</v>
      </c>
      <c r="D838" t="s">
        <v>1010</v>
      </c>
      <c r="E838" t="s">
        <v>1018</v>
      </c>
      <c r="F838" t="s">
        <v>1020</v>
      </c>
      <c r="G838" t="s">
        <v>1026</v>
      </c>
    </row>
    <row r="839" spans="1:7" x14ac:dyDescent="0.3">
      <c r="A839" t="s">
        <v>844</v>
      </c>
      <c r="B839" s="2">
        <v>45690.113194444442</v>
      </c>
      <c r="C839">
        <v>5820.74</v>
      </c>
      <c r="D839" t="s">
        <v>1007</v>
      </c>
      <c r="E839" t="s">
        <v>1015</v>
      </c>
      <c r="F839" t="s">
        <v>1019</v>
      </c>
    </row>
    <row r="840" spans="1:7" x14ac:dyDescent="0.3">
      <c r="A840" t="s">
        <v>845</v>
      </c>
      <c r="B840" s="2">
        <v>45712.220138888893</v>
      </c>
      <c r="C840">
        <v>6196.09</v>
      </c>
      <c r="D840" t="s">
        <v>1008</v>
      </c>
      <c r="E840" t="s">
        <v>1014</v>
      </c>
      <c r="F840" t="s">
        <v>1019</v>
      </c>
    </row>
    <row r="841" spans="1:7" x14ac:dyDescent="0.3">
      <c r="A841" t="s">
        <v>846</v>
      </c>
      <c r="B841" s="2">
        <v>45746.004166666673</v>
      </c>
      <c r="C841">
        <v>6916.78</v>
      </c>
      <c r="D841" t="s">
        <v>1007</v>
      </c>
      <c r="E841" t="s">
        <v>1016</v>
      </c>
      <c r="F841" t="s">
        <v>1019</v>
      </c>
    </row>
    <row r="842" spans="1:7" x14ac:dyDescent="0.3">
      <c r="A842" t="s">
        <v>847</v>
      </c>
      <c r="B842" s="2">
        <v>45712.658333333333</v>
      </c>
      <c r="C842">
        <v>8403.8799999999992</v>
      </c>
      <c r="D842" t="s">
        <v>1007</v>
      </c>
      <c r="E842" t="s">
        <v>1015</v>
      </c>
      <c r="F842" t="s">
        <v>1019</v>
      </c>
    </row>
    <row r="843" spans="1:7" x14ac:dyDescent="0.3">
      <c r="A843" t="s">
        <v>848</v>
      </c>
      <c r="B843" s="2">
        <v>45699.708333333343</v>
      </c>
      <c r="C843">
        <v>8385.49</v>
      </c>
      <c r="D843" t="s">
        <v>1007</v>
      </c>
      <c r="E843" t="s">
        <v>1017</v>
      </c>
      <c r="F843" t="s">
        <v>1019</v>
      </c>
    </row>
    <row r="844" spans="1:7" x14ac:dyDescent="0.3">
      <c r="A844" t="s">
        <v>849</v>
      </c>
      <c r="B844" s="2">
        <v>45674.364583333343</v>
      </c>
      <c r="C844">
        <v>1335.6</v>
      </c>
      <c r="D844" t="s">
        <v>1011</v>
      </c>
      <c r="E844" t="s">
        <v>1018</v>
      </c>
      <c r="F844" t="s">
        <v>1020</v>
      </c>
      <c r="G844" t="s">
        <v>1026</v>
      </c>
    </row>
    <row r="845" spans="1:7" x14ac:dyDescent="0.3">
      <c r="A845" t="s">
        <v>850</v>
      </c>
      <c r="B845" s="2">
        <v>45706.538194444453</v>
      </c>
      <c r="C845">
        <v>1922.68</v>
      </c>
      <c r="D845" t="s">
        <v>1009</v>
      </c>
      <c r="E845" t="s">
        <v>1018</v>
      </c>
      <c r="F845" t="s">
        <v>1019</v>
      </c>
    </row>
    <row r="846" spans="1:7" x14ac:dyDescent="0.3">
      <c r="A846" t="s">
        <v>851</v>
      </c>
      <c r="B846" s="2">
        <v>45721.215277777781</v>
      </c>
      <c r="C846">
        <v>8477.58</v>
      </c>
      <c r="D846" t="s">
        <v>1009</v>
      </c>
      <c r="E846" t="s">
        <v>1012</v>
      </c>
      <c r="F846" t="s">
        <v>1019</v>
      </c>
    </row>
    <row r="847" spans="1:7" x14ac:dyDescent="0.3">
      <c r="A847" t="s">
        <v>852</v>
      </c>
      <c r="B847" s="2">
        <v>45666.782638888893</v>
      </c>
      <c r="C847">
        <v>320.08</v>
      </c>
      <c r="D847" t="s">
        <v>1011</v>
      </c>
      <c r="E847" t="s">
        <v>1014</v>
      </c>
      <c r="F847" t="s">
        <v>1019</v>
      </c>
    </row>
    <row r="848" spans="1:7" x14ac:dyDescent="0.3">
      <c r="A848" t="s">
        <v>853</v>
      </c>
      <c r="B848" s="2">
        <v>45678.357638888891</v>
      </c>
      <c r="C848">
        <v>3417.06</v>
      </c>
      <c r="D848" t="s">
        <v>1011</v>
      </c>
      <c r="E848" t="s">
        <v>1015</v>
      </c>
      <c r="F848" t="s">
        <v>1019</v>
      </c>
    </row>
    <row r="849" spans="1:7" x14ac:dyDescent="0.3">
      <c r="A849" t="s">
        <v>854</v>
      </c>
      <c r="B849" s="2">
        <v>45682.181250000001</v>
      </c>
      <c r="C849">
        <v>2214.3000000000002</v>
      </c>
      <c r="D849" t="s">
        <v>1009</v>
      </c>
      <c r="E849" t="s">
        <v>1018</v>
      </c>
      <c r="F849" t="s">
        <v>1020</v>
      </c>
      <c r="G849" t="s">
        <v>1021</v>
      </c>
    </row>
    <row r="850" spans="1:7" x14ac:dyDescent="0.3">
      <c r="A850" t="s">
        <v>855</v>
      </c>
      <c r="B850" s="2">
        <v>45702.604861111111</v>
      </c>
      <c r="C850">
        <v>4400.1099999999997</v>
      </c>
      <c r="D850" t="s">
        <v>1010</v>
      </c>
      <c r="E850" t="s">
        <v>1013</v>
      </c>
      <c r="F850" t="s">
        <v>1019</v>
      </c>
    </row>
    <row r="851" spans="1:7" x14ac:dyDescent="0.3">
      <c r="A851" t="s">
        <v>856</v>
      </c>
      <c r="B851" s="2">
        <v>45695.13958333333</v>
      </c>
      <c r="C851">
        <v>5550.22</v>
      </c>
      <c r="D851" t="s">
        <v>1009</v>
      </c>
      <c r="E851" t="s">
        <v>1015</v>
      </c>
      <c r="F851" t="s">
        <v>1019</v>
      </c>
    </row>
    <row r="852" spans="1:7" x14ac:dyDescent="0.3">
      <c r="A852" t="s">
        <v>857</v>
      </c>
      <c r="B852" s="2">
        <v>45662.31527777778</v>
      </c>
      <c r="C852">
        <v>6058.5</v>
      </c>
      <c r="D852" t="s">
        <v>1007</v>
      </c>
      <c r="E852" t="s">
        <v>1016</v>
      </c>
      <c r="F852" t="s">
        <v>1019</v>
      </c>
    </row>
    <row r="853" spans="1:7" x14ac:dyDescent="0.3">
      <c r="A853" t="s">
        <v>858</v>
      </c>
      <c r="B853" s="2">
        <v>45674.46875</v>
      </c>
      <c r="C853">
        <v>6637.34</v>
      </c>
      <c r="D853" t="s">
        <v>1009</v>
      </c>
      <c r="E853" t="s">
        <v>1018</v>
      </c>
      <c r="F853" t="s">
        <v>1019</v>
      </c>
    </row>
    <row r="854" spans="1:7" x14ac:dyDescent="0.3">
      <c r="A854" t="s">
        <v>859</v>
      </c>
      <c r="B854" s="2">
        <v>45736.285416666673</v>
      </c>
      <c r="C854">
        <v>6283.79</v>
      </c>
      <c r="D854" t="s">
        <v>1007</v>
      </c>
      <c r="E854" t="s">
        <v>1017</v>
      </c>
      <c r="F854" t="s">
        <v>1019</v>
      </c>
    </row>
    <row r="855" spans="1:7" x14ac:dyDescent="0.3">
      <c r="A855" t="s">
        <v>860</v>
      </c>
      <c r="B855" s="2">
        <v>45694.040972222218</v>
      </c>
      <c r="C855">
        <v>7055.93</v>
      </c>
      <c r="D855" t="s">
        <v>1008</v>
      </c>
      <c r="E855" t="s">
        <v>1015</v>
      </c>
      <c r="F855" t="s">
        <v>1019</v>
      </c>
    </row>
    <row r="856" spans="1:7" x14ac:dyDescent="0.3">
      <c r="A856" t="s">
        <v>861</v>
      </c>
      <c r="B856" s="2">
        <v>45701.686805555553</v>
      </c>
      <c r="C856">
        <v>47.61</v>
      </c>
      <c r="D856" t="s">
        <v>1010</v>
      </c>
      <c r="E856" t="s">
        <v>1013</v>
      </c>
      <c r="F856" t="s">
        <v>1019</v>
      </c>
    </row>
    <row r="857" spans="1:7" x14ac:dyDescent="0.3">
      <c r="A857" t="s">
        <v>862</v>
      </c>
      <c r="B857" s="2">
        <v>45689.138888888891</v>
      </c>
      <c r="C857">
        <v>9289.7800000000007</v>
      </c>
      <c r="D857" t="s">
        <v>1011</v>
      </c>
      <c r="E857" t="s">
        <v>1012</v>
      </c>
      <c r="F857" t="s">
        <v>1019</v>
      </c>
    </row>
    <row r="858" spans="1:7" x14ac:dyDescent="0.3">
      <c r="A858" t="s">
        <v>863</v>
      </c>
      <c r="B858" s="2">
        <v>45723.646527777782</v>
      </c>
      <c r="C858">
        <v>4668.66</v>
      </c>
      <c r="D858" t="s">
        <v>1009</v>
      </c>
      <c r="E858" t="s">
        <v>1017</v>
      </c>
      <c r="F858" t="s">
        <v>1020</v>
      </c>
      <c r="G858" t="s">
        <v>1021</v>
      </c>
    </row>
    <row r="859" spans="1:7" x14ac:dyDescent="0.3">
      <c r="A859" t="s">
        <v>864</v>
      </c>
      <c r="B859" s="2">
        <v>45699.356249999997</v>
      </c>
      <c r="C859">
        <v>3447.39</v>
      </c>
      <c r="D859" t="s">
        <v>1009</v>
      </c>
      <c r="E859" t="s">
        <v>1018</v>
      </c>
      <c r="F859" t="s">
        <v>1019</v>
      </c>
    </row>
    <row r="860" spans="1:7" x14ac:dyDescent="0.3">
      <c r="A860" t="s">
        <v>865</v>
      </c>
      <c r="B860" s="2">
        <v>45689.370833333327</v>
      </c>
      <c r="C860">
        <v>2334.31</v>
      </c>
      <c r="D860" t="s">
        <v>1007</v>
      </c>
      <c r="E860" t="s">
        <v>1015</v>
      </c>
      <c r="F860" t="s">
        <v>1019</v>
      </c>
    </row>
    <row r="861" spans="1:7" x14ac:dyDescent="0.3">
      <c r="A861" t="s">
        <v>866</v>
      </c>
      <c r="B861" s="2">
        <v>45706.90902777778</v>
      </c>
      <c r="C861">
        <v>72.81</v>
      </c>
      <c r="D861" t="s">
        <v>1007</v>
      </c>
      <c r="E861" t="s">
        <v>1013</v>
      </c>
      <c r="F861" t="s">
        <v>1020</v>
      </c>
      <c r="G861" t="s">
        <v>1022</v>
      </c>
    </row>
    <row r="862" spans="1:7" x14ac:dyDescent="0.3">
      <c r="A862" t="s">
        <v>867</v>
      </c>
      <c r="B862" s="2">
        <v>45721.953472222223</v>
      </c>
      <c r="C862">
        <v>9584.33</v>
      </c>
      <c r="D862" t="s">
        <v>1010</v>
      </c>
      <c r="E862" t="s">
        <v>1017</v>
      </c>
      <c r="F862" t="s">
        <v>1019</v>
      </c>
    </row>
    <row r="863" spans="1:7" x14ac:dyDescent="0.3">
      <c r="A863" t="s">
        <v>868</v>
      </c>
      <c r="B863" s="2">
        <v>45719.586805555547</v>
      </c>
      <c r="C863">
        <v>2119.2199999999998</v>
      </c>
      <c r="D863" t="s">
        <v>1010</v>
      </c>
      <c r="E863" t="s">
        <v>1012</v>
      </c>
      <c r="F863" t="s">
        <v>1019</v>
      </c>
    </row>
    <row r="864" spans="1:7" x14ac:dyDescent="0.3">
      <c r="A864" t="s">
        <v>869</v>
      </c>
      <c r="B864" s="2">
        <v>45727.557638888888</v>
      </c>
      <c r="C864">
        <v>2177.41</v>
      </c>
      <c r="D864" t="s">
        <v>1009</v>
      </c>
      <c r="E864" t="s">
        <v>1017</v>
      </c>
      <c r="F864" t="s">
        <v>1019</v>
      </c>
    </row>
    <row r="865" spans="1:7" x14ac:dyDescent="0.3">
      <c r="A865" t="s">
        <v>870</v>
      </c>
      <c r="B865" s="2">
        <v>45728.34375</v>
      </c>
      <c r="C865">
        <v>5153.07</v>
      </c>
      <c r="D865" t="s">
        <v>1008</v>
      </c>
      <c r="E865" t="s">
        <v>1014</v>
      </c>
      <c r="F865" t="s">
        <v>1020</v>
      </c>
      <c r="G865" t="s">
        <v>1025</v>
      </c>
    </row>
    <row r="866" spans="1:7" x14ac:dyDescent="0.3">
      <c r="A866" t="s">
        <v>871</v>
      </c>
      <c r="B866" s="2">
        <v>45660.736805555563</v>
      </c>
      <c r="C866">
        <v>4745.8999999999996</v>
      </c>
      <c r="D866" t="s">
        <v>1009</v>
      </c>
      <c r="E866" t="s">
        <v>1017</v>
      </c>
      <c r="F866" t="s">
        <v>1020</v>
      </c>
      <c r="G866" t="s">
        <v>1025</v>
      </c>
    </row>
    <row r="867" spans="1:7" x14ac:dyDescent="0.3">
      <c r="A867" t="s">
        <v>872</v>
      </c>
      <c r="B867" s="2">
        <v>45665.307638888888</v>
      </c>
      <c r="C867">
        <v>7400.62</v>
      </c>
      <c r="D867" t="s">
        <v>1010</v>
      </c>
      <c r="E867" t="s">
        <v>1018</v>
      </c>
      <c r="F867" t="s">
        <v>1019</v>
      </c>
    </row>
    <row r="868" spans="1:7" x14ac:dyDescent="0.3">
      <c r="A868" t="s">
        <v>873</v>
      </c>
      <c r="B868" s="2">
        <v>45700.918749999997</v>
      </c>
      <c r="C868">
        <v>1306.45</v>
      </c>
      <c r="D868" t="s">
        <v>1009</v>
      </c>
      <c r="E868" t="s">
        <v>1018</v>
      </c>
      <c r="F868" t="s">
        <v>1019</v>
      </c>
    </row>
    <row r="869" spans="1:7" x14ac:dyDescent="0.3">
      <c r="A869" t="s">
        <v>874</v>
      </c>
      <c r="B869" s="2">
        <v>45706.893055555563</v>
      </c>
      <c r="C869">
        <v>3025.22</v>
      </c>
      <c r="D869" t="s">
        <v>1009</v>
      </c>
      <c r="E869" t="s">
        <v>1013</v>
      </c>
      <c r="F869" t="s">
        <v>1020</v>
      </c>
      <c r="G869" t="s">
        <v>1024</v>
      </c>
    </row>
    <row r="870" spans="1:7" x14ac:dyDescent="0.3">
      <c r="A870" t="s">
        <v>875</v>
      </c>
      <c r="B870" s="2">
        <v>45715.166666666657</v>
      </c>
      <c r="C870">
        <v>4060.14</v>
      </c>
      <c r="D870" t="s">
        <v>1011</v>
      </c>
      <c r="E870" t="s">
        <v>1015</v>
      </c>
      <c r="F870" t="s">
        <v>1020</v>
      </c>
      <c r="G870" t="s">
        <v>1025</v>
      </c>
    </row>
    <row r="871" spans="1:7" x14ac:dyDescent="0.3">
      <c r="A871" t="s">
        <v>876</v>
      </c>
      <c r="B871" s="2">
        <v>45669.506944444453</v>
      </c>
      <c r="C871">
        <v>9582.33</v>
      </c>
      <c r="D871" t="s">
        <v>1010</v>
      </c>
      <c r="E871" t="s">
        <v>1014</v>
      </c>
      <c r="F871" t="s">
        <v>1019</v>
      </c>
    </row>
    <row r="872" spans="1:7" x14ac:dyDescent="0.3">
      <c r="A872" t="s">
        <v>877</v>
      </c>
      <c r="B872" s="2">
        <v>45700.668749999997</v>
      </c>
      <c r="C872">
        <v>8388.06</v>
      </c>
      <c r="D872" t="s">
        <v>1008</v>
      </c>
      <c r="E872" t="s">
        <v>1014</v>
      </c>
      <c r="F872" t="s">
        <v>1019</v>
      </c>
    </row>
    <row r="873" spans="1:7" x14ac:dyDescent="0.3">
      <c r="A873" t="s">
        <v>878</v>
      </c>
      <c r="B873" s="2">
        <v>45686.612500000003</v>
      </c>
      <c r="C873">
        <v>7090.72</v>
      </c>
      <c r="D873" t="s">
        <v>1009</v>
      </c>
      <c r="E873" t="s">
        <v>1013</v>
      </c>
      <c r="F873" t="s">
        <v>1019</v>
      </c>
    </row>
    <row r="874" spans="1:7" x14ac:dyDescent="0.3">
      <c r="A874" t="s">
        <v>879</v>
      </c>
      <c r="B874" s="2">
        <v>45740.751388888893</v>
      </c>
      <c r="C874">
        <v>4328.6499999999996</v>
      </c>
      <c r="D874" t="s">
        <v>1010</v>
      </c>
      <c r="E874" t="s">
        <v>1018</v>
      </c>
      <c r="F874" t="s">
        <v>1020</v>
      </c>
      <c r="G874" t="s">
        <v>1022</v>
      </c>
    </row>
    <row r="875" spans="1:7" x14ac:dyDescent="0.3">
      <c r="A875" t="s">
        <v>880</v>
      </c>
      <c r="B875" s="2">
        <v>45726.540277777778</v>
      </c>
      <c r="C875">
        <v>8752.23</v>
      </c>
      <c r="D875" t="s">
        <v>1011</v>
      </c>
      <c r="E875" t="s">
        <v>1016</v>
      </c>
      <c r="F875" t="s">
        <v>1020</v>
      </c>
      <c r="G875" t="s">
        <v>1026</v>
      </c>
    </row>
    <row r="876" spans="1:7" x14ac:dyDescent="0.3">
      <c r="A876" t="s">
        <v>881</v>
      </c>
      <c r="B876" s="2">
        <v>45698.022222222222</v>
      </c>
      <c r="C876">
        <v>6031.05</v>
      </c>
      <c r="D876" t="s">
        <v>1007</v>
      </c>
      <c r="E876" t="s">
        <v>1014</v>
      </c>
      <c r="F876" t="s">
        <v>1019</v>
      </c>
    </row>
    <row r="877" spans="1:7" x14ac:dyDescent="0.3">
      <c r="A877" t="s">
        <v>882</v>
      </c>
      <c r="B877" s="2">
        <v>45698.833333333343</v>
      </c>
      <c r="C877">
        <v>6575.05</v>
      </c>
      <c r="D877" t="s">
        <v>1008</v>
      </c>
      <c r="E877" t="s">
        <v>1015</v>
      </c>
      <c r="F877" t="s">
        <v>1019</v>
      </c>
    </row>
    <row r="878" spans="1:7" x14ac:dyDescent="0.3">
      <c r="A878" t="s">
        <v>883</v>
      </c>
      <c r="B878" s="2">
        <v>45740.296527777777</v>
      </c>
      <c r="C878">
        <v>8806.86</v>
      </c>
      <c r="D878" t="s">
        <v>1007</v>
      </c>
      <c r="E878" t="s">
        <v>1012</v>
      </c>
      <c r="F878" t="s">
        <v>1019</v>
      </c>
    </row>
    <row r="879" spans="1:7" x14ac:dyDescent="0.3">
      <c r="A879" t="s">
        <v>884</v>
      </c>
      <c r="B879" s="2">
        <v>45712.564583333333</v>
      </c>
      <c r="C879">
        <v>693.04</v>
      </c>
      <c r="D879" t="s">
        <v>1010</v>
      </c>
      <c r="E879" t="s">
        <v>1014</v>
      </c>
      <c r="F879" t="s">
        <v>1019</v>
      </c>
    </row>
    <row r="880" spans="1:7" x14ac:dyDescent="0.3">
      <c r="A880" t="s">
        <v>885</v>
      </c>
      <c r="B880" s="2">
        <v>45698.813888888893</v>
      </c>
      <c r="C880">
        <v>2123.35</v>
      </c>
      <c r="D880" t="s">
        <v>1010</v>
      </c>
      <c r="E880" t="s">
        <v>1018</v>
      </c>
      <c r="F880" t="s">
        <v>1020</v>
      </c>
      <c r="G880" t="s">
        <v>1026</v>
      </c>
    </row>
    <row r="881" spans="1:7" x14ac:dyDescent="0.3">
      <c r="A881" t="s">
        <v>886</v>
      </c>
      <c r="B881" s="2">
        <v>45706.560416666667</v>
      </c>
      <c r="C881">
        <v>7071.75</v>
      </c>
      <c r="D881" t="s">
        <v>1009</v>
      </c>
      <c r="E881" t="s">
        <v>1014</v>
      </c>
      <c r="F881" t="s">
        <v>1019</v>
      </c>
    </row>
    <row r="882" spans="1:7" x14ac:dyDescent="0.3">
      <c r="A882" t="s">
        <v>887</v>
      </c>
      <c r="B882" s="2">
        <v>45706.849305555559</v>
      </c>
      <c r="C882">
        <v>4605.3599999999997</v>
      </c>
      <c r="D882" t="s">
        <v>1007</v>
      </c>
      <c r="E882" t="s">
        <v>1017</v>
      </c>
      <c r="F882" t="s">
        <v>1019</v>
      </c>
    </row>
    <row r="883" spans="1:7" x14ac:dyDescent="0.3">
      <c r="A883" t="s">
        <v>888</v>
      </c>
      <c r="B883" s="2">
        <v>45659.100694444453</v>
      </c>
      <c r="C883">
        <v>2432.63</v>
      </c>
      <c r="D883" t="s">
        <v>1008</v>
      </c>
      <c r="E883" t="s">
        <v>1014</v>
      </c>
      <c r="F883" t="s">
        <v>1020</v>
      </c>
      <c r="G883" t="s">
        <v>1022</v>
      </c>
    </row>
    <row r="884" spans="1:7" x14ac:dyDescent="0.3">
      <c r="A884" t="s">
        <v>889</v>
      </c>
      <c r="B884" s="2">
        <v>45726.777083333327</v>
      </c>
      <c r="C884">
        <v>160.55000000000001</v>
      </c>
      <c r="D884" t="s">
        <v>1011</v>
      </c>
      <c r="E884" t="s">
        <v>1013</v>
      </c>
      <c r="F884" t="s">
        <v>1019</v>
      </c>
    </row>
    <row r="885" spans="1:7" x14ac:dyDescent="0.3">
      <c r="A885" t="s">
        <v>890</v>
      </c>
      <c r="B885" s="2">
        <v>45676.35</v>
      </c>
      <c r="C885">
        <v>8291.43</v>
      </c>
      <c r="D885" t="s">
        <v>1010</v>
      </c>
      <c r="E885" t="s">
        <v>1017</v>
      </c>
      <c r="F885" t="s">
        <v>1019</v>
      </c>
    </row>
    <row r="886" spans="1:7" x14ac:dyDescent="0.3">
      <c r="A886" t="s">
        <v>891</v>
      </c>
      <c r="B886" s="2">
        <v>45709.647916666669</v>
      </c>
      <c r="C886">
        <v>2212.29</v>
      </c>
      <c r="D886" t="s">
        <v>1010</v>
      </c>
      <c r="E886" t="s">
        <v>1018</v>
      </c>
      <c r="F886" t="s">
        <v>1019</v>
      </c>
    </row>
    <row r="887" spans="1:7" x14ac:dyDescent="0.3">
      <c r="A887" t="s">
        <v>892</v>
      </c>
      <c r="B887" s="2">
        <v>45740.833333333343</v>
      </c>
      <c r="C887">
        <v>4480.28</v>
      </c>
      <c r="D887" t="s">
        <v>1008</v>
      </c>
      <c r="E887" t="s">
        <v>1012</v>
      </c>
      <c r="F887" t="s">
        <v>1019</v>
      </c>
    </row>
    <row r="888" spans="1:7" x14ac:dyDescent="0.3">
      <c r="A888" t="s">
        <v>893</v>
      </c>
      <c r="B888" s="2">
        <v>45729.995833333327</v>
      </c>
      <c r="C888">
        <v>9120.16</v>
      </c>
      <c r="D888" t="s">
        <v>1008</v>
      </c>
      <c r="E888" t="s">
        <v>1017</v>
      </c>
      <c r="F888" t="s">
        <v>1020</v>
      </c>
      <c r="G888" t="s">
        <v>1022</v>
      </c>
    </row>
    <row r="889" spans="1:7" x14ac:dyDescent="0.3">
      <c r="A889" t="s">
        <v>894</v>
      </c>
      <c r="B889" s="2">
        <v>45734.505555555559</v>
      </c>
      <c r="C889">
        <v>1045.3499999999999</v>
      </c>
      <c r="D889" t="s">
        <v>1010</v>
      </c>
      <c r="E889" t="s">
        <v>1018</v>
      </c>
      <c r="F889" t="s">
        <v>1020</v>
      </c>
      <c r="G889" t="s">
        <v>1026</v>
      </c>
    </row>
    <row r="890" spans="1:7" x14ac:dyDescent="0.3">
      <c r="A890" t="s">
        <v>895</v>
      </c>
      <c r="B890" s="2">
        <v>45734.928472222222</v>
      </c>
      <c r="C890">
        <v>7654.95</v>
      </c>
      <c r="D890" t="s">
        <v>1009</v>
      </c>
      <c r="E890" t="s">
        <v>1018</v>
      </c>
      <c r="F890" t="s">
        <v>1019</v>
      </c>
    </row>
    <row r="891" spans="1:7" x14ac:dyDescent="0.3">
      <c r="A891" t="s">
        <v>896</v>
      </c>
      <c r="B891" s="2">
        <v>45706.415277777778</v>
      </c>
      <c r="C891">
        <v>8809.8700000000008</v>
      </c>
      <c r="D891" t="s">
        <v>1007</v>
      </c>
      <c r="E891" t="s">
        <v>1018</v>
      </c>
      <c r="F891" t="s">
        <v>1019</v>
      </c>
    </row>
    <row r="892" spans="1:7" x14ac:dyDescent="0.3">
      <c r="A892" t="s">
        <v>897</v>
      </c>
      <c r="B892" s="2">
        <v>45672.232638888891</v>
      </c>
      <c r="C892">
        <v>414.4</v>
      </c>
      <c r="D892" t="s">
        <v>1009</v>
      </c>
      <c r="E892" t="s">
        <v>1017</v>
      </c>
      <c r="F892" t="s">
        <v>1020</v>
      </c>
      <c r="G892" t="s">
        <v>1022</v>
      </c>
    </row>
    <row r="893" spans="1:7" x14ac:dyDescent="0.3">
      <c r="A893" t="s">
        <v>898</v>
      </c>
      <c r="B893" s="2">
        <v>45714.707638888889</v>
      </c>
      <c r="C893">
        <v>1377.53</v>
      </c>
      <c r="D893" t="s">
        <v>1007</v>
      </c>
      <c r="E893" t="s">
        <v>1016</v>
      </c>
      <c r="F893" t="s">
        <v>1019</v>
      </c>
    </row>
    <row r="894" spans="1:7" x14ac:dyDescent="0.3">
      <c r="A894" t="s">
        <v>899</v>
      </c>
      <c r="B894" s="2">
        <v>45741.131249999999</v>
      </c>
      <c r="C894">
        <v>7419.57</v>
      </c>
      <c r="D894" t="s">
        <v>1010</v>
      </c>
      <c r="E894" t="s">
        <v>1015</v>
      </c>
      <c r="F894" t="s">
        <v>1019</v>
      </c>
    </row>
    <row r="895" spans="1:7" x14ac:dyDescent="0.3">
      <c r="A895" t="s">
        <v>900</v>
      </c>
      <c r="B895" s="2">
        <v>45680.77847222222</v>
      </c>
      <c r="C895">
        <v>3990.56</v>
      </c>
      <c r="D895" t="s">
        <v>1009</v>
      </c>
      <c r="E895" t="s">
        <v>1017</v>
      </c>
      <c r="F895" t="s">
        <v>1020</v>
      </c>
      <c r="G895" t="s">
        <v>1022</v>
      </c>
    </row>
    <row r="896" spans="1:7" x14ac:dyDescent="0.3">
      <c r="A896" t="s">
        <v>901</v>
      </c>
      <c r="B896" s="2">
        <v>45705.000694444447</v>
      </c>
      <c r="C896">
        <v>1734.87</v>
      </c>
      <c r="D896" t="s">
        <v>1009</v>
      </c>
      <c r="E896" t="s">
        <v>1018</v>
      </c>
      <c r="F896" t="s">
        <v>1019</v>
      </c>
    </row>
    <row r="897" spans="1:7" x14ac:dyDescent="0.3">
      <c r="A897" t="s">
        <v>902</v>
      </c>
      <c r="B897" s="2">
        <v>45667.606249999997</v>
      </c>
      <c r="C897">
        <v>3675.65</v>
      </c>
      <c r="D897" t="s">
        <v>1010</v>
      </c>
      <c r="E897" t="s">
        <v>1015</v>
      </c>
      <c r="F897" t="s">
        <v>1019</v>
      </c>
    </row>
    <row r="898" spans="1:7" x14ac:dyDescent="0.3">
      <c r="A898" t="s">
        <v>903</v>
      </c>
      <c r="B898" s="2">
        <v>45714.748611111107</v>
      </c>
      <c r="C898">
        <v>2878.85</v>
      </c>
      <c r="D898" t="s">
        <v>1011</v>
      </c>
      <c r="E898" t="s">
        <v>1012</v>
      </c>
      <c r="F898" t="s">
        <v>1019</v>
      </c>
    </row>
    <row r="899" spans="1:7" x14ac:dyDescent="0.3">
      <c r="A899" t="s">
        <v>904</v>
      </c>
      <c r="B899" s="2">
        <v>45711.354861111111</v>
      </c>
      <c r="C899">
        <v>3777.24</v>
      </c>
      <c r="D899" t="s">
        <v>1010</v>
      </c>
      <c r="E899" t="s">
        <v>1018</v>
      </c>
      <c r="F899" t="s">
        <v>1019</v>
      </c>
    </row>
    <row r="900" spans="1:7" x14ac:dyDescent="0.3">
      <c r="A900" t="s">
        <v>905</v>
      </c>
      <c r="B900" s="2">
        <v>45681.761111111111</v>
      </c>
      <c r="C900">
        <v>9071.17</v>
      </c>
      <c r="D900" t="s">
        <v>1010</v>
      </c>
      <c r="E900" t="s">
        <v>1012</v>
      </c>
      <c r="F900" t="s">
        <v>1019</v>
      </c>
    </row>
    <row r="901" spans="1:7" x14ac:dyDescent="0.3">
      <c r="A901" t="s">
        <v>906</v>
      </c>
      <c r="B901" s="2">
        <v>45708.34652777778</v>
      </c>
      <c r="C901">
        <v>7524.79</v>
      </c>
      <c r="D901" t="s">
        <v>1011</v>
      </c>
      <c r="E901" t="s">
        <v>1012</v>
      </c>
      <c r="F901" t="s">
        <v>1019</v>
      </c>
    </row>
    <row r="902" spans="1:7" x14ac:dyDescent="0.3">
      <c r="A902" t="s">
        <v>907</v>
      </c>
      <c r="B902" s="2">
        <v>45735.190972222219</v>
      </c>
      <c r="C902">
        <v>7850.69</v>
      </c>
      <c r="D902" t="s">
        <v>1008</v>
      </c>
      <c r="E902" t="s">
        <v>1013</v>
      </c>
      <c r="F902" t="s">
        <v>1020</v>
      </c>
      <c r="G902" t="s">
        <v>1022</v>
      </c>
    </row>
    <row r="903" spans="1:7" x14ac:dyDescent="0.3">
      <c r="A903" t="s">
        <v>908</v>
      </c>
      <c r="B903" s="2">
        <v>45664.205555555563</v>
      </c>
      <c r="C903">
        <v>7441.68</v>
      </c>
      <c r="D903" t="s">
        <v>1007</v>
      </c>
      <c r="E903" t="s">
        <v>1018</v>
      </c>
      <c r="F903" t="s">
        <v>1019</v>
      </c>
    </row>
    <row r="904" spans="1:7" x14ac:dyDescent="0.3">
      <c r="A904" t="s">
        <v>909</v>
      </c>
      <c r="B904" s="2">
        <v>45668.90625</v>
      </c>
      <c r="C904">
        <v>2815.65</v>
      </c>
      <c r="D904" t="s">
        <v>1008</v>
      </c>
      <c r="E904" t="s">
        <v>1016</v>
      </c>
      <c r="F904" t="s">
        <v>1019</v>
      </c>
    </row>
    <row r="905" spans="1:7" x14ac:dyDescent="0.3">
      <c r="A905" t="s">
        <v>910</v>
      </c>
      <c r="B905" s="2">
        <v>45665.121527777781</v>
      </c>
      <c r="C905">
        <v>2391.09</v>
      </c>
      <c r="D905" t="s">
        <v>1010</v>
      </c>
      <c r="E905" t="s">
        <v>1013</v>
      </c>
      <c r="F905" t="s">
        <v>1019</v>
      </c>
    </row>
    <row r="906" spans="1:7" x14ac:dyDescent="0.3">
      <c r="A906" t="s">
        <v>911</v>
      </c>
      <c r="B906" s="2">
        <v>45727.218055555553</v>
      </c>
      <c r="C906">
        <v>5040.67</v>
      </c>
      <c r="D906" t="s">
        <v>1009</v>
      </c>
      <c r="E906" t="s">
        <v>1017</v>
      </c>
      <c r="F906" t="s">
        <v>1019</v>
      </c>
    </row>
    <row r="907" spans="1:7" x14ac:dyDescent="0.3">
      <c r="A907" t="s">
        <v>912</v>
      </c>
      <c r="B907" s="2">
        <v>45739.450694444437</v>
      </c>
      <c r="C907">
        <v>8643.6</v>
      </c>
      <c r="D907" t="s">
        <v>1008</v>
      </c>
      <c r="E907" t="s">
        <v>1016</v>
      </c>
      <c r="F907" t="s">
        <v>1019</v>
      </c>
    </row>
    <row r="908" spans="1:7" x14ac:dyDescent="0.3">
      <c r="A908" t="s">
        <v>913</v>
      </c>
      <c r="B908" s="2">
        <v>45743.498611111107</v>
      </c>
      <c r="C908">
        <v>7068.02</v>
      </c>
      <c r="D908" t="s">
        <v>1011</v>
      </c>
      <c r="E908" t="s">
        <v>1015</v>
      </c>
      <c r="F908" t="s">
        <v>1019</v>
      </c>
    </row>
    <row r="909" spans="1:7" x14ac:dyDescent="0.3">
      <c r="A909" t="s">
        <v>914</v>
      </c>
      <c r="B909" s="2">
        <v>45698.550694444442</v>
      </c>
      <c r="C909">
        <v>663.69</v>
      </c>
      <c r="D909" t="s">
        <v>1011</v>
      </c>
      <c r="E909" t="s">
        <v>1017</v>
      </c>
      <c r="F909" t="s">
        <v>1019</v>
      </c>
    </row>
    <row r="910" spans="1:7" x14ac:dyDescent="0.3">
      <c r="A910" t="s">
        <v>915</v>
      </c>
      <c r="B910" s="2">
        <v>45685.624305555553</v>
      </c>
      <c r="C910">
        <v>9206.16</v>
      </c>
      <c r="D910" t="s">
        <v>1008</v>
      </c>
      <c r="E910" t="s">
        <v>1012</v>
      </c>
      <c r="F910" t="s">
        <v>1019</v>
      </c>
    </row>
    <row r="911" spans="1:7" x14ac:dyDescent="0.3">
      <c r="A911" t="s">
        <v>916</v>
      </c>
      <c r="B911" s="2">
        <v>45679.886111111111</v>
      </c>
      <c r="C911">
        <v>6552.11</v>
      </c>
      <c r="D911" t="s">
        <v>1007</v>
      </c>
      <c r="E911" t="s">
        <v>1012</v>
      </c>
      <c r="F911" t="s">
        <v>1020</v>
      </c>
      <c r="G911" t="s">
        <v>1025</v>
      </c>
    </row>
    <row r="912" spans="1:7" x14ac:dyDescent="0.3">
      <c r="A912" t="s">
        <v>917</v>
      </c>
      <c r="B912" s="2">
        <v>45708.246527777781</v>
      </c>
      <c r="C912">
        <v>1413.14</v>
      </c>
      <c r="D912" t="s">
        <v>1009</v>
      </c>
      <c r="E912" t="s">
        <v>1018</v>
      </c>
      <c r="F912" t="s">
        <v>1019</v>
      </c>
    </row>
    <row r="913" spans="1:7" x14ac:dyDescent="0.3">
      <c r="A913" t="s">
        <v>918</v>
      </c>
      <c r="B913" s="2">
        <v>45747.022222222222</v>
      </c>
      <c r="C913">
        <v>7583.41</v>
      </c>
      <c r="D913" t="s">
        <v>1009</v>
      </c>
      <c r="E913" t="s">
        <v>1013</v>
      </c>
      <c r="F913" t="s">
        <v>1019</v>
      </c>
    </row>
    <row r="914" spans="1:7" x14ac:dyDescent="0.3">
      <c r="A914" t="s">
        <v>919</v>
      </c>
      <c r="B914" s="2">
        <v>45733.248611111107</v>
      </c>
      <c r="C914">
        <v>1554.08</v>
      </c>
      <c r="D914" t="s">
        <v>1010</v>
      </c>
      <c r="E914" t="s">
        <v>1017</v>
      </c>
      <c r="F914" t="s">
        <v>1019</v>
      </c>
    </row>
    <row r="915" spans="1:7" x14ac:dyDescent="0.3">
      <c r="A915" t="s">
        <v>920</v>
      </c>
      <c r="B915" s="2">
        <v>45724.526388888888</v>
      </c>
      <c r="C915">
        <v>9723.06</v>
      </c>
      <c r="D915" t="s">
        <v>1007</v>
      </c>
      <c r="E915" t="s">
        <v>1015</v>
      </c>
      <c r="F915" t="s">
        <v>1020</v>
      </c>
      <c r="G915" t="s">
        <v>1025</v>
      </c>
    </row>
    <row r="916" spans="1:7" x14ac:dyDescent="0.3">
      <c r="A916" t="s">
        <v>921</v>
      </c>
      <c r="B916" s="2">
        <v>45711.356944444437</v>
      </c>
      <c r="C916">
        <v>1063.3499999999999</v>
      </c>
      <c r="D916" t="s">
        <v>1010</v>
      </c>
      <c r="E916" t="s">
        <v>1014</v>
      </c>
      <c r="F916" t="s">
        <v>1019</v>
      </c>
    </row>
    <row r="917" spans="1:7" x14ac:dyDescent="0.3">
      <c r="A917" t="s">
        <v>922</v>
      </c>
      <c r="B917" s="2">
        <v>45662.499305555553</v>
      </c>
      <c r="C917">
        <v>4442.6000000000004</v>
      </c>
      <c r="D917" t="s">
        <v>1010</v>
      </c>
      <c r="E917" t="s">
        <v>1014</v>
      </c>
      <c r="F917" t="s">
        <v>1019</v>
      </c>
    </row>
    <row r="918" spans="1:7" x14ac:dyDescent="0.3">
      <c r="A918" t="s">
        <v>923</v>
      </c>
      <c r="B918" s="2">
        <v>45736.643750000003</v>
      </c>
      <c r="C918">
        <v>7217.01</v>
      </c>
      <c r="D918" t="s">
        <v>1008</v>
      </c>
      <c r="E918" t="s">
        <v>1016</v>
      </c>
      <c r="F918" t="s">
        <v>1019</v>
      </c>
    </row>
    <row r="919" spans="1:7" x14ac:dyDescent="0.3">
      <c r="A919" t="s">
        <v>924</v>
      </c>
      <c r="B919" s="2">
        <v>45717.474999999999</v>
      </c>
      <c r="C919">
        <v>4102.03</v>
      </c>
      <c r="D919" t="s">
        <v>1009</v>
      </c>
      <c r="E919" t="s">
        <v>1014</v>
      </c>
      <c r="F919" t="s">
        <v>1019</v>
      </c>
    </row>
    <row r="920" spans="1:7" x14ac:dyDescent="0.3">
      <c r="A920" t="s">
        <v>925</v>
      </c>
      <c r="B920" s="2">
        <v>45662.173611111109</v>
      </c>
      <c r="C920">
        <v>8033.06</v>
      </c>
      <c r="D920" t="s">
        <v>1008</v>
      </c>
      <c r="E920" t="s">
        <v>1015</v>
      </c>
      <c r="F920" t="s">
        <v>1019</v>
      </c>
    </row>
    <row r="921" spans="1:7" x14ac:dyDescent="0.3">
      <c r="A921" t="s">
        <v>926</v>
      </c>
      <c r="B921" s="2">
        <v>45683.265972222223</v>
      </c>
      <c r="C921">
        <v>1595.86</v>
      </c>
      <c r="D921" t="s">
        <v>1007</v>
      </c>
      <c r="E921" t="s">
        <v>1018</v>
      </c>
      <c r="F921" t="s">
        <v>1019</v>
      </c>
    </row>
    <row r="922" spans="1:7" x14ac:dyDescent="0.3">
      <c r="A922" t="s">
        <v>927</v>
      </c>
      <c r="B922" s="2">
        <v>45700.304166666669</v>
      </c>
      <c r="C922">
        <v>957.49</v>
      </c>
      <c r="D922" t="s">
        <v>1011</v>
      </c>
      <c r="E922" t="s">
        <v>1014</v>
      </c>
      <c r="F922" t="s">
        <v>1019</v>
      </c>
    </row>
    <row r="923" spans="1:7" x14ac:dyDescent="0.3">
      <c r="A923" t="s">
        <v>928</v>
      </c>
      <c r="B923" s="2">
        <v>45679.638888888891</v>
      </c>
      <c r="C923">
        <v>5036.67</v>
      </c>
      <c r="D923" t="s">
        <v>1007</v>
      </c>
      <c r="E923" t="s">
        <v>1016</v>
      </c>
      <c r="F923" t="s">
        <v>1019</v>
      </c>
    </row>
    <row r="924" spans="1:7" x14ac:dyDescent="0.3">
      <c r="A924" t="s">
        <v>929</v>
      </c>
      <c r="B924" s="2">
        <v>45695.120138888888</v>
      </c>
      <c r="C924">
        <v>5779.8</v>
      </c>
      <c r="D924" t="s">
        <v>1008</v>
      </c>
      <c r="E924" t="s">
        <v>1015</v>
      </c>
      <c r="F924" t="s">
        <v>1019</v>
      </c>
    </row>
    <row r="925" spans="1:7" x14ac:dyDescent="0.3">
      <c r="A925" t="s">
        <v>930</v>
      </c>
      <c r="B925" s="2">
        <v>45669.71875</v>
      </c>
      <c r="C925">
        <v>8021.31</v>
      </c>
      <c r="D925" t="s">
        <v>1011</v>
      </c>
      <c r="E925" t="s">
        <v>1016</v>
      </c>
      <c r="F925" t="s">
        <v>1019</v>
      </c>
    </row>
    <row r="926" spans="1:7" x14ac:dyDescent="0.3">
      <c r="A926" t="s">
        <v>931</v>
      </c>
      <c r="B926" s="2">
        <v>45739.270833333343</v>
      </c>
      <c r="C926">
        <v>6985.68</v>
      </c>
      <c r="D926" t="s">
        <v>1010</v>
      </c>
      <c r="E926" t="s">
        <v>1015</v>
      </c>
      <c r="F926" t="s">
        <v>1020</v>
      </c>
      <c r="G926" t="s">
        <v>1021</v>
      </c>
    </row>
    <row r="927" spans="1:7" x14ac:dyDescent="0.3">
      <c r="A927" t="s">
        <v>932</v>
      </c>
      <c r="B927" s="2">
        <v>45707.129861111112</v>
      </c>
      <c r="C927">
        <v>6335.56</v>
      </c>
      <c r="D927" t="s">
        <v>1007</v>
      </c>
      <c r="E927" t="s">
        <v>1015</v>
      </c>
      <c r="F927" t="s">
        <v>1020</v>
      </c>
      <c r="G927" t="s">
        <v>1024</v>
      </c>
    </row>
    <row r="928" spans="1:7" x14ac:dyDescent="0.3">
      <c r="A928" t="s">
        <v>933</v>
      </c>
      <c r="B928" s="2">
        <v>45737.605555555558</v>
      </c>
      <c r="C928">
        <v>695.09</v>
      </c>
      <c r="D928" t="s">
        <v>1008</v>
      </c>
      <c r="E928" t="s">
        <v>1017</v>
      </c>
      <c r="F928" t="s">
        <v>1019</v>
      </c>
    </row>
    <row r="929" spans="1:7" x14ac:dyDescent="0.3">
      <c r="A929" t="s">
        <v>934</v>
      </c>
      <c r="B929" s="2">
        <v>45721.421527777777</v>
      </c>
      <c r="C929">
        <v>4115.1099999999997</v>
      </c>
      <c r="D929" t="s">
        <v>1011</v>
      </c>
      <c r="E929" t="s">
        <v>1016</v>
      </c>
      <c r="F929" t="s">
        <v>1019</v>
      </c>
    </row>
    <row r="930" spans="1:7" x14ac:dyDescent="0.3">
      <c r="A930" t="s">
        <v>935</v>
      </c>
      <c r="B930" s="2">
        <v>45716.652083333327</v>
      </c>
      <c r="C930">
        <v>7632.72</v>
      </c>
      <c r="D930" t="s">
        <v>1008</v>
      </c>
      <c r="E930" t="s">
        <v>1018</v>
      </c>
      <c r="F930" t="s">
        <v>1019</v>
      </c>
    </row>
    <row r="931" spans="1:7" x14ac:dyDescent="0.3">
      <c r="A931" t="s">
        <v>936</v>
      </c>
      <c r="B931" s="2">
        <v>45665.711805555547</v>
      </c>
      <c r="C931">
        <v>8585.08</v>
      </c>
      <c r="D931" t="s">
        <v>1008</v>
      </c>
      <c r="E931" t="s">
        <v>1015</v>
      </c>
      <c r="F931" t="s">
        <v>1019</v>
      </c>
    </row>
    <row r="932" spans="1:7" x14ac:dyDescent="0.3">
      <c r="A932" t="s">
        <v>937</v>
      </c>
      <c r="B932" s="2">
        <v>45698.063888888893</v>
      </c>
      <c r="C932">
        <v>6238.05</v>
      </c>
      <c r="D932" t="s">
        <v>1009</v>
      </c>
      <c r="E932" t="s">
        <v>1015</v>
      </c>
      <c r="F932" t="s">
        <v>1020</v>
      </c>
      <c r="G932" t="s">
        <v>1021</v>
      </c>
    </row>
    <row r="933" spans="1:7" x14ac:dyDescent="0.3">
      <c r="A933" t="s">
        <v>938</v>
      </c>
      <c r="B933" s="2">
        <v>45662.048611111109</v>
      </c>
      <c r="C933">
        <v>8665.89</v>
      </c>
      <c r="D933" t="s">
        <v>1011</v>
      </c>
      <c r="E933" t="s">
        <v>1018</v>
      </c>
      <c r="F933" t="s">
        <v>1019</v>
      </c>
    </row>
    <row r="934" spans="1:7" x14ac:dyDescent="0.3">
      <c r="A934" t="s">
        <v>939</v>
      </c>
      <c r="B934" s="2">
        <v>45709.227083333331</v>
      </c>
      <c r="C934">
        <v>2146.17</v>
      </c>
      <c r="D934" t="s">
        <v>1008</v>
      </c>
      <c r="E934" t="s">
        <v>1016</v>
      </c>
      <c r="F934" t="s">
        <v>1019</v>
      </c>
    </row>
    <row r="935" spans="1:7" x14ac:dyDescent="0.3">
      <c r="A935" t="s">
        <v>940</v>
      </c>
      <c r="B935" s="2">
        <v>45685.76666666667</v>
      </c>
      <c r="C935">
        <v>9931.01</v>
      </c>
      <c r="D935" t="s">
        <v>1008</v>
      </c>
      <c r="E935" t="s">
        <v>1013</v>
      </c>
      <c r="F935" t="s">
        <v>1019</v>
      </c>
    </row>
    <row r="936" spans="1:7" x14ac:dyDescent="0.3">
      <c r="A936" t="s">
        <v>941</v>
      </c>
      <c r="B936" s="2">
        <v>45664.132638888892</v>
      </c>
      <c r="C936">
        <v>7638.94</v>
      </c>
      <c r="D936" t="s">
        <v>1010</v>
      </c>
      <c r="E936" t="s">
        <v>1017</v>
      </c>
      <c r="F936" t="s">
        <v>1020</v>
      </c>
      <c r="G936" t="s">
        <v>1025</v>
      </c>
    </row>
    <row r="937" spans="1:7" x14ac:dyDescent="0.3">
      <c r="A937" t="s">
        <v>942</v>
      </c>
      <c r="B937" s="2">
        <v>45697.445833333331</v>
      </c>
      <c r="C937">
        <v>8077.95</v>
      </c>
      <c r="D937" t="s">
        <v>1007</v>
      </c>
      <c r="E937" t="s">
        <v>1017</v>
      </c>
      <c r="F937" t="s">
        <v>1019</v>
      </c>
    </row>
    <row r="938" spans="1:7" x14ac:dyDescent="0.3">
      <c r="A938" t="s">
        <v>943</v>
      </c>
      <c r="B938" s="2">
        <v>45679.01458333333</v>
      </c>
      <c r="C938">
        <v>1015</v>
      </c>
      <c r="D938" t="s">
        <v>1007</v>
      </c>
      <c r="E938" t="s">
        <v>1018</v>
      </c>
      <c r="F938" t="s">
        <v>1020</v>
      </c>
      <c r="G938" t="s">
        <v>1021</v>
      </c>
    </row>
    <row r="939" spans="1:7" x14ac:dyDescent="0.3">
      <c r="A939" t="s">
        <v>944</v>
      </c>
      <c r="B939" s="2">
        <v>45741.78125</v>
      </c>
      <c r="C939">
        <v>3387.51</v>
      </c>
      <c r="D939" t="s">
        <v>1008</v>
      </c>
      <c r="E939" t="s">
        <v>1015</v>
      </c>
      <c r="F939" t="s">
        <v>1019</v>
      </c>
    </row>
    <row r="940" spans="1:7" x14ac:dyDescent="0.3">
      <c r="A940" t="s">
        <v>945</v>
      </c>
      <c r="B940" s="2">
        <v>45745.940972222219</v>
      </c>
      <c r="C940">
        <v>2334.64</v>
      </c>
      <c r="D940" t="s">
        <v>1011</v>
      </c>
      <c r="E940" t="s">
        <v>1013</v>
      </c>
      <c r="F940" t="s">
        <v>1019</v>
      </c>
    </row>
    <row r="941" spans="1:7" x14ac:dyDescent="0.3">
      <c r="A941" t="s">
        <v>946</v>
      </c>
      <c r="B941" s="2">
        <v>45698.986805555563</v>
      </c>
      <c r="C941">
        <v>2753.3</v>
      </c>
      <c r="D941" t="s">
        <v>1010</v>
      </c>
      <c r="E941" t="s">
        <v>1013</v>
      </c>
      <c r="F941" t="s">
        <v>1019</v>
      </c>
    </row>
    <row r="942" spans="1:7" x14ac:dyDescent="0.3">
      <c r="A942" t="s">
        <v>947</v>
      </c>
      <c r="B942" s="2">
        <v>45672.454861111109</v>
      </c>
      <c r="C942">
        <v>5186.6000000000004</v>
      </c>
      <c r="D942" t="s">
        <v>1011</v>
      </c>
      <c r="E942" t="s">
        <v>1017</v>
      </c>
      <c r="F942" t="s">
        <v>1019</v>
      </c>
    </row>
    <row r="943" spans="1:7" x14ac:dyDescent="0.3">
      <c r="A943" t="s">
        <v>948</v>
      </c>
      <c r="B943" s="2">
        <v>45693.372916666667</v>
      </c>
      <c r="C943">
        <v>9183.5400000000009</v>
      </c>
      <c r="D943" t="s">
        <v>1010</v>
      </c>
      <c r="E943" t="s">
        <v>1018</v>
      </c>
      <c r="F943" t="s">
        <v>1019</v>
      </c>
    </row>
    <row r="944" spans="1:7" x14ac:dyDescent="0.3">
      <c r="A944" t="s">
        <v>949</v>
      </c>
      <c r="B944" s="2">
        <v>45733.056250000001</v>
      </c>
      <c r="C944">
        <v>3209.11</v>
      </c>
      <c r="D944" t="s">
        <v>1008</v>
      </c>
      <c r="E944" t="s">
        <v>1018</v>
      </c>
      <c r="F944" t="s">
        <v>1019</v>
      </c>
    </row>
    <row r="945" spans="1:7" x14ac:dyDescent="0.3">
      <c r="A945" t="s">
        <v>950</v>
      </c>
      <c r="B945" s="2">
        <v>45667.424305555563</v>
      </c>
      <c r="C945">
        <v>8372.2800000000007</v>
      </c>
      <c r="D945" t="s">
        <v>1009</v>
      </c>
      <c r="E945" t="s">
        <v>1014</v>
      </c>
      <c r="F945" t="s">
        <v>1019</v>
      </c>
    </row>
    <row r="946" spans="1:7" x14ac:dyDescent="0.3">
      <c r="A946" t="s">
        <v>951</v>
      </c>
      <c r="B946" s="2">
        <v>45672.759027777778</v>
      </c>
      <c r="C946">
        <v>7327.32</v>
      </c>
      <c r="D946" t="s">
        <v>1008</v>
      </c>
      <c r="E946" t="s">
        <v>1017</v>
      </c>
      <c r="F946" t="s">
        <v>1019</v>
      </c>
    </row>
    <row r="947" spans="1:7" x14ac:dyDescent="0.3">
      <c r="A947" t="s">
        <v>952</v>
      </c>
      <c r="B947" s="2">
        <v>45658.849305555559</v>
      </c>
      <c r="C947">
        <v>1434.61</v>
      </c>
      <c r="D947" t="s">
        <v>1010</v>
      </c>
      <c r="E947" t="s">
        <v>1016</v>
      </c>
      <c r="F947" t="s">
        <v>1019</v>
      </c>
    </row>
    <row r="948" spans="1:7" x14ac:dyDescent="0.3">
      <c r="A948" t="s">
        <v>953</v>
      </c>
      <c r="B948" s="2">
        <v>45747.743055555547</v>
      </c>
      <c r="C948">
        <v>329.98</v>
      </c>
      <c r="D948" t="s">
        <v>1008</v>
      </c>
      <c r="E948" t="s">
        <v>1013</v>
      </c>
      <c r="F948" t="s">
        <v>1020</v>
      </c>
      <c r="G948" t="s">
        <v>1021</v>
      </c>
    </row>
    <row r="949" spans="1:7" x14ac:dyDescent="0.3">
      <c r="A949" t="s">
        <v>954</v>
      </c>
      <c r="B949" s="2">
        <v>45701.727777777778</v>
      </c>
      <c r="C949">
        <v>800.22</v>
      </c>
      <c r="D949" t="s">
        <v>1009</v>
      </c>
      <c r="E949" t="s">
        <v>1017</v>
      </c>
      <c r="F949" t="s">
        <v>1019</v>
      </c>
    </row>
    <row r="950" spans="1:7" x14ac:dyDescent="0.3">
      <c r="A950" t="s">
        <v>955</v>
      </c>
      <c r="B950" s="2">
        <v>45672.109722222223</v>
      </c>
      <c r="C950">
        <v>8819.6200000000008</v>
      </c>
      <c r="D950" t="s">
        <v>1010</v>
      </c>
      <c r="E950" t="s">
        <v>1012</v>
      </c>
      <c r="F950" t="s">
        <v>1019</v>
      </c>
    </row>
    <row r="951" spans="1:7" x14ac:dyDescent="0.3">
      <c r="A951" t="s">
        <v>956</v>
      </c>
      <c r="B951" s="2">
        <v>45678.290277777778</v>
      </c>
      <c r="C951">
        <v>5324.9</v>
      </c>
      <c r="D951" t="s">
        <v>1011</v>
      </c>
      <c r="E951" t="s">
        <v>1015</v>
      </c>
      <c r="F951" t="s">
        <v>1019</v>
      </c>
    </row>
    <row r="952" spans="1:7" x14ac:dyDescent="0.3">
      <c r="A952" t="s">
        <v>957</v>
      </c>
      <c r="B952" s="2">
        <v>45688.836805555547</v>
      </c>
      <c r="C952">
        <v>3636.49</v>
      </c>
      <c r="D952" t="s">
        <v>1007</v>
      </c>
      <c r="E952" t="s">
        <v>1014</v>
      </c>
      <c r="F952" t="s">
        <v>1019</v>
      </c>
    </row>
    <row r="953" spans="1:7" x14ac:dyDescent="0.3">
      <c r="A953" t="s">
        <v>958</v>
      </c>
      <c r="B953" s="2">
        <v>45664.509027777778</v>
      </c>
      <c r="C953">
        <v>1762.11</v>
      </c>
      <c r="D953" t="s">
        <v>1008</v>
      </c>
      <c r="E953" t="s">
        <v>1016</v>
      </c>
      <c r="F953" t="s">
        <v>1019</v>
      </c>
    </row>
    <row r="954" spans="1:7" x14ac:dyDescent="0.3">
      <c r="A954" t="s">
        <v>959</v>
      </c>
      <c r="B954" s="2">
        <v>45691.769444444442</v>
      </c>
      <c r="C954">
        <v>8756.35</v>
      </c>
      <c r="D954" t="s">
        <v>1009</v>
      </c>
      <c r="E954" t="s">
        <v>1015</v>
      </c>
      <c r="F954" t="s">
        <v>1019</v>
      </c>
    </row>
    <row r="955" spans="1:7" x14ac:dyDescent="0.3">
      <c r="A955" t="s">
        <v>960</v>
      </c>
      <c r="B955" s="2">
        <v>45664.990972222222</v>
      </c>
      <c r="C955">
        <v>3921.72</v>
      </c>
      <c r="D955" t="s">
        <v>1009</v>
      </c>
      <c r="E955" t="s">
        <v>1017</v>
      </c>
      <c r="F955" t="s">
        <v>1019</v>
      </c>
    </row>
    <row r="956" spans="1:7" x14ac:dyDescent="0.3">
      <c r="A956" t="s">
        <v>961</v>
      </c>
      <c r="B956" s="2">
        <v>45697.1875</v>
      </c>
      <c r="C956">
        <v>1251.19</v>
      </c>
      <c r="D956" t="s">
        <v>1008</v>
      </c>
      <c r="E956" t="s">
        <v>1015</v>
      </c>
      <c r="F956" t="s">
        <v>1020</v>
      </c>
      <c r="G956" t="s">
        <v>1024</v>
      </c>
    </row>
    <row r="957" spans="1:7" x14ac:dyDescent="0.3">
      <c r="A957" t="s">
        <v>962</v>
      </c>
      <c r="B957" s="2">
        <v>45716.938194444447</v>
      </c>
      <c r="C957">
        <v>6014.56</v>
      </c>
      <c r="D957" t="s">
        <v>1008</v>
      </c>
      <c r="E957" t="s">
        <v>1017</v>
      </c>
      <c r="F957" t="s">
        <v>1019</v>
      </c>
    </row>
    <row r="958" spans="1:7" x14ac:dyDescent="0.3">
      <c r="A958" t="s">
        <v>963</v>
      </c>
      <c r="B958" s="2">
        <v>45703.109722222223</v>
      </c>
      <c r="C958">
        <v>4718.13</v>
      </c>
      <c r="D958" t="s">
        <v>1011</v>
      </c>
      <c r="E958" t="s">
        <v>1012</v>
      </c>
      <c r="F958" t="s">
        <v>1019</v>
      </c>
    </row>
    <row r="959" spans="1:7" x14ac:dyDescent="0.3">
      <c r="A959" t="s">
        <v>964</v>
      </c>
      <c r="B959" s="2">
        <v>45744.928472222222</v>
      </c>
      <c r="C959">
        <v>2640.02</v>
      </c>
      <c r="D959" t="s">
        <v>1008</v>
      </c>
      <c r="E959" t="s">
        <v>1017</v>
      </c>
      <c r="F959" t="s">
        <v>1019</v>
      </c>
    </row>
    <row r="960" spans="1:7" x14ac:dyDescent="0.3">
      <c r="A960" t="s">
        <v>965</v>
      </c>
      <c r="B960" s="2">
        <v>45658.9375</v>
      </c>
      <c r="C960">
        <v>9179.6200000000008</v>
      </c>
      <c r="D960" t="s">
        <v>1009</v>
      </c>
      <c r="E960" t="s">
        <v>1013</v>
      </c>
      <c r="F960" t="s">
        <v>1019</v>
      </c>
    </row>
    <row r="961" spans="1:7" x14ac:dyDescent="0.3">
      <c r="A961" t="s">
        <v>966</v>
      </c>
      <c r="B961" s="2">
        <v>45663.002083333333</v>
      </c>
      <c r="C961">
        <v>9815.89</v>
      </c>
      <c r="D961" t="s">
        <v>1011</v>
      </c>
      <c r="E961" t="s">
        <v>1012</v>
      </c>
      <c r="F961" t="s">
        <v>1019</v>
      </c>
    </row>
    <row r="962" spans="1:7" x14ac:dyDescent="0.3">
      <c r="A962" t="s">
        <v>967</v>
      </c>
      <c r="B962" s="2">
        <v>45663.672222222223</v>
      </c>
      <c r="C962">
        <v>3223.4</v>
      </c>
      <c r="D962" t="s">
        <v>1007</v>
      </c>
      <c r="E962" t="s">
        <v>1014</v>
      </c>
      <c r="F962" t="s">
        <v>1019</v>
      </c>
    </row>
    <row r="963" spans="1:7" x14ac:dyDescent="0.3">
      <c r="A963" t="s">
        <v>968</v>
      </c>
      <c r="B963" s="2">
        <v>45669.136805555558</v>
      </c>
      <c r="C963">
        <v>6005.71</v>
      </c>
      <c r="D963" t="s">
        <v>1007</v>
      </c>
      <c r="E963" t="s">
        <v>1017</v>
      </c>
      <c r="F963" t="s">
        <v>1020</v>
      </c>
      <c r="G963" t="s">
        <v>1021</v>
      </c>
    </row>
    <row r="964" spans="1:7" x14ac:dyDescent="0.3">
      <c r="A964" t="s">
        <v>969</v>
      </c>
      <c r="B964" s="2">
        <v>45713.854861111111</v>
      </c>
      <c r="C964">
        <v>4439.33</v>
      </c>
      <c r="D964" t="s">
        <v>1007</v>
      </c>
      <c r="E964" t="s">
        <v>1017</v>
      </c>
      <c r="F964" t="s">
        <v>1019</v>
      </c>
    </row>
    <row r="965" spans="1:7" x14ac:dyDescent="0.3">
      <c r="A965" t="s">
        <v>970</v>
      </c>
      <c r="B965" s="2">
        <v>45741.224305555559</v>
      </c>
      <c r="C965">
        <v>6996.54</v>
      </c>
      <c r="D965" t="s">
        <v>1009</v>
      </c>
      <c r="E965" t="s">
        <v>1017</v>
      </c>
      <c r="F965" t="s">
        <v>1019</v>
      </c>
    </row>
    <row r="966" spans="1:7" x14ac:dyDescent="0.3">
      <c r="A966" t="s">
        <v>971</v>
      </c>
      <c r="B966" s="2">
        <v>45681.180555555547</v>
      </c>
      <c r="C966">
        <v>6563.11</v>
      </c>
      <c r="D966" t="s">
        <v>1011</v>
      </c>
      <c r="E966" t="s">
        <v>1016</v>
      </c>
      <c r="F966" t="s">
        <v>1019</v>
      </c>
    </row>
    <row r="967" spans="1:7" x14ac:dyDescent="0.3">
      <c r="A967" t="s">
        <v>972</v>
      </c>
      <c r="B967" s="2">
        <v>45716.947222222218</v>
      </c>
      <c r="C967">
        <v>6760.03</v>
      </c>
      <c r="D967" t="s">
        <v>1011</v>
      </c>
      <c r="E967" t="s">
        <v>1013</v>
      </c>
      <c r="F967" t="s">
        <v>1019</v>
      </c>
    </row>
    <row r="968" spans="1:7" x14ac:dyDescent="0.3">
      <c r="A968" t="s">
        <v>973</v>
      </c>
      <c r="B968" s="2">
        <v>45725.59652777778</v>
      </c>
      <c r="C968">
        <v>4688.54</v>
      </c>
      <c r="D968" t="s">
        <v>1011</v>
      </c>
      <c r="E968" t="s">
        <v>1013</v>
      </c>
      <c r="F968" t="s">
        <v>1019</v>
      </c>
    </row>
    <row r="969" spans="1:7" x14ac:dyDescent="0.3">
      <c r="A969" t="s">
        <v>974</v>
      </c>
      <c r="B969" s="2">
        <v>45682.157638888893</v>
      </c>
      <c r="C969">
        <v>1657.44</v>
      </c>
      <c r="D969" t="s">
        <v>1011</v>
      </c>
      <c r="E969" t="s">
        <v>1012</v>
      </c>
      <c r="F969" t="s">
        <v>1019</v>
      </c>
    </row>
    <row r="970" spans="1:7" x14ac:dyDescent="0.3">
      <c r="A970" t="s">
        <v>975</v>
      </c>
      <c r="B970" s="2">
        <v>45740.73541666667</v>
      </c>
      <c r="C970">
        <v>3308.63</v>
      </c>
      <c r="D970" t="s">
        <v>1011</v>
      </c>
      <c r="E970" t="s">
        <v>1018</v>
      </c>
      <c r="F970" t="s">
        <v>1019</v>
      </c>
    </row>
    <row r="971" spans="1:7" x14ac:dyDescent="0.3">
      <c r="A971" t="s">
        <v>976</v>
      </c>
      <c r="B971" s="2">
        <v>45659.165972222218</v>
      </c>
      <c r="C971">
        <v>1128.22</v>
      </c>
      <c r="D971" t="s">
        <v>1008</v>
      </c>
      <c r="E971" t="s">
        <v>1018</v>
      </c>
      <c r="F971" t="s">
        <v>1020</v>
      </c>
      <c r="G971" t="s">
        <v>1024</v>
      </c>
    </row>
    <row r="972" spans="1:7" x14ac:dyDescent="0.3">
      <c r="A972" t="s">
        <v>977</v>
      </c>
      <c r="B972" s="2">
        <v>45732.231249999997</v>
      </c>
      <c r="C972">
        <v>8143.9</v>
      </c>
      <c r="D972" t="s">
        <v>1010</v>
      </c>
      <c r="E972" t="s">
        <v>1016</v>
      </c>
      <c r="F972" t="s">
        <v>1019</v>
      </c>
    </row>
    <row r="973" spans="1:7" x14ac:dyDescent="0.3">
      <c r="A973" t="s">
        <v>978</v>
      </c>
      <c r="B973" s="2">
        <v>45733.3</v>
      </c>
      <c r="C973">
        <v>1091.0899999999999</v>
      </c>
      <c r="D973" t="s">
        <v>1007</v>
      </c>
      <c r="E973" t="s">
        <v>1014</v>
      </c>
      <c r="F973" t="s">
        <v>1019</v>
      </c>
    </row>
    <row r="974" spans="1:7" x14ac:dyDescent="0.3">
      <c r="A974" t="s">
        <v>979</v>
      </c>
      <c r="B974" s="2">
        <v>45746.357638888891</v>
      </c>
      <c r="C974">
        <v>807.78</v>
      </c>
      <c r="D974" t="s">
        <v>1011</v>
      </c>
      <c r="E974" t="s">
        <v>1017</v>
      </c>
      <c r="F974" t="s">
        <v>1019</v>
      </c>
    </row>
    <row r="975" spans="1:7" x14ac:dyDescent="0.3">
      <c r="A975" t="s">
        <v>980</v>
      </c>
      <c r="B975" s="2">
        <v>45741.73333333333</v>
      </c>
      <c r="C975">
        <v>1058.8599999999999</v>
      </c>
      <c r="D975" t="s">
        <v>1010</v>
      </c>
      <c r="E975" t="s">
        <v>1018</v>
      </c>
      <c r="F975" t="s">
        <v>1019</v>
      </c>
    </row>
    <row r="976" spans="1:7" x14ac:dyDescent="0.3">
      <c r="A976" t="s">
        <v>981</v>
      </c>
      <c r="B976" s="2">
        <v>45705.643055555563</v>
      </c>
      <c r="C976">
        <v>5909.52</v>
      </c>
      <c r="D976" t="s">
        <v>1009</v>
      </c>
      <c r="E976" t="s">
        <v>1014</v>
      </c>
      <c r="F976" t="s">
        <v>1019</v>
      </c>
    </row>
    <row r="977" spans="1:7" x14ac:dyDescent="0.3">
      <c r="A977" t="s">
        <v>982</v>
      </c>
      <c r="B977" s="2">
        <v>45704.928472222222</v>
      </c>
      <c r="C977">
        <v>4170.1099999999997</v>
      </c>
      <c r="D977" t="s">
        <v>1008</v>
      </c>
      <c r="E977" t="s">
        <v>1012</v>
      </c>
      <c r="F977" t="s">
        <v>1019</v>
      </c>
    </row>
    <row r="978" spans="1:7" x14ac:dyDescent="0.3">
      <c r="A978" t="s">
        <v>983</v>
      </c>
      <c r="B978" s="2">
        <v>45697.556250000001</v>
      </c>
      <c r="C978">
        <v>2211.06</v>
      </c>
      <c r="D978" t="s">
        <v>1009</v>
      </c>
      <c r="E978" t="s">
        <v>1018</v>
      </c>
      <c r="F978" t="s">
        <v>1020</v>
      </c>
      <c r="G978" t="s">
        <v>1023</v>
      </c>
    </row>
    <row r="979" spans="1:7" x14ac:dyDescent="0.3">
      <c r="A979" t="s">
        <v>984</v>
      </c>
      <c r="B979" s="2">
        <v>45710.146527777782</v>
      </c>
      <c r="C979">
        <v>2564.1</v>
      </c>
      <c r="D979" t="s">
        <v>1007</v>
      </c>
      <c r="E979" t="s">
        <v>1018</v>
      </c>
      <c r="F979" t="s">
        <v>1019</v>
      </c>
    </row>
    <row r="980" spans="1:7" x14ac:dyDescent="0.3">
      <c r="A980" t="s">
        <v>985</v>
      </c>
      <c r="B980" s="2">
        <v>45696.586805555547</v>
      </c>
      <c r="C980">
        <v>8358.7900000000009</v>
      </c>
      <c r="D980" t="s">
        <v>1008</v>
      </c>
      <c r="E980" t="s">
        <v>1012</v>
      </c>
      <c r="F980" t="s">
        <v>1020</v>
      </c>
      <c r="G980" t="s">
        <v>1021</v>
      </c>
    </row>
    <row r="981" spans="1:7" x14ac:dyDescent="0.3">
      <c r="A981" t="s">
        <v>986</v>
      </c>
      <c r="B981" s="2">
        <v>45693.677777777782</v>
      </c>
      <c r="C981">
        <v>3558.7</v>
      </c>
      <c r="D981" t="s">
        <v>1011</v>
      </c>
      <c r="E981" t="s">
        <v>1014</v>
      </c>
      <c r="F981" t="s">
        <v>1019</v>
      </c>
    </row>
    <row r="982" spans="1:7" x14ac:dyDescent="0.3">
      <c r="A982" t="s">
        <v>987</v>
      </c>
      <c r="B982" s="2">
        <v>45667.73541666667</v>
      </c>
      <c r="C982">
        <v>8719.4</v>
      </c>
      <c r="D982" t="s">
        <v>1009</v>
      </c>
      <c r="E982" t="s">
        <v>1015</v>
      </c>
      <c r="F982" t="s">
        <v>1019</v>
      </c>
    </row>
    <row r="983" spans="1:7" x14ac:dyDescent="0.3">
      <c r="A983" t="s">
        <v>988</v>
      </c>
      <c r="B983" s="2">
        <v>45735.015972222223</v>
      </c>
      <c r="C983">
        <v>1003.39</v>
      </c>
      <c r="D983" t="s">
        <v>1011</v>
      </c>
      <c r="E983" t="s">
        <v>1016</v>
      </c>
      <c r="F983" t="s">
        <v>1019</v>
      </c>
    </row>
    <row r="984" spans="1:7" x14ac:dyDescent="0.3">
      <c r="A984" t="s">
        <v>989</v>
      </c>
      <c r="B984" s="2">
        <v>45677.010416666657</v>
      </c>
      <c r="C984">
        <v>6074.2</v>
      </c>
      <c r="D984" t="s">
        <v>1011</v>
      </c>
      <c r="E984" t="s">
        <v>1014</v>
      </c>
      <c r="F984" t="s">
        <v>1019</v>
      </c>
    </row>
    <row r="985" spans="1:7" x14ac:dyDescent="0.3">
      <c r="A985" t="s">
        <v>990</v>
      </c>
      <c r="B985" s="2">
        <v>45658.0625</v>
      </c>
      <c r="C985">
        <v>4255.88</v>
      </c>
      <c r="D985" t="s">
        <v>1011</v>
      </c>
      <c r="E985" t="s">
        <v>1018</v>
      </c>
      <c r="F985" t="s">
        <v>1019</v>
      </c>
    </row>
    <row r="986" spans="1:7" x14ac:dyDescent="0.3">
      <c r="A986" t="s">
        <v>991</v>
      </c>
      <c r="B986" s="2">
        <v>45697.449305555558</v>
      </c>
      <c r="C986">
        <v>9307.7800000000007</v>
      </c>
      <c r="D986" t="s">
        <v>1007</v>
      </c>
      <c r="E986" t="s">
        <v>1015</v>
      </c>
      <c r="F986" t="s">
        <v>1020</v>
      </c>
      <c r="G986" t="s">
        <v>1026</v>
      </c>
    </row>
    <row r="987" spans="1:7" x14ac:dyDescent="0.3">
      <c r="A987" t="s">
        <v>992</v>
      </c>
      <c r="B987" s="2">
        <v>45720.878472222219</v>
      </c>
      <c r="C987">
        <v>5715.9</v>
      </c>
      <c r="D987" t="s">
        <v>1007</v>
      </c>
      <c r="E987" t="s">
        <v>1016</v>
      </c>
      <c r="F987" t="s">
        <v>1019</v>
      </c>
    </row>
    <row r="988" spans="1:7" x14ac:dyDescent="0.3">
      <c r="A988" t="s">
        <v>993</v>
      </c>
      <c r="B988" s="2">
        <v>45682.478472222218</v>
      </c>
      <c r="C988">
        <v>8086.74</v>
      </c>
      <c r="D988" t="s">
        <v>1007</v>
      </c>
      <c r="E988" t="s">
        <v>1015</v>
      </c>
      <c r="F988" t="s">
        <v>1020</v>
      </c>
      <c r="G988" t="s">
        <v>1022</v>
      </c>
    </row>
    <row r="989" spans="1:7" x14ac:dyDescent="0.3">
      <c r="A989" t="s">
        <v>994</v>
      </c>
      <c r="B989" s="2">
        <v>45722.042361111111</v>
      </c>
      <c r="C989">
        <v>1914.51</v>
      </c>
      <c r="D989" t="s">
        <v>1011</v>
      </c>
      <c r="E989" t="s">
        <v>1018</v>
      </c>
      <c r="F989" t="s">
        <v>1019</v>
      </c>
    </row>
    <row r="990" spans="1:7" x14ac:dyDescent="0.3">
      <c r="A990" t="s">
        <v>995</v>
      </c>
      <c r="B990" s="2">
        <v>45667.060416666667</v>
      </c>
      <c r="C990">
        <v>7167.32</v>
      </c>
      <c r="D990" t="s">
        <v>1009</v>
      </c>
      <c r="E990" t="s">
        <v>1018</v>
      </c>
      <c r="F990" t="s">
        <v>1019</v>
      </c>
    </row>
    <row r="991" spans="1:7" x14ac:dyDescent="0.3">
      <c r="A991" t="s">
        <v>996</v>
      </c>
      <c r="B991" s="2">
        <v>45699.195833333331</v>
      </c>
      <c r="C991">
        <v>9136.8799999999992</v>
      </c>
      <c r="D991" t="s">
        <v>1010</v>
      </c>
      <c r="E991" t="s">
        <v>1017</v>
      </c>
      <c r="F991" t="s">
        <v>1020</v>
      </c>
      <c r="G991" t="s">
        <v>1022</v>
      </c>
    </row>
    <row r="992" spans="1:7" x14ac:dyDescent="0.3">
      <c r="A992" t="s">
        <v>997</v>
      </c>
      <c r="B992" s="2">
        <v>45717.616666666669</v>
      </c>
      <c r="C992">
        <v>4096.72</v>
      </c>
      <c r="D992" t="s">
        <v>1008</v>
      </c>
      <c r="E992" t="s">
        <v>1015</v>
      </c>
      <c r="F992" t="s">
        <v>1019</v>
      </c>
    </row>
    <row r="993" spans="1:6" x14ac:dyDescent="0.3">
      <c r="A993" t="s">
        <v>998</v>
      </c>
      <c r="B993" s="2">
        <v>45680.649305555547</v>
      </c>
      <c r="C993">
        <v>6618.51</v>
      </c>
      <c r="D993" t="s">
        <v>1010</v>
      </c>
      <c r="E993" t="s">
        <v>1018</v>
      </c>
      <c r="F993" t="s">
        <v>1019</v>
      </c>
    </row>
    <row r="994" spans="1:6" x14ac:dyDescent="0.3">
      <c r="A994" t="s">
        <v>999</v>
      </c>
      <c r="B994" s="2">
        <v>45727.575694444437</v>
      </c>
      <c r="C994">
        <v>4793.29</v>
      </c>
      <c r="D994" t="s">
        <v>1007</v>
      </c>
      <c r="E994" t="s">
        <v>1016</v>
      </c>
      <c r="F994" t="s">
        <v>1019</v>
      </c>
    </row>
    <row r="995" spans="1:6" x14ac:dyDescent="0.3">
      <c r="A995" t="s">
        <v>1000</v>
      </c>
      <c r="B995" s="2">
        <v>45691.041666666657</v>
      </c>
      <c r="C995">
        <v>2150.52</v>
      </c>
      <c r="D995" t="s">
        <v>1011</v>
      </c>
      <c r="E995" t="s">
        <v>1013</v>
      </c>
      <c r="F995" t="s">
        <v>1019</v>
      </c>
    </row>
    <row r="996" spans="1:6" x14ac:dyDescent="0.3">
      <c r="A996" t="s">
        <v>1001</v>
      </c>
      <c r="B996" s="2">
        <v>45713.045138888891</v>
      </c>
      <c r="C996">
        <v>6809.79</v>
      </c>
      <c r="D996" t="s">
        <v>1011</v>
      </c>
      <c r="E996" t="s">
        <v>1012</v>
      </c>
      <c r="F996" t="s">
        <v>1019</v>
      </c>
    </row>
    <row r="997" spans="1:6" x14ac:dyDescent="0.3">
      <c r="A997" t="s">
        <v>1002</v>
      </c>
      <c r="B997" s="2">
        <v>45709.693749999999</v>
      </c>
      <c r="C997">
        <v>4449.8100000000004</v>
      </c>
      <c r="D997" t="s">
        <v>1011</v>
      </c>
      <c r="E997" t="s">
        <v>1016</v>
      </c>
      <c r="F997" t="s">
        <v>1019</v>
      </c>
    </row>
    <row r="998" spans="1:6" x14ac:dyDescent="0.3">
      <c r="A998" t="s">
        <v>1003</v>
      </c>
      <c r="B998" s="2">
        <v>45741.34375</v>
      </c>
      <c r="C998">
        <v>521.37</v>
      </c>
      <c r="D998" t="s">
        <v>1011</v>
      </c>
      <c r="E998" t="s">
        <v>1017</v>
      </c>
      <c r="F998" t="s">
        <v>1019</v>
      </c>
    </row>
    <row r="999" spans="1:6" x14ac:dyDescent="0.3">
      <c r="A999" t="s">
        <v>1004</v>
      </c>
      <c r="B999" s="2">
        <v>45693.254861111112</v>
      </c>
      <c r="C999">
        <v>3743.19</v>
      </c>
      <c r="D999" t="s">
        <v>1010</v>
      </c>
      <c r="E999" t="s">
        <v>1015</v>
      </c>
      <c r="F999" t="s">
        <v>1019</v>
      </c>
    </row>
    <row r="1000" spans="1:6" x14ac:dyDescent="0.3">
      <c r="A1000" t="s">
        <v>1005</v>
      </c>
      <c r="B1000" s="2">
        <v>45692.254861111112</v>
      </c>
      <c r="C1000">
        <v>3072.65</v>
      </c>
      <c r="D1000" t="s">
        <v>1009</v>
      </c>
      <c r="E1000" t="s">
        <v>1012</v>
      </c>
      <c r="F1000" t="s">
        <v>1019</v>
      </c>
    </row>
    <row r="1001" spans="1:6" x14ac:dyDescent="0.3">
      <c r="A1001" t="s">
        <v>1006</v>
      </c>
      <c r="B1001" s="2">
        <v>45690.507638888892</v>
      </c>
      <c r="C1001">
        <v>8701.75</v>
      </c>
      <c r="D1001" t="s">
        <v>1009</v>
      </c>
      <c r="E1001" t="s">
        <v>1014</v>
      </c>
      <c r="F1001" t="s">
        <v>1019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72568-456B-436D-BA11-47F5EC6B038E}">
  <dimension ref="A3:B10"/>
  <sheetViews>
    <sheetView workbookViewId="0">
      <selection activeCell="B3" sqref="A3:B10"/>
    </sheetView>
  </sheetViews>
  <sheetFormatPr defaultRowHeight="14.4" x14ac:dyDescent="0.3"/>
  <cols>
    <col min="1" max="1" width="18" bestFit="1" customWidth="1"/>
    <col min="2" max="2" width="21.44140625" bestFit="1" customWidth="1"/>
    <col min="3" max="3" width="23.6640625" bestFit="1" customWidth="1"/>
  </cols>
  <sheetData>
    <row r="3" spans="1:2" x14ac:dyDescent="0.3">
      <c r="A3" s="4" t="s">
        <v>1032</v>
      </c>
      <c r="B3" t="s">
        <v>1033</v>
      </c>
    </row>
    <row r="4" spans="1:2" x14ac:dyDescent="0.3">
      <c r="A4" s="5" t="s">
        <v>1022</v>
      </c>
      <c r="B4" s="6">
        <v>38</v>
      </c>
    </row>
    <row r="5" spans="1:2" x14ac:dyDescent="0.3">
      <c r="A5" s="5" t="s">
        <v>1023</v>
      </c>
      <c r="B5" s="6">
        <v>34</v>
      </c>
    </row>
    <row r="6" spans="1:2" x14ac:dyDescent="0.3">
      <c r="A6" s="5" t="s">
        <v>1025</v>
      </c>
      <c r="B6" s="6">
        <v>33</v>
      </c>
    </row>
    <row r="7" spans="1:2" x14ac:dyDescent="0.3">
      <c r="A7" s="5" t="s">
        <v>1021</v>
      </c>
      <c r="B7" s="6">
        <v>42</v>
      </c>
    </row>
    <row r="8" spans="1:2" x14ac:dyDescent="0.3">
      <c r="A8" s="5" t="s">
        <v>1024</v>
      </c>
      <c r="B8" s="6">
        <v>31</v>
      </c>
    </row>
    <row r="9" spans="1:2" x14ac:dyDescent="0.3">
      <c r="A9" s="5" t="s">
        <v>1026</v>
      </c>
      <c r="B9" s="6">
        <v>44</v>
      </c>
    </row>
    <row r="10" spans="1:2" x14ac:dyDescent="0.3">
      <c r="A10" s="5" t="s">
        <v>1030</v>
      </c>
      <c r="B10" s="6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DD2A6-A0A1-4C1E-A92F-1FDB863928A5}">
  <dimension ref="A1:E8"/>
  <sheetViews>
    <sheetView tabSelected="1" workbookViewId="0">
      <selection activeCell="C14" sqref="C14"/>
    </sheetView>
  </sheetViews>
  <sheetFormatPr defaultRowHeight="14.4" x14ac:dyDescent="0.3"/>
  <cols>
    <col min="1" max="1" width="17.6640625" customWidth="1"/>
    <col min="2" max="2" width="16.88671875" customWidth="1"/>
    <col min="3" max="3" width="18.109375" customWidth="1"/>
    <col min="4" max="4" width="17.6640625" customWidth="1"/>
    <col min="5" max="5" width="24.88671875" customWidth="1"/>
  </cols>
  <sheetData>
    <row r="1" spans="1:5" x14ac:dyDescent="0.3">
      <c r="A1" t="s">
        <v>6</v>
      </c>
      <c r="B1" t="s">
        <v>1031</v>
      </c>
      <c r="C1" t="s">
        <v>1036</v>
      </c>
      <c r="D1" t="s">
        <v>1037</v>
      </c>
      <c r="E1" t="s">
        <v>1035</v>
      </c>
    </row>
    <row r="2" spans="1:5" x14ac:dyDescent="0.3">
      <c r="A2" t="s">
        <v>1026</v>
      </c>
      <c r="B2">
        <v>44</v>
      </c>
      <c r="C2">
        <f>B2/SUM($B$2:$B$7)</f>
        <v>0.1981981981981982</v>
      </c>
      <c r="D2">
        <v>44</v>
      </c>
      <c r="E2">
        <f>44/222*100</f>
        <v>19.81981981981982</v>
      </c>
    </row>
    <row r="3" spans="1:5" x14ac:dyDescent="0.3">
      <c r="A3" t="s">
        <v>1021</v>
      </c>
      <c r="B3">
        <v>42</v>
      </c>
      <c r="C3">
        <f>B3/SUM($B$2:$B$7)</f>
        <v>0.1891891891891892</v>
      </c>
      <c r="D3">
        <f>SUM(B2:B3)</f>
        <v>86</v>
      </c>
      <c r="E3">
        <f>86/222*100</f>
        <v>38.738738738738739</v>
      </c>
    </row>
    <row r="4" spans="1:5" x14ac:dyDescent="0.3">
      <c r="A4" s="5" t="s">
        <v>1022</v>
      </c>
      <c r="B4" s="6">
        <v>38</v>
      </c>
      <c r="C4">
        <f>B4/SUM($B$2:$B$7)</f>
        <v>0.17117117117117117</v>
      </c>
      <c r="D4">
        <v>124</v>
      </c>
      <c r="E4">
        <f>124/222*100</f>
        <v>55.85585585585585</v>
      </c>
    </row>
    <row r="5" spans="1:5" x14ac:dyDescent="0.3">
      <c r="A5" t="s">
        <v>1023</v>
      </c>
      <c r="B5">
        <v>34</v>
      </c>
      <c r="C5">
        <f>B5/SUM($B$2:$B$7)</f>
        <v>0.15315315315315314</v>
      </c>
      <c r="D5">
        <v>158</v>
      </c>
      <c r="E5">
        <f>158/222*100</f>
        <v>71.171171171171167</v>
      </c>
    </row>
    <row r="6" spans="1:5" x14ac:dyDescent="0.3">
      <c r="A6" t="s">
        <v>1025</v>
      </c>
      <c r="B6">
        <v>33</v>
      </c>
      <c r="C6">
        <f>B6/SUM($B$2:$B$7)</f>
        <v>0.14864864864864866</v>
      </c>
      <c r="D6">
        <v>191</v>
      </c>
      <c r="E6">
        <f>191/222*100</f>
        <v>86.036036036036037</v>
      </c>
    </row>
    <row r="7" spans="1:5" x14ac:dyDescent="0.3">
      <c r="A7" t="s">
        <v>1024</v>
      </c>
      <c r="B7">
        <v>31</v>
      </c>
      <c r="C7">
        <f>B7/SUM($B$2:$B$7)</f>
        <v>0.13963963963963963</v>
      </c>
      <c r="D7">
        <v>222</v>
      </c>
      <c r="E7">
        <f>222/222*100</f>
        <v>100</v>
      </c>
    </row>
    <row r="8" spans="1:5" x14ac:dyDescent="0.3">
      <c r="A8" t="s">
        <v>1034</v>
      </c>
      <c r="B8">
        <f>SUM(B2:B7)</f>
        <v>222</v>
      </c>
    </row>
  </sheetData>
  <sortState xmlns:xlrd2="http://schemas.microsoft.com/office/spreadsheetml/2017/richdata2" ref="A2:B7">
    <sortCondition descending="1" ref="B2:B7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Roshan Thakur'</cp:lastModifiedBy>
  <dcterms:created xsi:type="dcterms:W3CDTF">2025-05-10T04:41:14Z</dcterms:created>
  <dcterms:modified xsi:type="dcterms:W3CDTF">2025-05-11T20:01:37Z</dcterms:modified>
</cp:coreProperties>
</file>