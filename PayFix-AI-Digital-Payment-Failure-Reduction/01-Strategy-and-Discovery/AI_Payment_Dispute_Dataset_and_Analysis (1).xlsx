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tables/table9.xml" ContentType="application/vnd.openxmlformats-officedocument.spreadsheetml.table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rath\PayFix-AI-Digital-Payment-Failure-Reduction\01-Strategy-and-Discovery\"/>
    </mc:Choice>
  </mc:AlternateContent>
  <xr:revisionPtr revIDLastSave="0" documentId="11_4D9598A2E7C2D768A1AFEC6641CF0B3586552F22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_Dispute_Data" sheetId="1" r:id="rId1"/>
    <sheet name="Data_Dictionary" sheetId="2" r:id="rId2"/>
    <sheet name="Cleaned_Data" sheetId="3" r:id="rId3"/>
    <sheet name="Pivot_Dispute_Type" sheetId="4" r:id="rId4"/>
    <sheet name="Pivot_SLA" sheetId="5" r:id="rId5"/>
    <sheet name="Pivot_Payment_Method" sheetId="6" r:id="rId6"/>
    <sheet name="Pivot_Root_Cause" sheetId="7" r:id="rId7"/>
    <sheet name="Pivot_Refund" sheetId="8" r:id="rId8"/>
    <sheet name="Pivot_Risk" sheetId="9" r:id="rId9"/>
    <sheet name="Dashboard" sheetId="10" r:id="rId10"/>
    <sheet name="Key_Insight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51" i="3" l="1"/>
  <c r="X751" i="3"/>
  <c r="W751" i="3"/>
  <c r="V751" i="3"/>
  <c r="Y750" i="3"/>
  <c r="X750" i="3"/>
  <c r="W750" i="3"/>
  <c r="V750" i="3"/>
  <c r="Y749" i="3"/>
  <c r="X749" i="3"/>
  <c r="W749" i="3"/>
  <c r="V749" i="3"/>
  <c r="Y748" i="3"/>
  <c r="X748" i="3"/>
  <c r="W748" i="3"/>
  <c r="V748" i="3"/>
  <c r="Y747" i="3"/>
  <c r="X747" i="3"/>
  <c r="W747" i="3"/>
  <c r="V747" i="3"/>
  <c r="Y746" i="3"/>
  <c r="X746" i="3"/>
  <c r="W746" i="3"/>
  <c r="V746" i="3"/>
  <c r="Y745" i="3"/>
  <c r="X745" i="3"/>
  <c r="W745" i="3"/>
  <c r="V745" i="3"/>
  <c r="Y744" i="3"/>
  <c r="X744" i="3"/>
  <c r="W744" i="3"/>
  <c r="V744" i="3"/>
  <c r="Y743" i="3"/>
  <c r="X743" i="3"/>
  <c r="W743" i="3"/>
  <c r="V743" i="3"/>
  <c r="Y742" i="3"/>
  <c r="X742" i="3"/>
  <c r="W742" i="3"/>
  <c r="V742" i="3"/>
  <c r="Y741" i="3"/>
  <c r="X741" i="3"/>
  <c r="W741" i="3"/>
  <c r="V741" i="3"/>
  <c r="Y740" i="3"/>
  <c r="X740" i="3"/>
  <c r="W740" i="3"/>
  <c r="V740" i="3"/>
  <c r="Y739" i="3"/>
  <c r="X739" i="3"/>
  <c r="W739" i="3"/>
  <c r="V739" i="3"/>
  <c r="Y738" i="3"/>
  <c r="X738" i="3"/>
  <c r="W738" i="3"/>
  <c r="V738" i="3"/>
  <c r="Y737" i="3"/>
  <c r="X737" i="3"/>
  <c r="W737" i="3"/>
  <c r="V737" i="3"/>
  <c r="Y736" i="3"/>
  <c r="X736" i="3"/>
  <c r="W736" i="3"/>
  <c r="V736" i="3"/>
  <c r="Y735" i="3"/>
  <c r="X735" i="3"/>
  <c r="W735" i="3"/>
  <c r="V735" i="3"/>
  <c r="Y734" i="3"/>
  <c r="X734" i="3"/>
  <c r="W734" i="3"/>
  <c r="V734" i="3"/>
  <c r="Y733" i="3"/>
  <c r="X733" i="3"/>
  <c r="W733" i="3"/>
  <c r="V733" i="3"/>
  <c r="Y732" i="3"/>
  <c r="X732" i="3"/>
  <c r="W732" i="3"/>
  <c r="V732" i="3"/>
  <c r="Y731" i="3"/>
  <c r="X731" i="3"/>
  <c r="W731" i="3"/>
  <c r="V731" i="3"/>
  <c r="Y730" i="3"/>
  <c r="X730" i="3"/>
  <c r="W730" i="3"/>
  <c r="V730" i="3"/>
  <c r="Y729" i="3"/>
  <c r="X729" i="3"/>
  <c r="W729" i="3"/>
  <c r="V729" i="3"/>
  <c r="Y728" i="3"/>
  <c r="X728" i="3"/>
  <c r="W728" i="3"/>
  <c r="V728" i="3"/>
  <c r="Y727" i="3"/>
  <c r="X727" i="3"/>
  <c r="W727" i="3"/>
  <c r="V727" i="3"/>
  <c r="Y726" i="3"/>
  <c r="X726" i="3"/>
  <c r="W726" i="3"/>
  <c r="V726" i="3"/>
  <c r="Y725" i="3"/>
  <c r="X725" i="3"/>
  <c r="W725" i="3"/>
  <c r="V725" i="3"/>
  <c r="Y724" i="3"/>
  <c r="X724" i="3"/>
  <c r="W724" i="3"/>
  <c r="V724" i="3"/>
  <c r="Y723" i="3"/>
  <c r="X723" i="3"/>
  <c r="W723" i="3"/>
  <c r="V723" i="3"/>
  <c r="Y722" i="3"/>
  <c r="X722" i="3"/>
  <c r="W722" i="3"/>
  <c r="V722" i="3"/>
  <c r="Y721" i="3"/>
  <c r="X721" i="3"/>
  <c r="W721" i="3"/>
  <c r="V721" i="3"/>
  <c r="Y720" i="3"/>
  <c r="X720" i="3"/>
  <c r="W720" i="3"/>
  <c r="V720" i="3"/>
  <c r="Y719" i="3"/>
  <c r="X719" i="3"/>
  <c r="W719" i="3"/>
  <c r="V719" i="3"/>
  <c r="Y718" i="3"/>
  <c r="X718" i="3"/>
  <c r="W718" i="3"/>
  <c r="V718" i="3"/>
  <c r="Y717" i="3"/>
  <c r="X717" i="3"/>
  <c r="W717" i="3"/>
  <c r="V717" i="3"/>
  <c r="Y716" i="3"/>
  <c r="X716" i="3"/>
  <c r="W716" i="3"/>
  <c r="V716" i="3"/>
  <c r="Y715" i="3"/>
  <c r="X715" i="3"/>
  <c r="W715" i="3"/>
  <c r="V715" i="3"/>
  <c r="Y714" i="3"/>
  <c r="X714" i="3"/>
  <c r="W714" i="3"/>
  <c r="V714" i="3"/>
  <c r="Y713" i="3"/>
  <c r="X713" i="3"/>
  <c r="W713" i="3"/>
  <c r="V713" i="3"/>
  <c r="Y712" i="3"/>
  <c r="X712" i="3"/>
  <c r="W712" i="3"/>
  <c r="V712" i="3"/>
  <c r="Y711" i="3"/>
  <c r="X711" i="3"/>
  <c r="W711" i="3"/>
  <c r="V711" i="3"/>
  <c r="Y710" i="3"/>
  <c r="X710" i="3"/>
  <c r="W710" i="3"/>
  <c r="V710" i="3"/>
  <c r="Y709" i="3"/>
  <c r="X709" i="3"/>
  <c r="W709" i="3"/>
  <c r="V709" i="3"/>
  <c r="Y708" i="3"/>
  <c r="X708" i="3"/>
  <c r="W708" i="3"/>
  <c r="V708" i="3"/>
  <c r="Y707" i="3"/>
  <c r="X707" i="3"/>
  <c r="W707" i="3"/>
  <c r="V707" i="3"/>
  <c r="Y706" i="3"/>
  <c r="X706" i="3"/>
  <c r="W706" i="3"/>
  <c r="V706" i="3"/>
  <c r="Y705" i="3"/>
  <c r="X705" i="3"/>
  <c r="W705" i="3"/>
  <c r="V705" i="3"/>
  <c r="Y704" i="3"/>
  <c r="X704" i="3"/>
  <c r="W704" i="3"/>
  <c r="V704" i="3"/>
  <c r="Y703" i="3"/>
  <c r="X703" i="3"/>
  <c r="W703" i="3"/>
  <c r="V703" i="3"/>
  <c r="Y702" i="3"/>
  <c r="X702" i="3"/>
  <c r="W702" i="3"/>
  <c r="V702" i="3"/>
  <c r="Y701" i="3"/>
  <c r="X701" i="3"/>
  <c r="W701" i="3"/>
  <c r="V701" i="3"/>
  <c r="Y700" i="3"/>
  <c r="X700" i="3"/>
  <c r="W700" i="3"/>
  <c r="V700" i="3"/>
  <c r="Y699" i="3"/>
  <c r="X699" i="3"/>
  <c r="W699" i="3"/>
  <c r="V699" i="3"/>
  <c r="Y698" i="3"/>
  <c r="X698" i="3"/>
  <c r="W698" i="3"/>
  <c r="V698" i="3"/>
  <c r="Y697" i="3"/>
  <c r="X697" i="3"/>
  <c r="W697" i="3"/>
  <c r="V697" i="3"/>
  <c r="Y696" i="3"/>
  <c r="X696" i="3"/>
  <c r="W696" i="3"/>
  <c r="V696" i="3"/>
  <c r="Y695" i="3"/>
  <c r="X695" i="3"/>
  <c r="W695" i="3"/>
  <c r="V695" i="3"/>
  <c r="Y694" i="3"/>
  <c r="X694" i="3"/>
  <c r="W694" i="3"/>
  <c r="V694" i="3"/>
  <c r="Y693" i="3"/>
  <c r="X693" i="3"/>
  <c r="W693" i="3"/>
  <c r="V693" i="3"/>
  <c r="Y692" i="3"/>
  <c r="X692" i="3"/>
  <c r="W692" i="3"/>
  <c r="V692" i="3"/>
  <c r="Y691" i="3"/>
  <c r="X691" i="3"/>
  <c r="W691" i="3"/>
  <c r="V691" i="3"/>
  <c r="Y690" i="3"/>
  <c r="X690" i="3"/>
  <c r="W690" i="3"/>
  <c r="V690" i="3"/>
  <c r="Y689" i="3"/>
  <c r="X689" i="3"/>
  <c r="W689" i="3"/>
  <c r="V689" i="3"/>
  <c r="Y688" i="3"/>
  <c r="X688" i="3"/>
  <c r="W688" i="3"/>
  <c r="V688" i="3"/>
  <c r="Y687" i="3"/>
  <c r="X687" i="3"/>
  <c r="W687" i="3"/>
  <c r="V687" i="3"/>
  <c r="Y686" i="3"/>
  <c r="X686" i="3"/>
  <c r="W686" i="3"/>
  <c r="V686" i="3"/>
  <c r="Y685" i="3"/>
  <c r="X685" i="3"/>
  <c r="W685" i="3"/>
  <c r="V685" i="3"/>
  <c r="Y684" i="3"/>
  <c r="X684" i="3"/>
  <c r="W684" i="3"/>
  <c r="V684" i="3"/>
  <c r="Y683" i="3"/>
  <c r="X683" i="3"/>
  <c r="W683" i="3"/>
  <c r="V683" i="3"/>
  <c r="Y682" i="3"/>
  <c r="X682" i="3"/>
  <c r="W682" i="3"/>
  <c r="V682" i="3"/>
  <c r="Y681" i="3"/>
  <c r="X681" i="3"/>
  <c r="W681" i="3"/>
  <c r="V681" i="3"/>
  <c r="Y680" i="3"/>
  <c r="X680" i="3"/>
  <c r="W680" i="3"/>
  <c r="V680" i="3"/>
  <c r="Y679" i="3"/>
  <c r="X679" i="3"/>
  <c r="W679" i="3"/>
  <c r="V679" i="3"/>
  <c r="Y678" i="3"/>
  <c r="X678" i="3"/>
  <c r="W678" i="3"/>
  <c r="V678" i="3"/>
  <c r="Y677" i="3"/>
  <c r="X677" i="3"/>
  <c r="W677" i="3"/>
  <c r="V677" i="3"/>
  <c r="Y676" i="3"/>
  <c r="X676" i="3"/>
  <c r="W676" i="3"/>
  <c r="V676" i="3"/>
  <c r="Y675" i="3"/>
  <c r="X675" i="3"/>
  <c r="W675" i="3"/>
  <c r="V675" i="3"/>
  <c r="Y674" i="3"/>
  <c r="X674" i="3"/>
  <c r="W674" i="3"/>
  <c r="V674" i="3"/>
  <c r="Y673" i="3"/>
  <c r="X673" i="3"/>
  <c r="W673" i="3"/>
  <c r="V673" i="3"/>
  <c r="Y672" i="3"/>
  <c r="X672" i="3"/>
  <c r="W672" i="3"/>
  <c r="V672" i="3"/>
  <c r="Y671" i="3"/>
  <c r="X671" i="3"/>
  <c r="W671" i="3"/>
  <c r="V671" i="3"/>
  <c r="Y670" i="3"/>
  <c r="X670" i="3"/>
  <c r="W670" i="3"/>
  <c r="V670" i="3"/>
  <c r="Y669" i="3"/>
  <c r="X669" i="3"/>
  <c r="W669" i="3"/>
  <c r="V669" i="3"/>
  <c r="Y668" i="3"/>
  <c r="X668" i="3"/>
  <c r="W668" i="3"/>
  <c r="V668" i="3"/>
  <c r="Y667" i="3"/>
  <c r="X667" i="3"/>
  <c r="W667" i="3"/>
  <c r="V667" i="3"/>
  <c r="Y666" i="3"/>
  <c r="X666" i="3"/>
  <c r="W666" i="3"/>
  <c r="V666" i="3"/>
  <c r="Y665" i="3"/>
  <c r="X665" i="3"/>
  <c r="W665" i="3"/>
  <c r="V665" i="3"/>
  <c r="Y664" i="3"/>
  <c r="X664" i="3"/>
  <c r="W664" i="3"/>
  <c r="V664" i="3"/>
  <c r="Y663" i="3"/>
  <c r="X663" i="3"/>
  <c r="W663" i="3"/>
  <c r="V663" i="3"/>
  <c r="Y662" i="3"/>
  <c r="X662" i="3"/>
  <c r="W662" i="3"/>
  <c r="V662" i="3"/>
  <c r="Y661" i="3"/>
  <c r="X661" i="3"/>
  <c r="W661" i="3"/>
  <c r="V661" i="3"/>
  <c r="Y660" i="3"/>
  <c r="X660" i="3"/>
  <c r="W660" i="3"/>
  <c r="V660" i="3"/>
  <c r="Y659" i="3"/>
  <c r="X659" i="3"/>
  <c r="W659" i="3"/>
  <c r="V659" i="3"/>
  <c r="Y658" i="3"/>
  <c r="X658" i="3"/>
  <c r="W658" i="3"/>
  <c r="V658" i="3"/>
  <c r="Y657" i="3"/>
  <c r="X657" i="3"/>
  <c r="W657" i="3"/>
  <c r="V657" i="3"/>
  <c r="Y656" i="3"/>
  <c r="X656" i="3"/>
  <c r="W656" i="3"/>
  <c r="V656" i="3"/>
  <c r="Y655" i="3"/>
  <c r="X655" i="3"/>
  <c r="W655" i="3"/>
  <c r="V655" i="3"/>
  <c r="Y654" i="3"/>
  <c r="X654" i="3"/>
  <c r="W654" i="3"/>
  <c r="V654" i="3"/>
  <c r="Y653" i="3"/>
  <c r="X653" i="3"/>
  <c r="W653" i="3"/>
  <c r="V653" i="3"/>
  <c r="Y652" i="3"/>
  <c r="X652" i="3"/>
  <c r="W652" i="3"/>
  <c r="V652" i="3"/>
  <c r="Y651" i="3"/>
  <c r="X651" i="3"/>
  <c r="W651" i="3"/>
  <c r="V651" i="3"/>
  <c r="Y650" i="3"/>
  <c r="X650" i="3"/>
  <c r="W650" i="3"/>
  <c r="V650" i="3"/>
  <c r="Y649" i="3"/>
  <c r="X649" i="3"/>
  <c r="W649" i="3"/>
  <c r="V649" i="3"/>
  <c r="Y648" i="3"/>
  <c r="X648" i="3"/>
  <c r="W648" i="3"/>
  <c r="V648" i="3"/>
  <c r="Y647" i="3"/>
  <c r="X647" i="3"/>
  <c r="W647" i="3"/>
  <c r="V647" i="3"/>
  <c r="Y646" i="3"/>
  <c r="X646" i="3"/>
  <c r="W646" i="3"/>
  <c r="V646" i="3"/>
  <c r="Y645" i="3"/>
  <c r="X645" i="3"/>
  <c r="W645" i="3"/>
  <c r="V645" i="3"/>
  <c r="Y644" i="3"/>
  <c r="X644" i="3"/>
  <c r="W644" i="3"/>
  <c r="V644" i="3"/>
  <c r="Y643" i="3"/>
  <c r="X643" i="3"/>
  <c r="W643" i="3"/>
  <c r="V643" i="3"/>
  <c r="Y642" i="3"/>
  <c r="X642" i="3"/>
  <c r="W642" i="3"/>
  <c r="V642" i="3"/>
  <c r="Y641" i="3"/>
  <c r="X641" i="3"/>
  <c r="W641" i="3"/>
  <c r="V641" i="3"/>
  <c r="Y640" i="3"/>
  <c r="X640" i="3"/>
  <c r="W640" i="3"/>
  <c r="V640" i="3"/>
  <c r="Y639" i="3"/>
  <c r="X639" i="3"/>
  <c r="W639" i="3"/>
  <c r="V639" i="3"/>
  <c r="Y638" i="3"/>
  <c r="X638" i="3"/>
  <c r="W638" i="3"/>
  <c r="V638" i="3"/>
  <c r="Y637" i="3"/>
  <c r="X637" i="3"/>
  <c r="W637" i="3"/>
  <c r="V637" i="3"/>
  <c r="Y636" i="3"/>
  <c r="X636" i="3"/>
  <c r="W636" i="3"/>
  <c r="V636" i="3"/>
  <c r="Y635" i="3"/>
  <c r="X635" i="3"/>
  <c r="W635" i="3"/>
  <c r="V635" i="3"/>
  <c r="Y634" i="3"/>
  <c r="X634" i="3"/>
  <c r="W634" i="3"/>
  <c r="V634" i="3"/>
  <c r="Y633" i="3"/>
  <c r="X633" i="3"/>
  <c r="W633" i="3"/>
  <c r="V633" i="3"/>
  <c r="Y632" i="3"/>
  <c r="X632" i="3"/>
  <c r="W632" i="3"/>
  <c r="V632" i="3"/>
  <c r="Y631" i="3"/>
  <c r="X631" i="3"/>
  <c r="W631" i="3"/>
  <c r="V631" i="3"/>
  <c r="Y630" i="3"/>
  <c r="X630" i="3"/>
  <c r="W630" i="3"/>
  <c r="V630" i="3"/>
  <c r="Y629" i="3"/>
  <c r="X629" i="3"/>
  <c r="W629" i="3"/>
  <c r="V629" i="3"/>
  <c r="Y628" i="3"/>
  <c r="X628" i="3"/>
  <c r="W628" i="3"/>
  <c r="V628" i="3"/>
  <c r="Y627" i="3"/>
  <c r="X627" i="3"/>
  <c r="W627" i="3"/>
  <c r="V627" i="3"/>
  <c r="Y626" i="3"/>
  <c r="X626" i="3"/>
  <c r="W626" i="3"/>
  <c r="V626" i="3"/>
  <c r="Y625" i="3"/>
  <c r="X625" i="3"/>
  <c r="W625" i="3"/>
  <c r="V625" i="3"/>
  <c r="Y624" i="3"/>
  <c r="X624" i="3"/>
  <c r="W624" i="3"/>
  <c r="V624" i="3"/>
  <c r="Y623" i="3"/>
  <c r="X623" i="3"/>
  <c r="W623" i="3"/>
  <c r="V623" i="3"/>
  <c r="Y622" i="3"/>
  <c r="X622" i="3"/>
  <c r="W622" i="3"/>
  <c r="V622" i="3"/>
  <c r="Y621" i="3"/>
  <c r="X621" i="3"/>
  <c r="W621" i="3"/>
  <c r="V621" i="3"/>
  <c r="Y620" i="3"/>
  <c r="X620" i="3"/>
  <c r="W620" i="3"/>
  <c r="V620" i="3"/>
  <c r="Y619" i="3"/>
  <c r="X619" i="3"/>
  <c r="W619" i="3"/>
  <c r="V619" i="3"/>
  <c r="Y618" i="3"/>
  <c r="X618" i="3"/>
  <c r="W618" i="3"/>
  <c r="V618" i="3"/>
  <c r="Y617" i="3"/>
  <c r="X617" i="3"/>
  <c r="W617" i="3"/>
  <c r="V617" i="3"/>
  <c r="Y616" i="3"/>
  <c r="X616" i="3"/>
  <c r="W616" i="3"/>
  <c r="V616" i="3"/>
  <c r="Y615" i="3"/>
  <c r="X615" i="3"/>
  <c r="W615" i="3"/>
  <c r="V615" i="3"/>
  <c r="Y614" i="3"/>
  <c r="X614" i="3"/>
  <c r="W614" i="3"/>
  <c r="V614" i="3"/>
  <c r="Y613" i="3"/>
  <c r="X613" i="3"/>
  <c r="W613" i="3"/>
  <c r="V613" i="3"/>
  <c r="Y612" i="3"/>
  <c r="X612" i="3"/>
  <c r="W612" i="3"/>
  <c r="V612" i="3"/>
  <c r="Y611" i="3"/>
  <c r="X611" i="3"/>
  <c r="W611" i="3"/>
  <c r="V611" i="3"/>
  <c r="Y610" i="3"/>
  <c r="X610" i="3"/>
  <c r="W610" i="3"/>
  <c r="V610" i="3"/>
  <c r="Y609" i="3"/>
  <c r="X609" i="3"/>
  <c r="W609" i="3"/>
  <c r="V609" i="3"/>
  <c r="Y608" i="3"/>
  <c r="X608" i="3"/>
  <c r="W608" i="3"/>
  <c r="V608" i="3"/>
  <c r="Y607" i="3"/>
  <c r="X607" i="3"/>
  <c r="W607" i="3"/>
  <c r="V607" i="3"/>
  <c r="Y606" i="3"/>
  <c r="X606" i="3"/>
  <c r="W606" i="3"/>
  <c r="V606" i="3"/>
  <c r="Y605" i="3"/>
  <c r="X605" i="3"/>
  <c r="W605" i="3"/>
  <c r="V605" i="3"/>
  <c r="Y604" i="3"/>
  <c r="X604" i="3"/>
  <c r="W604" i="3"/>
  <c r="V604" i="3"/>
  <c r="Y603" i="3"/>
  <c r="X603" i="3"/>
  <c r="W603" i="3"/>
  <c r="V603" i="3"/>
  <c r="Y602" i="3"/>
  <c r="X602" i="3"/>
  <c r="W602" i="3"/>
  <c r="V602" i="3"/>
  <c r="Y601" i="3"/>
  <c r="X601" i="3"/>
  <c r="W601" i="3"/>
  <c r="V601" i="3"/>
  <c r="Y600" i="3"/>
  <c r="X600" i="3"/>
  <c r="W600" i="3"/>
  <c r="V600" i="3"/>
  <c r="Y599" i="3"/>
  <c r="X599" i="3"/>
  <c r="W599" i="3"/>
  <c r="V599" i="3"/>
  <c r="Y598" i="3"/>
  <c r="X598" i="3"/>
  <c r="W598" i="3"/>
  <c r="V598" i="3"/>
  <c r="Y597" i="3"/>
  <c r="X597" i="3"/>
  <c r="W597" i="3"/>
  <c r="V597" i="3"/>
  <c r="Y596" i="3"/>
  <c r="X596" i="3"/>
  <c r="W596" i="3"/>
  <c r="V596" i="3"/>
  <c r="Y595" i="3"/>
  <c r="X595" i="3"/>
  <c r="W595" i="3"/>
  <c r="V595" i="3"/>
  <c r="Y594" i="3"/>
  <c r="X594" i="3"/>
  <c r="W594" i="3"/>
  <c r="V594" i="3"/>
  <c r="Y593" i="3"/>
  <c r="X593" i="3"/>
  <c r="W593" i="3"/>
  <c r="V593" i="3"/>
  <c r="Y592" i="3"/>
  <c r="X592" i="3"/>
  <c r="W592" i="3"/>
  <c r="V592" i="3"/>
  <c r="Y591" i="3"/>
  <c r="X591" i="3"/>
  <c r="W591" i="3"/>
  <c r="V591" i="3"/>
  <c r="Y590" i="3"/>
  <c r="X590" i="3"/>
  <c r="W590" i="3"/>
  <c r="V590" i="3"/>
  <c r="Y589" i="3"/>
  <c r="X589" i="3"/>
  <c r="W589" i="3"/>
  <c r="V589" i="3"/>
  <c r="Y588" i="3"/>
  <c r="X588" i="3"/>
  <c r="W588" i="3"/>
  <c r="V588" i="3"/>
  <c r="Y587" i="3"/>
  <c r="X587" i="3"/>
  <c r="W587" i="3"/>
  <c r="V587" i="3"/>
  <c r="Y586" i="3"/>
  <c r="X586" i="3"/>
  <c r="W586" i="3"/>
  <c r="V586" i="3"/>
  <c r="Y585" i="3"/>
  <c r="X585" i="3"/>
  <c r="W585" i="3"/>
  <c r="V585" i="3"/>
  <c r="Y584" i="3"/>
  <c r="X584" i="3"/>
  <c r="W584" i="3"/>
  <c r="V584" i="3"/>
  <c r="Y583" i="3"/>
  <c r="X583" i="3"/>
  <c r="W583" i="3"/>
  <c r="V583" i="3"/>
  <c r="Y582" i="3"/>
  <c r="X582" i="3"/>
  <c r="W582" i="3"/>
  <c r="V582" i="3"/>
  <c r="Y581" i="3"/>
  <c r="X581" i="3"/>
  <c r="W581" i="3"/>
  <c r="V581" i="3"/>
  <c r="Y580" i="3"/>
  <c r="X580" i="3"/>
  <c r="W580" i="3"/>
  <c r="V580" i="3"/>
  <c r="Y579" i="3"/>
  <c r="X579" i="3"/>
  <c r="W579" i="3"/>
  <c r="V579" i="3"/>
  <c r="Y578" i="3"/>
  <c r="X578" i="3"/>
  <c r="W578" i="3"/>
  <c r="V578" i="3"/>
  <c r="Y577" i="3"/>
  <c r="X577" i="3"/>
  <c r="W577" i="3"/>
  <c r="V577" i="3"/>
  <c r="Y576" i="3"/>
  <c r="X576" i="3"/>
  <c r="W576" i="3"/>
  <c r="V576" i="3"/>
  <c r="Y575" i="3"/>
  <c r="X575" i="3"/>
  <c r="W575" i="3"/>
  <c r="V575" i="3"/>
  <c r="Y574" i="3"/>
  <c r="X574" i="3"/>
  <c r="W574" i="3"/>
  <c r="V574" i="3"/>
  <c r="Y573" i="3"/>
  <c r="X573" i="3"/>
  <c r="W573" i="3"/>
  <c r="V573" i="3"/>
  <c r="Y572" i="3"/>
  <c r="X572" i="3"/>
  <c r="W572" i="3"/>
  <c r="V572" i="3"/>
  <c r="Y571" i="3"/>
  <c r="X571" i="3"/>
  <c r="W571" i="3"/>
  <c r="V571" i="3"/>
  <c r="Y570" i="3"/>
  <c r="X570" i="3"/>
  <c r="W570" i="3"/>
  <c r="V570" i="3"/>
  <c r="Y569" i="3"/>
  <c r="X569" i="3"/>
  <c r="W569" i="3"/>
  <c r="V569" i="3"/>
  <c r="Y568" i="3"/>
  <c r="X568" i="3"/>
  <c r="W568" i="3"/>
  <c r="V568" i="3"/>
  <c r="Y567" i="3"/>
  <c r="X567" i="3"/>
  <c r="W567" i="3"/>
  <c r="V567" i="3"/>
  <c r="Y566" i="3"/>
  <c r="X566" i="3"/>
  <c r="W566" i="3"/>
  <c r="V566" i="3"/>
  <c r="Y565" i="3"/>
  <c r="X565" i="3"/>
  <c r="W565" i="3"/>
  <c r="V565" i="3"/>
  <c r="Y564" i="3"/>
  <c r="X564" i="3"/>
  <c r="W564" i="3"/>
  <c r="V564" i="3"/>
  <c r="Y563" i="3"/>
  <c r="X563" i="3"/>
  <c r="W563" i="3"/>
  <c r="V563" i="3"/>
  <c r="Y562" i="3"/>
  <c r="X562" i="3"/>
  <c r="W562" i="3"/>
  <c r="V562" i="3"/>
  <c r="Y561" i="3"/>
  <c r="X561" i="3"/>
  <c r="W561" i="3"/>
  <c r="V561" i="3"/>
  <c r="Y560" i="3"/>
  <c r="X560" i="3"/>
  <c r="W560" i="3"/>
  <c r="V560" i="3"/>
  <c r="Y559" i="3"/>
  <c r="X559" i="3"/>
  <c r="W559" i="3"/>
  <c r="V559" i="3"/>
  <c r="Y558" i="3"/>
  <c r="X558" i="3"/>
  <c r="W558" i="3"/>
  <c r="V558" i="3"/>
  <c r="Y557" i="3"/>
  <c r="X557" i="3"/>
  <c r="W557" i="3"/>
  <c r="V557" i="3"/>
  <c r="Y556" i="3"/>
  <c r="X556" i="3"/>
  <c r="W556" i="3"/>
  <c r="V556" i="3"/>
  <c r="Y555" i="3"/>
  <c r="X555" i="3"/>
  <c r="W555" i="3"/>
  <c r="V555" i="3"/>
  <c r="Y554" i="3"/>
  <c r="X554" i="3"/>
  <c r="W554" i="3"/>
  <c r="V554" i="3"/>
  <c r="Y553" i="3"/>
  <c r="X553" i="3"/>
  <c r="W553" i="3"/>
  <c r="V553" i="3"/>
  <c r="Y552" i="3"/>
  <c r="X552" i="3"/>
  <c r="W552" i="3"/>
  <c r="V552" i="3"/>
  <c r="Y551" i="3"/>
  <c r="X551" i="3"/>
  <c r="W551" i="3"/>
  <c r="V551" i="3"/>
  <c r="Y550" i="3"/>
  <c r="X550" i="3"/>
  <c r="W550" i="3"/>
  <c r="V550" i="3"/>
  <c r="Y549" i="3"/>
  <c r="X549" i="3"/>
  <c r="W549" i="3"/>
  <c r="V549" i="3"/>
  <c r="Y548" i="3"/>
  <c r="X548" i="3"/>
  <c r="W548" i="3"/>
  <c r="V548" i="3"/>
  <c r="Y547" i="3"/>
  <c r="X547" i="3"/>
  <c r="W547" i="3"/>
  <c r="V547" i="3"/>
  <c r="Y546" i="3"/>
  <c r="X546" i="3"/>
  <c r="W546" i="3"/>
  <c r="V546" i="3"/>
  <c r="Y545" i="3"/>
  <c r="X545" i="3"/>
  <c r="W545" i="3"/>
  <c r="V545" i="3"/>
  <c r="Y544" i="3"/>
  <c r="X544" i="3"/>
  <c r="W544" i="3"/>
  <c r="V544" i="3"/>
  <c r="Y543" i="3"/>
  <c r="X543" i="3"/>
  <c r="W543" i="3"/>
  <c r="V543" i="3"/>
  <c r="Y542" i="3"/>
  <c r="X542" i="3"/>
  <c r="W542" i="3"/>
  <c r="V542" i="3"/>
  <c r="Y541" i="3"/>
  <c r="X541" i="3"/>
  <c r="W541" i="3"/>
  <c r="V541" i="3"/>
  <c r="Y540" i="3"/>
  <c r="X540" i="3"/>
  <c r="W540" i="3"/>
  <c r="V540" i="3"/>
  <c r="Y539" i="3"/>
  <c r="X539" i="3"/>
  <c r="W539" i="3"/>
  <c r="V539" i="3"/>
  <c r="Y538" i="3"/>
  <c r="X538" i="3"/>
  <c r="W538" i="3"/>
  <c r="V538" i="3"/>
  <c r="Y537" i="3"/>
  <c r="X537" i="3"/>
  <c r="W537" i="3"/>
  <c r="V537" i="3"/>
  <c r="Y536" i="3"/>
  <c r="X536" i="3"/>
  <c r="W536" i="3"/>
  <c r="V536" i="3"/>
  <c r="Y535" i="3"/>
  <c r="X535" i="3"/>
  <c r="W535" i="3"/>
  <c r="V535" i="3"/>
  <c r="Y534" i="3"/>
  <c r="X534" i="3"/>
  <c r="W534" i="3"/>
  <c r="V534" i="3"/>
  <c r="Y533" i="3"/>
  <c r="X533" i="3"/>
  <c r="W533" i="3"/>
  <c r="V533" i="3"/>
  <c r="Y532" i="3"/>
  <c r="X532" i="3"/>
  <c r="W532" i="3"/>
  <c r="V532" i="3"/>
  <c r="Y531" i="3"/>
  <c r="X531" i="3"/>
  <c r="W531" i="3"/>
  <c r="V531" i="3"/>
  <c r="Y530" i="3"/>
  <c r="X530" i="3"/>
  <c r="W530" i="3"/>
  <c r="V530" i="3"/>
  <c r="Y529" i="3"/>
  <c r="X529" i="3"/>
  <c r="W529" i="3"/>
  <c r="V529" i="3"/>
  <c r="Y528" i="3"/>
  <c r="X528" i="3"/>
  <c r="W528" i="3"/>
  <c r="V528" i="3"/>
  <c r="Y527" i="3"/>
  <c r="X527" i="3"/>
  <c r="W527" i="3"/>
  <c r="V527" i="3"/>
  <c r="Y526" i="3"/>
  <c r="X526" i="3"/>
  <c r="W526" i="3"/>
  <c r="V526" i="3"/>
  <c r="Y525" i="3"/>
  <c r="X525" i="3"/>
  <c r="W525" i="3"/>
  <c r="V525" i="3"/>
  <c r="Y524" i="3"/>
  <c r="X524" i="3"/>
  <c r="W524" i="3"/>
  <c r="V524" i="3"/>
  <c r="Y523" i="3"/>
  <c r="X523" i="3"/>
  <c r="W523" i="3"/>
  <c r="V523" i="3"/>
  <c r="Y522" i="3"/>
  <c r="X522" i="3"/>
  <c r="W522" i="3"/>
  <c r="V522" i="3"/>
  <c r="Y521" i="3"/>
  <c r="X521" i="3"/>
  <c r="W521" i="3"/>
  <c r="V521" i="3"/>
  <c r="Y520" i="3"/>
  <c r="X520" i="3"/>
  <c r="W520" i="3"/>
  <c r="V520" i="3"/>
  <c r="Y519" i="3"/>
  <c r="X519" i="3"/>
  <c r="W519" i="3"/>
  <c r="V519" i="3"/>
  <c r="Y518" i="3"/>
  <c r="X518" i="3"/>
  <c r="W518" i="3"/>
  <c r="V518" i="3"/>
  <c r="Y517" i="3"/>
  <c r="X517" i="3"/>
  <c r="W517" i="3"/>
  <c r="V517" i="3"/>
  <c r="Y516" i="3"/>
  <c r="X516" i="3"/>
  <c r="W516" i="3"/>
  <c r="V516" i="3"/>
  <c r="Y515" i="3"/>
  <c r="X515" i="3"/>
  <c r="W515" i="3"/>
  <c r="V515" i="3"/>
  <c r="Y514" i="3"/>
  <c r="X514" i="3"/>
  <c r="W514" i="3"/>
  <c r="V514" i="3"/>
  <c r="Y513" i="3"/>
  <c r="X513" i="3"/>
  <c r="W513" i="3"/>
  <c r="V513" i="3"/>
  <c r="Y512" i="3"/>
  <c r="X512" i="3"/>
  <c r="W512" i="3"/>
  <c r="V512" i="3"/>
  <c r="Y511" i="3"/>
  <c r="X511" i="3"/>
  <c r="W511" i="3"/>
  <c r="V511" i="3"/>
  <c r="Y510" i="3"/>
  <c r="X510" i="3"/>
  <c r="W510" i="3"/>
  <c r="V510" i="3"/>
  <c r="Y509" i="3"/>
  <c r="X509" i="3"/>
  <c r="W509" i="3"/>
  <c r="V509" i="3"/>
  <c r="Y508" i="3"/>
  <c r="X508" i="3"/>
  <c r="W508" i="3"/>
  <c r="V508" i="3"/>
  <c r="Y507" i="3"/>
  <c r="X507" i="3"/>
  <c r="W507" i="3"/>
  <c r="V507" i="3"/>
  <c r="Y506" i="3"/>
  <c r="X506" i="3"/>
  <c r="W506" i="3"/>
  <c r="V506" i="3"/>
  <c r="Y505" i="3"/>
  <c r="X505" i="3"/>
  <c r="W505" i="3"/>
  <c r="V505" i="3"/>
  <c r="Y504" i="3"/>
  <c r="X504" i="3"/>
  <c r="W504" i="3"/>
  <c r="V504" i="3"/>
  <c r="Y503" i="3"/>
  <c r="X503" i="3"/>
  <c r="W503" i="3"/>
  <c r="V503" i="3"/>
  <c r="Y502" i="3"/>
  <c r="X502" i="3"/>
  <c r="W502" i="3"/>
  <c r="V502" i="3"/>
  <c r="Y501" i="3"/>
  <c r="X501" i="3"/>
  <c r="W501" i="3"/>
  <c r="V501" i="3"/>
  <c r="Y500" i="3"/>
  <c r="X500" i="3"/>
  <c r="W500" i="3"/>
  <c r="V500" i="3"/>
  <c r="Y499" i="3"/>
  <c r="X499" i="3"/>
  <c r="W499" i="3"/>
  <c r="V499" i="3"/>
  <c r="Y498" i="3"/>
  <c r="X498" i="3"/>
  <c r="W498" i="3"/>
  <c r="V498" i="3"/>
  <c r="Y497" i="3"/>
  <c r="X497" i="3"/>
  <c r="W497" i="3"/>
  <c r="V497" i="3"/>
  <c r="Y496" i="3"/>
  <c r="X496" i="3"/>
  <c r="W496" i="3"/>
  <c r="V496" i="3"/>
  <c r="Y495" i="3"/>
  <c r="X495" i="3"/>
  <c r="W495" i="3"/>
  <c r="V495" i="3"/>
  <c r="Y494" i="3"/>
  <c r="X494" i="3"/>
  <c r="W494" i="3"/>
  <c r="V494" i="3"/>
  <c r="Y493" i="3"/>
  <c r="X493" i="3"/>
  <c r="W493" i="3"/>
  <c r="V493" i="3"/>
  <c r="Y492" i="3"/>
  <c r="X492" i="3"/>
  <c r="W492" i="3"/>
  <c r="V492" i="3"/>
  <c r="Y491" i="3"/>
  <c r="X491" i="3"/>
  <c r="W491" i="3"/>
  <c r="V491" i="3"/>
  <c r="Y490" i="3"/>
  <c r="X490" i="3"/>
  <c r="W490" i="3"/>
  <c r="V490" i="3"/>
  <c r="Y489" i="3"/>
  <c r="X489" i="3"/>
  <c r="W489" i="3"/>
  <c r="V489" i="3"/>
  <c r="Y488" i="3"/>
  <c r="X488" i="3"/>
  <c r="W488" i="3"/>
  <c r="V488" i="3"/>
  <c r="Y487" i="3"/>
  <c r="X487" i="3"/>
  <c r="W487" i="3"/>
  <c r="V487" i="3"/>
  <c r="Y486" i="3"/>
  <c r="X486" i="3"/>
  <c r="W486" i="3"/>
  <c r="V486" i="3"/>
  <c r="Y485" i="3"/>
  <c r="X485" i="3"/>
  <c r="W485" i="3"/>
  <c r="V485" i="3"/>
  <c r="Y484" i="3"/>
  <c r="X484" i="3"/>
  <c r="W484" i="3"/>
  <c r="V484" i="3"/>
  <c r="Y483" i="3"/>
  <c r="X483" i="3"/>
  <c r="W483" i="3"/>
  <c r="V483" i="3"/>
  <c r="Y482" i="3"/>
  <c r="X482" i="3"/>
  <c r="W482" i="3"/>
  <c r="V482" i="3"/>
  <c r="Y481" i="3"/>
  <c r="X481" i="3"/>
  <c r="W481" i="3"/>
  <c r="V481" i="3"/>
  <c r="Y480" i="3"/>
  <c r="X480" i="3"/>
  <c r="W480" i="3"/>
  <c r="V480" i="3"/>
  <c r="Y479" i="3"/>
  <c r="X479" i="3"/>
  <c r="W479" i="3"/>
  <c r="V479" i="3"/>
  <c r="Y478" i="3"/>
  <c r="X478" i="3"/>
  <c r="W478" i="3"/>
  <c r="V478" i="3"/>
  <c r="Y477" i="3"/>
  <c r="X477" i="3"/>
  <c r="W477" i="3"/>
  <c r="V477" i="3"/>
  <c r="Y476" i="3"/>
  <c r="X476" i="3"/>
  <c r="W476" i="3"/>
  <c r="V476" i="3"/>
  <c r="Y475" i="3"/>
  <c r="X475" i="3"/>
  <c r="W475" i="3"/>
  <c r="V475" i="3"/>
  <c r="Y474" i="3"/>
  <c r="X474" i="3"/>
  <c r="W474" i="3"/>
  <c r="V474" i="3"/>
  <c r="Y473" i="3"/>
  <c r="X473" i="3"/>
  <c r="W473" i="3"/>
  <c r="V473" i="3"/>
  <c r="Y472" i="3"/>
  <c r="X472" i="3"/>
  <c r="W472" i="3"/>
  <c r="V472" i="3"/>
  <c r="Y471" i="3"/>
  <c r="X471" i="3"/>
  <c r="W471" i="3"/>
  <c r="V471" i="3"/>
  <c r="Y470" i="3"/>
  <c r="X470" i="3"/>
  <c r="W470" i="3"/>
  <c r="V470" i="3"/>
  <c r="Y469" i="3"/>
  <c r="X469" i="3"/>
  <c r="W469" i="3"/>
  <c r="V469" i="3"/>
  <c r="Y468" i="3"/>
  <c r="X468" i="3"/>
  <c r="W468" i="3"/>
  <c r="V468" i="3"/>
  <c r="Y467" i="3"/>
  <c r="X467" i="3"/>
  <c r="W467" i="3"/>
  <c r="V467" i="3"/>
  <c r="Y466" i="3"/>
  <c r="X466" i="3"/>
  <c r="W466" i="3"/>
  <c r="V466" i="3"/>
  <c r="Y465" i="3"/>
  <c r="X465" i="3"/>
  <c r="W465" i="3"/>
  <c r="V465" i="3"/>
  <c r="Y464" i="3"/>
  <c r="X464" i="3"/>
  <c r="W464" i="3"/>
  <c r="V464" i="3"/>
  <c r="Y463" i="3"/>
  <c r="X463" i="3"/>
  <c r="W463" i="3"/>
  <c r="V463" i="3"/>
  <c r="Y462" i="3"/>
  <c r="X462" i="3"/>
  <c r="W462" i="3"/>
  <c r="V462" i="3"/>
  <c r="Y461" i="3"/>
  <c r="X461" i="3"/>
  <c r="W461" i="3"/>
  <c r="V461" i="3"/>
  <c r="Y460" i="3"/>
  <c r="X460" i="3"/>
  <c r="W460" i="3"/>
  <c r="V460" i="3"/>
  <c r="Y459" i="3"/>
  <c r="X459" i="3"/>
  <c r="W459" i="3"/>
  <c r="V459" i="3"/>
  <c r="Y458" i="3"/>
  <c r="X458" i="3"/>
  <c r="W458" i="3"/>
  <c r="V458" i="3"/>
  <c r="Y457" i="3"/>
  <c r="X457" i="3"/>
  <c r="W457" i="3"/>
  <c r="V457" i="3"/>
  <c r="Y456" i="3"/>
  <c r="X456" i="3"/>
  <c r="W456" i="3"/>
  <c r="V456" i="3"/>
  <c r="Y455" i="3"/>
  <c r="X455" i="3"/>
  <c r="W455" i="3"/>
  <c r="V455" i="3"/>
  <c r="Y454" i="3"/>
  <c r="X454" i="3"/>
  <c r="W454" i="3"/>
  <c r="V454" i="3"/>
  <c r="Y453" i="3"/>
  <c r="X453" i="3"/>
  <c r="W453" i="3"/>
  <c r="V453" i="3"/>
  <c r="Y452" i="3"/>
  <c r="X452" i="3"/>
  <c r="W452" i="3"/>
  <c r="V452" i="3"/>
  <c r="Y451" i="3"/>
  <c r="X451" i="3"/>
  <c r="W451" i="3"/>
  <c r="V451" i="3"/>
  <c r="Y450" i="3"/>
  <c r="X450" i="3"/>
  <c r="W450" i="3"/>
  <c r="V450" i="3"/>
  <c r="Y449" i="3"/>
  <c r="X449" i="3"/>
  <c r="W449" i="3"/>
  <c r="V449" i="3"/>
  <c r="Y448" i="3"/>
  <c r="X448" i="3"/>
  <c r="W448" i="3"/>
  <c r="V448" i="3"/>
  <c r="Y447" i="3"/>
  <c r="X447" i="3"/>
  <c r="W447" i="3"/>
  <c r="V447" i="3"/>
  <c r="Y446" i="3"/>
  <c r="X446" i="3"/>
  <c r="W446" i="3"/>
  <c r="V446" i="3"/>
  <c r="Y445" i="3"/>
  <c r="X445" i="3"/>
  <c r="W445" i="3"/>
  <c r="V445" i="3"/>
  <c r="Y444" i="3"/>
  <c r="X444" i="3"/>
  <c r="W444" i="3"/>
  <c r="V444" i="3"/>
  <c r="Y443" i="3"/>
  <c r="X443" i="3"/>
  <c r="W443" i="3"/>
  <c r="V443" i="3"/>
  <c r="Y442" i="3"/>
  <c r="X442" i="3"/>
  <c r="W442" i="3"/>
  <c r="V442" i="3"/>
  <c r="Y441" i="3"/>
  <c r="X441" i="3"/>
  <c r="W441" i="3"/>
  <c r="V441" i="3"/>
  <c r="Y440" i="3"/>
  <c r="X440" i="3"/>
  <c r="W440" i="3"/>
  <c r="V440" i="3"/>
  <c r="Y439" i="3"/>
  <c r="X439" i="3"/>
  <c r="W439" i="3"/>
  <c r="V439" i="3"/>
  <c r="Y438" i="3"/>
  <c r="X438" i="3"/>
  <c r="W438" i="3"/>
  <c r="V438" i="3"/>
  <c r="Y437" i="3"/>
  <c r="X437" i="3"/>
  <c r="W437" i="3"/>
  <c r="V437" i="3"/>
  <c r="Y436" i="3"/>
  <c r="X436" i="3"/>
  <c r="W436" i="3"/>
  <c r="V436" i="3"/>
  <c r="Y435" i="3"/>
  <c r="X435" i="3"/>
  <c r="W435" i="3"/>
  <c r="V435" i="3"/>
  <c r="Y434" i="3"/>
  <c r="X434" i="3"/>
  <c r="W434" i="3"/>
  <c r="V434" i="3"/>
  <c r="Y433" i="3"/>
  <c r="X433" i="3"/>
  <c r="W433" i="3"/>
  <c r="V433" i="3"/>
  <c r="Y432" i="3"/>
  <c r="X432" i="3"/>
  <c r="W432" i="3"/>
  <c r="V432" i="3"/>
  <c r="Y431" i="3"/>
  <c r="X431" i="3"/>
  <c r="W431" i="3"/>
  <c r="V431" i="3"/>
  <c r="Y430" i="3"/>
  <c r="X430" i="3"/>
  <c r="W430" i="3"/>
  <c r="V430" i="3"/>
  <c r="Y429" i="3"/>
  <c r="X429" i="3"/>
  <c r="W429" i="3"/>
  <c r="V429" i="3"/>
  <c r="Y428" i="3"/>
  <c r="X428" i="3"/>
  <c r="W428" i="3"/>
  <c r="V428" i="3"/>
  <c r="Y427" i="3"/>
  <c r="X427" i="3"/>
  <c r="W427" i="3"/>
  <c r="V427" i="3"/>
  <c r="Y426" i="3"/>
  <c r="X426" i="3"/>
  <c r="W426" i="3"/>
  <c r="V426" i="3"/>
  <c r="Y425" i="3"/>
  <c r="X425" i="3"/>
  <c r="W425" i="3"/>
  <c r="V425" i="3"/>
  <c r="Y424" i="3"/>
  <c r="X424" i="3"/>
  <c r="W424" i="3"/>
  <c r="V424" i="3"/>
  <c r="Y423" i="3"/>
  <c r="X423" i="3"/>
  <c r="W423" i="3"/>
  <c r="V423" i="3"/>
  <c r="Y422" i="3"/>
  <c r="X422" i="3"/>
  <c r="W422" i="3"/>
  <c r="V422" i="3"/>
  <c r="Y421" i="3"/>
  <c r="X421" i="3"/>
  <c r="W421" i="3"/>
  <c r="V421" i="3"/>
  <c r="Y420" i="3"/>
  <c r="X420" i="3"/>
  <c r="W420" i="3"/>
  <c r="V420" i="3"/>
  <c r="Y419" i="3"/>
  <c r="X419" i="3"/>
  <c r="W419" i="3"/>
  <c r="V419" i="3"/>
  <c r="Y418" i="3"/>
  <c r="X418" i="3"/>
  <c r="W418" i="3"/>
  <c r="V418" i="3"/>
  <c r="Y417" i="3"/>
  <c r="X417" i="3"/>
  <c r="W417" i="3"/>
  <c r="V417" i="3"/>
  <c r="Y416" i="3"/>
  <c r="X416" i="3"/>
  <c r="W416" i="3"/>
  <c r="V416" i="3"/>
  <c r="Y415" i="3"/>
  <c r="X415" i="3"/>
  <c r="W415" i="3"/>
  <c r="V415" i="3"/>
  <c r="Y414" i="3"/>
  <c r="X414" i="3"/>
  <c r="W414" i="3"/>
  <c r="V414" i="3"/>
  <c r="Y413" i="3"/>
  <c r="X413" i="3"/>
  <c r="W413" i="3"/>
  <c r="V413" i="3"/>
  <c r="Y412" i="3"/>
  <c r="X412" i="3"/>
  <c r="W412" i="3"/>
  <c r="V412" i="3"/>
  <c r="Y411" i="3"/>
  <c r="X411" i="3"/>
  <c r="W411" i="3"/>
  <c r="V411" i="3"/>
  <c r="Y410" i="3"/>
  <c r="X410" i="3"/>
  <c r="W410" i="3"/>
  <c r="V410" i="3"/>
  <c r="Y409" i="3"/>
  <c r="X409" i="3"/>
  <c r="W409" i="3"/>
  <c r="V409" i="3"/>
  <c r="Y408" i="3"/>
  <c r="X408" i="3"/>
  <c r="W408" i="3"/>
  <c r="V408" i="3"/>
  <c r="Y407" i="3"/>
  <c r="X407" i="3"/>
  <c r="W407" i="3"/>
  <c r="V407" i="3"/>
  <c r="Y406" i="3"/>
  <c r="X406" i="3"/>
  <c r="W406" i="3"/>
  <c r="V406" i="3"/>
  <c r="Y405" i="3"/>
  <c r="X405" i="3"/>
  <c r="W405" i="3"/>
  <c r="V405" i="3"/>
  <c r="Y404" i="3"/>
  <c r="X404" i="3"/>
  <c r="W404" i="3"/>
  <c r="V404" i="3"/>
  <c r="Y403" i="3"/>
  <c r="X403" i="3"/>
  <c r="W403" i="3"/>
  <c r="V403" i="3"/>
  <c r="Y402" i="3"/>
  <c r="X402" i="3"/>
  <c r="W402" i="3"/>
  <c r="V402" i="3"/>
  <c r="Y401" i="3"/>
  <c r="X401" i="3"/>
  <c r="W401" i="3"/>
  <c r="V401" i="3"/>
  <c r="Y400" i="3"/>
  <c r="X400" i="3"/>
  <c r="W400" i="3"/>
  <c r="V400" i="3"/>
  <c r="Y399" i="3"/>
  <c r="X399" i="3"/>
  <c r="W399" i="3"/>
  <c r="V399" i="3"/>
  <c r="Y398" i="3"/>
  <c r="X398" i="3"/>
  <c r="W398" i="3"/>
  <c r="V398" i="3"/>
  <c r="Y397" i="3"/>
  <c r="X397" i="3"/>
  <c r="W397" i="3"/>
  <c r="V397" i="3"/>
  <c r="Y396" i="3"/>
  <c r="X396" i="3"/>
  <c r="W396" i="3"/>
  <c r="V396" i="3"/>
  <c r="Y395" i="3"/>
  <c r="X395" i="3"/>
  <c r="W395" i="3"/>
  <c r="V395" i="3"/>
  <c r="Y394" i="3"/>
  <c r="X394" i="3"/>
  <c r="W394" i="3"/>
  <c r="V394" i="3"/>
  <c r="Y393" i="3"/>
  <c r="X393" i="3"/>
  <c r="W393" i="3"/>
  <c r="V393" i="3"/>
  <c r="Y392" i="3"/>
  <c r="X392" i="3"/>
  <c r="W392" i="3"/>
  <c r="V392" i="3"/>
  <c r="Y391" i="3"/>
  <c r="X391" i="3"/>
  <c r="W391" i="3"/>
  <c r="V391" i="3"/>
  <c r="Y390" i="3"/>
  <c r="X390" i="3"/>
  <c r="W390" i="3"/>
  <c r="V390" i="3"/>
  <c r="Y389" i="3"/>
  <c r="X389" i="3"/>
  <c r="W389" i="3"/>
  <c r="V389" i="3"/>
  <c r="Y388" i="3"/>
  <c r="X388" i="3"/>
  <c r="W388" i="3"/>
  <c r="V388" i="3"/>
  <c r="Y387" i="3"/>
  <c r="X387" i="3"/>
  <c r="W387" i="3"/>
  <c r="V387" i="3"/>
  <c r="Y386" i="3"/>
  <c r="X386" i="3"/>
  <c r="W386" i="3"/>
  <c r="V386" i="3"/>
  <c r="Y385" i="3"/>
  <c r="X385" i="3"/>
  <c r="W385" i="3"/>
  <c r="V385" i="3"/>
  <c r="Y384" i="3"/>
  <c r="X384" i="3"/>
  <c r="W384" i="3"/>
  <c r="V384" i="3"/>
  <c r="Y383" i="3"/>
  <c r="X383" i="3"/>
  <c r="W383" i="3"/>
  <c r="V383" i="3"/>
  <c r="Y382" i="3"/>
  <c r="X382" i="3"/>
  <c r="W382" i="3"/>
  <c r="V382" i="3"/>
  <c r="Y381" i="3"/>
  <c r="X381" i="3"/>
  <c r="W381" i="3"/>
  <c r="V381" i="3"/>
  <c r="Y380" i="3"/>
  <c r="X380" i="3"/>
  <c r="W380" i="3"/>
  <c r="V380" i="3"/>
  <c r="Y379" i="3"/>
  <c r="X379" i="3"/>
  <c r="W379" i="3"/>
  <c r="V379" i="3"/>
  <c r="Y378" i="3"/>
  <c r="X378" i="3"/>
  <c r="W378" i="3"/>
  <c r="V378" i="3"/>
  <c r="Y377" i="3"/>
  <c r="X377" i="3"/>
  <c r="W377" i="3"/>
  <c r="V377" i="3"/>
  <c r="Y376" i="3"/>
  <c r="X376" i="3"/>
  <c r="W376" i="3"/>
  <c r="V376" i="3"/>
  <c r="Y375" i="3"/>
  <c r="X375" i="3"/>
  <c r="W375" i="3"/>
  <c r="V375" i="3"/>
  <c r="Y374" i="3"/>
  <c r="X374" i="3"/>
  <c r="W374" i="3"/>
  <c r="V374" i="3"/>
  <c r="Y373" i="3"/>
  <c r="X373" i="3"/>
  <c r="W373" i="3"/>
  <c r="V373" i="3"/>
  <c r="Y372" i="3"/>
  <c r="X372" i="3"/>
  <c r="W372" i="3"/>
  <c r="V372" i="3"/>
  <c r="Y371" i="3"/>
  <c r="X371" i="3"/>
  <c r="W371" i="3"/>
  <c r="V371" i="3"/>
  <c r="Y370" i="3"/>
  <c r="X370" i="3"/>
  <c r="W370" i="3"/>
  <c r="V370" i="3"/>
  <c r="Y369" i="3"/>
  <c r="X369" i="3"/>
  <c r="W369" i="3"/>
  <c r="V369" i="3"/>
  <c r="Y368" i="3"/>
  <c r="X368" i="3"/>
  <c r="W368" i="3"/>
  <c r="V368" i="3"/>
  <c r="Y367" i="3"/>
  <c r="X367" i="3"/>
  <c r="W367" i="3"/>
  <c r="V367" i="3"/>
  <c r="Y366" i="3"/>
  <c r="X366" i="3"/>
  <c r="W366" i="3"/>
  <c r="V366" i="3"/>
  <c r="Y365" i="3"/>
  <c r="X365" i="3"/>
  <c r="W365" i="3"/>
  <c r="V365" i="3"/>
  <c r="Y364" i="3"/>
  <c r="X364" i="3"/>
  <c r="W364" i="3"/>
  <c r="V364" i="3"/>
  <c r="Y363" i="3"/>
  <c r="X363" i="3"/>
  <c r="W363" i="3"/>
  <c r="V363" i="3"/>
  <c r="Y362" i="3"/>
  <c r="X362" i="3"/>
  <c r="W362" i="3"/>
  <c r="V362" i="3"/>
  <c r="Y361" i="3"/>
  <c r="X361" i="3"/>
  <c r="W361" i="3"/>
  <c r="V361" i="3"/>
  <c r="Y360" i="3"/>
  <c r="X360" i="3"/>
  <c r="W360" i="3"/>
  <c r="V360" i="3"/>
  <c r="Y359" i="3"/>
  <c r="X359" i="3"/>
  <c r="W359" i="3"/>
  <c r="V359" i="3"/>
  <c r="Y358" i="3"/>
  <c r="X358" i="3"/>
  <c r="W358" i="3"/>
  <c r="V358" i="3"/>
  <c r="Y357" i="3"/>
  <c r="X357" i="3"/>
  <c r="W357" i="3"/>
  <c r="V357" i="3"/>
  <c r="Y356" i="3"/>
  <c r="X356" i="3"/>
  <c r="W356" i="3"/>
  <c r="V356" i="3"/>
  <c r="Y355" i="3"/>
  <c r="X355" i="3"/>
  <c r="W355" i="3"/>
  <c r="V355" i="3"/>
  <c r="Y354" i="3"/>
  <c r="X354" i="3"/>
  <c r="W354" i="3"/>
  <c r="V354" i="3"/>
  <c r="Y353" i="3"/>
  <c r="X353" i="3"/>
  <c r="W353" i="3"/>
  <c r="V353" i="3"/>
  <c r="Y352" i="3"/>
  <c r="X352" i="3"/>
  <c r="W352" i="3"/>
  <c r="V352" i="3"/>
  <c r="Y351" i="3"/>
  <c r="X351" i="3"/>
  <c r="W351" i="3"/>
  <c r="V351" i="3"/>
  <c r="Y350" i="3"/>
  <c r="X350" i="3"/>
  <c r="W350" i="3"/>
  <c r="V350" i="3"/>
  <c r="Y349" i="3"/>
  <c r="X349" i="3"/>
  <c r="W349" i="3"/>
  <c r="V349" i="3"/>
  <c r="Y348" i="3"/>
  <c r="X348" i="3"/>
  <c r="W348" i="3"/>
  <c r="V348" i="3"/>
  <c r="Y347" i="3"/>
  <c r="X347" i="3"/>
  <c r="W347" i="3"/>
  <c r="V347" i="3"/>
  <c r="Y346" i="3"/>
  <c r="X346" i="3"/>
  <c r="W346" i="3"/>
  <c r="V346" i="3"/>
  <c r="Y345" i="3"/>
  <c r="X345" i="3"/>
  <c r="W345" i="3"/>
  <c r="V345" i="3"/>
  <c r="Y344" i="3"/>
  <c r="X344" i="3"/>
  <c r="W344" i="3"/>
  <c r="V344" i="3"/>
  <c r="Y343" i="3"/>
  <c r="X343" i="3"/>
  <c r="W343" i="3"/>
  <c r="V343" i="3"/>
  <c r="Y342" i="3"/>
  <c r="X342" i="3"/>
  <c r="W342" i="3"/>
  <c r="V342" i="3"/>
  <c r="Y341" i="3"/>
  <c r="X341" i="3"/>
  <c r="W341" i="3"/>
  <c r="V341" i="3"/>
  <c r="Y340" i="3"/>
  <c r="X340" i="3"/>
  <c r="W340" i="3"/>
  <c r="V340" i="3"/>
  <c r="Y339" i="3"/>
  <c r="X339" i="3"/>
  <c r="W339" i="3"/>
  <c r="V339" i="3"/>
  <c r="Y338" i="3"/>
  <c r="X338" i="3"/>
  <c r="W338" i="3"/>
  <c r="V338" i="3"/>
  <c r="Y337" i="3"/>
  <c r="X337" i="3"/>
  <c r="W337" i="3"/>
  <c r="V337" i="3"/>
  <c r="Y336" i="3"/>
  <c r="X336" i="3"/>
  <c r="W336" i="3"/>
  <c r="V336" i="3"/>
  <c r="Y335" i="3"/>
  <c r="X335" i="3"/>
  <c r="W335" i="3"/>
  <c r="V335" i="3"/>
  <c r="Y334" i="3"/>
  <c r="X334" i="3"/>
  <c r="W334" i="3"/>
  <c r="V334" i="3"/>
  <c r="Y333" i="3"/>
  <c r="X333" i="3"/>
  <c r="W333" i="3"/>
  <c r="V333" i="3"/>
  <c r="Y332" i="3"/>
  <c r="X332" i="3"/>
  <c r="W332" i="3"/>
  <c r="V332" i="3"/>
  <c r="Y331" i="3"/>
  <c r="X331" i="3"/>
  <c r="W331" i="3"/>
  <c r="V331" i="3"/>
  <c r="Y330" i="3"/>
  <c r="X330" i="3"/>
  <c r="W330" i="3"/>
  <c r="V330" i="3"/>
  <c r="Y329" i="3"/>
  <c r="X329" i="3"/>
  <c r="W329" i="3"/>
  <c r="V329" i="3"/>
  <c r="Y328" i="3"/>
  <c r="X328" i="3"/>
  <c r="W328" i="3"/>
  <c r="V328" i="3"/>
  <c r="Y327" i="3"/>
  <c r="X327" i="3"/>
  <c r="W327" i="3"/>
  <c r="V327" i="3"/>
  <c r="Y326" i="3"/>
  <c r="X326" i="3"/>
  <c r="W326" i="3"/>
  <c r="V326" i="3"/>
  <c r="Y325" i="3"/>
  <c r="X325" i="3"/>
  <c r="W325" i="3"/>
  <c r="V325" i="3"/>
  <c r="Y324" i="3"/>
  <c r="X324" i="3"/>
  <c r="W324" i="3"/>
  <c r="V324" i="3"/>
  <c r="Y323" i="3"/>
  <c r="X323" i="3"/>
  <c r="W323" i="3"/>
  <c r="V323" i="3"/>
  <c r="Y322" i="3"/>
  <c r="X322" i="3"/>
  <c r="W322" i="3"/>
  <c r="V322" i="3"/>
  <c r="Y321" i="3"/>
  <c r="X321" i="3"/>
  <c r="W321" i="3"/>
  <c r="V321" i="3"/>
  <c r="Y320" i="3"/>
  <c r="X320" i="3"/>
  <c r="W320" i="3"/>
  <c r="V320" i="3"/>
  <c r="Y319" i="3"/>
  <c r="X319" i="3"/>
  <c r="W319" i="3"/>
  <c r="V319" i="3"/>
  <c r="Y318" i="3"/>
  <c r="X318" i="3"/>
  <c r="W318" i="3"/>
  <c r="V318" i="3"/>
  <c r="Y317" i="3"/>
  <c r="X317" i="3"/>
  <c r="W317" i="3"/>
  <c r="V317" i="3"/>
  <c r="Y316" i="3"/>
  <c r="X316" i="3"/>
  <c r="W316" i="3"/>
  <c r="V316" i="3"/>
  <c r="Y315" i="3"/>
  <c r="X315" i="3"/>
  <c r="W315" i="3"/>
  <c r="V315" i="3"/>
  <c r="Y314" i="3"/>
  <c r="X314" i="3"/>
  <c r="W314" i="3"/>
  <c r="V314" i="3"/>
  <c r="Y313" i="3"/>
  <c r="X313" i="3"/>
  <c r="W313" i="3"/>
  <c r="V313" i="3"/>
  <c r="Y312" i="3"/>
  <c r="X312" i="3"/>
  <c r="W312" i="3"/>
  <c r="V312" i="3"/>
  <c r="Y311" i="3"/>
  <c r="X311" i="3"/>
  <c r="W311" i="3"/>
  <c r="V311" i="3"/>
  <c r="Y310" i="3"/>
  <c r="X310" i="3"/>
  <c r="W310" i="3"/>
  <c r="V310" i="3"/>
  <c r="Y309" i="3"/>
  <c r="X309" i="3"/>
  <c r="W309" i="3"/>
  <c r="V309" i="3"/>
  <c r="Y308" i="3"/>
  <c r="X308" i="3"/>
  <c r="W308" i="3"/>
  <c r="V308" i="3"/>
  <c r="Y307" i="3"/>
  <c r="X307" i="3"/>
  <c r="W307" i="3"/>
  <c r="V307" i="3"/>
  <c r="Y306" i="3"/>
  <c r="X306" i="3"/>
  <c r="W306" i="3"/>
  <c r="V306" i="3"/>
  <c r="Y305" i="3"/>
  <c r="X305" i="3"/>
  <c r="W305" i="3"/>
  <c r="V305" i="3"/>
  <c r="Y304" i="3"/>
  <c r="X304" i="3"/>
  <c r="W304" i="3"/>
  <c r="V304" i="3"/>
  <c r="Y303" i="3"/>
  <c r="X303" i="3"/>
  <c r="W303" i="3"/>
  <c r="V303" i="3"/>
  <c r="Y302" i="3"/>
  <c r="X302" i="3"/>
  <c r="W302" i="3"/>
  <c r="V302" i="3"/>
  <c r="Y301" i="3"/>
  <c r="X301" i="3"/>
  <c r="W301" i="3"/>
  <c r="V301" i="3"/>
  <c r="Y300" i="3"/>
  <c r="X300" i="3"/>
  <c r="W300" i="3"/>
  <c r="V300" i="3"/>
  <c r="Y299" i="3"/>
  <c r="X299" i="3"/>
  <c r="W299" i="3"/>
  <c r="V299" i="3"/>
  <c r="Y298" i="3"/>
  <c r="X298" i="3"/>
  <c r="W298" i="3"/>
  <c r="V298" i="3"/>
  <c r="Y297" i="3"/>
  <c r="X297" i="3"/>
  <c r="W297" i="3"/>
  <c r="V297" i="3"/>
  <c r="Y296" i="3"/>
  <c r="X296" i="3"/>
  <c r="W296" i="3"/>
  <c r="V296" i="3"/>
  <c r="Y295" i="3"/>
  <c r="X295" i="3"/>
  <c r="W295" i="3"/>
  <c r="V295" i="3"/>
  <c r="Y294" i="3"/>
  <c r="X294" i="3"/>
  <c r="W294" i="3"/>
  <c r="V294" i="3"/>
  <c r="Y293" i="3"/>
  <c r="X293" i="3"/>
  <c r="W293" i="3"/>
  <c r="V293" i="3"/>
  <c r="Y292" i="3"/>
  <c r="X292" i="3"/>
  <c r="W292" i="3"/>
  <c r="V292" i="3"/>
  <c r="Y291" i="3"/>
  <c r="X291" i="3"/>
  <c r="W291" i="3"/>
  <c r="V291" i="3"/>
  <c r="Y290" i="3"/>
  <c r="X290" i="3"/>
  <c r="W290" i="3"/>
  <c r="V290" i="3"/>
  <c r="Y289" i="3"/>
  <c r="X289" i="3"/>
  <c r="W289" i="3"/>
  <c r="V289" i="3"/>
  <c r="Y288" i="3"/>
  <c r="X288" i="3"/>
  <c r="W288" i="3"/>
  <c r="V288" i="3"/>
  <c r="Y287" i="3"/>
  <c r="X287" i="3"/>
  <c r="W287" i="3"/>
  <c r="V287" i="3"/>
  <c r="Y286" i="3"/>
  <c r="X286" i="3"/>
  <c r="W286" i="3"/>
  <c r="V286" i="3"/>
  <c r="Y285" i="3"/>
  <c r="X285" i="3"/>
  <c r="W285" i="3"/>
  <c r="V285" i="3"/>
  <c r="Y284" i="3"/>
  <c r="X284" i="3"/>
  <c r="W284" i="3"/>
  <c r="V284" i="3"/>
  <c r="Y283" i="3"/>
  <c r="X283" i="3"/>
  <c r="W283" i="3"/>
  <c r="V283" i="3"/>
  <c r="Y282" i="3"/>
  <c r="X282" i="3"/>
  <c r="W282" i="3"/>
  <c r="V282" i="3"/>
  <c r="Y281" i="3"/>
  <c r="X281" i="3"/>
  <c r="W281" i="3"/>
  <c r="V281" i="3"/>
  <c r="Y280" i="3"/>
  <c r="X280" i="3"/>
  <c r="W280" i="3"/>
  <c r="V280" i="3"/>
  <c r="Y279" i="3"/>
  <c r="X279" i="3"/>
  <c r="W279" i="3"/>
  <c r="V279" i="3"/>
  <c r="Y278" i="3"/>
  <c r="X278" i="3"/>
  <c r="W278" i="3"/>
  <c r="V278" i="3"/>
  <c r="Y277" i="3"/>
  <c r="X277" i="3"/>
  <c r="W277" i="3"/>
  <c r="V277" i="3"/>
  <c r="Y276" i="3"/>
  <c r="X276" i="3"/>
  <c r="W276" i="3"/>
  <c r="V276" i="3"/>
  <c r="Y275" i="3"/>
  <c r="X275" i="3"/>
  <c r="W275" i="3"/>
  <c r="V275" i="3"/>
  <c r="Y274" i="3"/>
  <c r="X274" i="3"/>
  <c r="W274" i="3"/>
  <c r="V274" i="3"/>
  <c r="Y273" i="3"/>
  <c r="X273" i="3"/>
  <c r="W273" i="3"/>
  <c r="V273" i="3"/>
  <c r="Y272" i="3"/>
  <c r="X272" i="3"/>
  <c r="W272" i="3"/>
  <c r="V272" i="3"/>
  <c r="Y271" i="3"/>
  <c r="X271" i="3"/>
  <c r="W271" i="3"/>
  <c r="V271" i="3"/>
  <c r="Y270" i="3"/>
  <c r="X270" i="3"/>
  <c r="W270" i="3"/>
  <c r="V270" i="3"/>
  <c r="Y269" i="3"/>
  <c r="X269" i="3"/>
  <c r="W269" i="3"/>
  <c r="V269" i="3"/>
  <c r="Y268" i="3"/>
  <c r="X268" i="3"/>
  <c r="W268" i="3"/>
  <c r="V268" i="3"/>
  <c r="Y267" i="3"/>
  <c r="X267" i="3"/>
  <c r="W267" i="3"/>
  <c r="V267" i="3"/>
  <c r="Y266" i="3"/>
  <c r="X266" i="3"/>
  <c r="W266" i="3"/>
  <c r="V266" i="3"/>
  <c r="Y265" i="3"/>
  <c r="X265" i="3"/>
  <c r="W265" i="3"/>
  <c r="V265" i="3"/>
  <c r="Y264" i="3"/>
  <c r="X264" i="3"/>
  <c r="W264" i="3"/>
  <c r="V264" i="3"/>
  <c r="Y263" i="3"/>
  <c r="X263" i="3"/>
  <c r="W263" i="3"/>
  <c r="V263" i="3"/>
  <c r="Y262" i="3"/>
  <c r="X262" i="3"/>
  <c r="W262" i="3"/>
  <c r="V262" i="3"/>
  <c r="Y261" i="3"/>
  <c r="X261" i="3"/>
  <c r="W261" i="3"/>
  <c r="V261" i="3"/>
  <c r="Y260" i="3"/>
  <c r="X260" i="3"/>
  <c r="W260" i="3"/>
  <c r="V260" i="3"/>
  <c r="Y259" i="3"/>
  <c r="X259" i="3"/>
  <c r="W259" i="3"/>
  <c r="V259" i="3"/>
  <c r="Y258" i="3"/>
  <c r="X258" i="3"/>
  <c r="W258" i="3"/>
  <c r="V258" i="3"/>
  <c r="Y257" i="3"/>
  <c r="X257" i="3"/>
  <c r="W257" i="3"/>
  <c r="V257" i="3"/>
  <c r="Y256" i="3"/>
  <c r="X256" i="3"/>
  <c r="W256" i="3"/>
  <c r="V256" i="3"/>
  <c r="Y255" i="3"/>
  <c r="X255" i="3"/>
  <c r="W255" i="3"/>
  <c r="V255" i="3"/>
  <c r="Y254" i="3"/>
  <c r="X254" i="3"/>
  <c r="W254" i="3"/>
  <c r="V254" i="3"/>
  <c r="Y253" i="3"/>
  <c r="X253" i="3"/>
  <c r="W253" i="3"/>
  <c r="V253" i="3"/>
  <c r="Y252" i="3"/>
  <c r="X252" i="3"/>
  <c r="W252" i="3"/>
  <c r="V252" i="3"/>
  <c r="Y251" i="3"/>
  <c r="X251" i="3"/>
  <c r="W251" i="3"/>
  <c r="V251" i="3"/>
  <c r="Y250" i="3"/>
  <c r="X250" i="3"/>
  <c r="W250" i="3"/>
  <c r="V250" i="3"/>
  <c r="Y249" i="3"/>
  <c r="X249" i="3"/>
  <c r="W249" i="3"/>
  <c r="V249" i="3"/>
  <c r="Y248" i="3"/>
  <c r="X248" i="3"/>
  <c r="W248" i="3"/>
  <c r="V248" i="3"/>
  <c r="Y247" i="3"/>
  <c r="X247" i="3"/>
  <c r="W247" i="3"/>
  <c r="V247" i="3"/>
  <c r="Y246" i="3"/>
  <c r="X246" i="3"/>
  <c r="W246" i="3"/>
  <c r="V246" i="3"/>
  <c r="Y245" i="3"/>
  <c r="X245" i="3"/>
  <c r="W245" i="3"/>
  <c r="V245" i="3"/>
  <c r="Y244" i="3"/>
  <c r="X244" i="3"/>
  <c r="W244" i="3"/>
  <c r="V244" i="3"/>
  <c r="Y243" i="3"/>
  <c r="X243" i="3"/>
  <c r="W243" i="3"/>
  <c r="V243" i="3"/>
  <c r="Y242" i="3"/>
  <c r="X242" i="3"/>
  <c r="W242" i="3"/>
  <c r="V242" i="3"/>
  <c r="Y241" i="3"/>
  <c r="X241" i="3"/>
  <c r="W241" i="3"/>
  <c r="V241" i="3"/>
  <c r="Y240" i="3"/>
  <c r="X240" i="3"/>
  <c r="W240" i="3"/>
  <c r="V240" i="3"/>
  <c r="Y239" i="3"/>
  <c r="X239" i="3"/>
  <c r="W239" i="3"/>
  <c r="V239" i="3"/>
  <c r="Y238" i="3"/>
  <c r="X238" i="3"/>
  <c r="W238" i="3"/>
  <c r="V238" i="3"/>
  <c r="Y237" i="3"/>
  <c r="X237" i="3"/>
  <c r="W237" i="3"/>
  <c r="V237" i="3"/>
  <c r="Y236" i="3"/>
  <c r="X236" i="3"/>
  <c r="W236" i="3"/>
  <c r="V236" i="3"/>
  <c r="Y235" i="3"/>
  <c r="X235" i="3"/>
  <c r="W235" i="3"/>
  <c r="V235" i="3"/>
  <c r="Y234" i="3"/>
  <c r="X234" i="3"/>
  <c r="W234" i="3"/>
  <c r="V234" i="3"/>
  <c r="Y233" i="3"/>
  <c r="X233" i="3"/>
  <c r="W233" i="3"/>
  <c r="V233" i="3"/>
  <c r="Y232" i="3"/>
  <c r="X232" i="3"/>
  <c r="W232" i="3"/>
  <c r="V232" i="3"/>
  <c r="Y231" i="3"/>
  <c r="X231" i="3"/>
  <c r="W231" i="3"/>
  <c r="V231" i="3"/>
  <c r="Y230" i="3"/>
  <c r="X230" i="3"/>
  <c r="W230" i="3"/>
  <c r="V230" i="3"/>
  <c r="Y229" i="3"/>
  <c r="X229" i="3"/>
  <c r="W229" i="3"/>
  <c r="V229" i="3"/>
  <c r="Y228" i="3"/>
  <c r="X228" i="3"/>
  <c r="W228" i="3"/>
  <c r="V228" i="3"/>
  <c r="Y227" i="3"/>
  <c r="X227" i="3"/>
  <c r="W227" i="3"/>
  <c r="V227" i="3"/>
  <c r="Y226" i="3"/>
  <c r="X226" i="3"/>
  <c r="W226" i="3"/>
  <c r="V226" i="3"/>
  <c r="Y225" i="3"/>
  <c r="X225" i="3"/>
  <c r="W225" i="3"/>
  <c r="V225" i="3"/>
  <c r="Y224" i="3"/>
  <c r="X224" i="3"/>
  <c r="W224" i="3"/>
  <c r="V224" i="3"/>
  <c r="Y223" i="3"/>
  <c r="X223" i="3"/>
  <c r="W223" i="3"/>
  <c r="V223" i="3"/>
  <c r="Y222" i="3"/>
  <c r="X222" i="3"/>
  <c r="W222" i="3"/>
  <c r="V222" i="3"/>
  <c r="Y221" i="3"/>
  <c r="X221" i="3"/>
  <c r="W221" i="3"/>
  <c r="V221" i="3"/>
  <c r="Y220" i="3"/>
  <c r="X220" i="3"/>
  <c r="W220" i="3"/>
  <c r="V220" i="3"/>
  <c r="Y219" i="3"/>
  <c r="X219" i="3"/>
  <c r="W219" i="3"/>
  <c r="V219" i="3"/>
  <c r="Y218" i="3"/>
  <c r="X218" i="3"/>
  <c r="W218" i="3"/>
  <c r="V218" i="3"/>
  <c r="Y217" i="3"/>
  <c r="X217" i="3"/>
  <c r="W217" i="3"/>
  <c r="V217" i="3"/>
  <c r="Y216" i="3"/>
  <c r="X216" i="3"/>
  <c r="W216" i="3"/>
  <c r="V216" i="3"/>
  <c r="Y215" i="3"/>
  <c r="X215" i="3"/>
  <c r="W215" i="3"/>
  <c r="V215" i="3"/>
  <c r="Y214" i="3"/>
  <c r="X214" i="3"/>
  <c r="W214" i="3"/>
  <c r="V214" i="3"/>
  <c r="Y213" i="3"/>
  <c r="X213" i="3"/>
  <c r="W213" i="3"/>
  <c r="V213" i="3"/>
  <c r="Y212" i="3"/>
  <c r="X212" i="3"/>
  <c r="W212" i="3"/>
  <c r="V212" i="3"/>
  <c r="Y211" i="3"/>
  <c r="X211" i="3"/>
  <c r="W211" i="3"/>
  <c r="V211" i="3"/>
  <c r="Y210" i="3"/>
  <c r="X210" i="3"/>
  <c r="W210" i="3"/>
  <c r="V210" i="3"/>
  <c r="Y209" i="3"/>
  <c r="X209" i="3"/>
  <c r="W209" i="3"/>
  <c r="V209" i="3"/>
  <c r="Y208" i="3"/>
  <c r="X208" i="3"/>
  <c r="W208" i="3"/>
  <c r="V208" i="3"/>
  <c r="Y207" i="3"/>
  <c r="X207" i="3"/>
  <c r="W207" i="3"/>
  <c r="V207" i="3"/>
  <c r="Y206" i="3"/>
  <c r="X206" i="3"/>
  <c r="W206" i="3"/>
  <c r="V206" i="3"/>
  <c r="Y205" i="3"/>
  <c r="X205" i="3"/>
  <c r="W205" i="3"/>
  <c r="V205" i="3"/>
  <c r="Y204" i="3"/>
  <c r="X204" i="3"/>
  <c r="W204" i="3"/>
  <c r="V204" i="3"/>
  <c r="Y203" i="3"/>
  <c r="X203" i="3"/>
  <c r="W203" i="3"/>
  <c r="V203" i="3"/>
  <c r="Y202" i="3"/>
  <c r="X202" i="3"/>
  <c r="W202" i="3"/>
  <c r="V202" i="3"/>
  <c r="Y201" i="3"/>
  <c r="X201" i="3"/>
  <c r="W201" i="3"/>
  <c r="V201" i="3"/>
  <c r="Y200" i="3"/>
  <c r="X200" i="3"/>
  <c r="W200" i="3"/>
  <c r="V200" i="3"/>
  <c r="Y199" i="3"/>
  <c r="X199" i="3"/>
  <c r="W199" i="3"/>
  <c r="V199" i="3"/>
  <c r="Y198" i="3"/>
  <c r="X198" i="3"/>
  <c r="W198" i="3"/>
  <c r="V198" i="3"/>
  <c r="Y197" i="3"/>
  <c r="X197" i="3"/>
  <c r="W197" i="3"/>
  <c r="V197" i="3"/>
  <c r="Y196" i="3"/>
  <c r="X196" i="3"/>
  <c r="W196" i="3"/>
  <c r="V196" i="3"/>
  <c r="Y195" i="3"/>
  <c r="X195" i="3"/>
  <c r="W195" i="3"/>
  <c r="V195" i="3"/>
  <c r="Y194" i="3"/>
  <c r="X194" i="3"/>
  <c r="W194" i="3"/>
  <c r="V194" i="3"/>
  <c r="Y193" i="3"/>
  <c r="X193" i="3"/>
  <c r="W193" i="3"/>
  <c r="V193" i="3"/>
  <c r="Y192" i="3"/>
  <c r="X192" i="3"/>
  <c r="W192" i="3"/>
  <c r="V192" i="3"/>
  <c r="Y191" i="3"/>
  <c r="X191" i="3"/>
  <c r="W191" i="3"/>
  <c r="V191" i="3"/>
  <c r="Y190" i="3"/>
  <c r="X190" i="3"/>
  <c r="W190" i="3"/>
  <c r="V190" i="3"/>
  <c r="Y189" i="3"/>
  <c r="X189" i="3"/>
  <c r="W189" i="3"/>
  <c r="V189" i="3"/>
  <c r="Y188" i="3"/>
  <c r="X188" i="3"/>
  <c r="W188" i="3"/>
  <c r="V188" i="3"/>
  <c r="Y187" i="3"/>
  <c r="X187" i="3"/>
  <c r="W187" i="3"/>
  <c r="V187" i="3"/>
  <c r="Y186" i="3"/>
  <c r="X186" i="3"/>
  <c r="W186" i="3"/>
  <c r="V186" i="3"/>
  <c r="Y185" i="3"/>
  <c r="X185" i="3"/>
  <c r="W185" i="3"/>
  <c r="V185" i="3"/>
  <c r="Y184" i="3"/>
  <c r="X184" i="3"/>
  <c r="W184" i="3"/>
  <c r="V184" i="3"/>
  <c r="Y183" i="3"/>
  <c r="X183" i="3"/>
  <c r="W183" i="3"/>
  <c r="V183" i="3"/>
  <c r="Y182" i="3"/>
  <c r="X182" i="3"/>
  <c r="W182" i="3"/>
  <c r="V182" i="3"/>
  <c r="Y181" i="3"/>
  <c r="X181" i="3"/>
  <c r="W181" i="3"/>
  <c r="V181" i="3"/>
  <c r="Y180" i="3"/>
  <c r="X180" i="3"/>
  <c r="W180" i="3"/>
  <c r="V180" i="3"/>
  <c r="Y179" i="3"/>
  <c r="X179" i="3"/>
  <c r="W179" i="3"/>
  <c r="V179" i="3"/>
  <c r="Y178" i="3"/>
  <c r="X178" i="3"/>
  <c r="W178" i="3"/>
  <c r="V178" i="3"/>
  <c r="Y177" i="3"/>
  <c r="X177" i="3"/>
  <c r="W177" i="3"/>
  <c r="V177" i="3"/>
  <c r="Y176" i="3"/>
  <c r="X176" i="3"/>
  <c r="W176" i="3"/>
  <c r="V176" i="3"/>
  <c r="Y175" i="3"/>
  <c r="X175" i="3"/>
  <c r="W175" i="3"/>
  <c r="V175" i="3"/>
  <c r="Y174" i="3"/>
  <c r="X174" i="3"/>
  <c r="W174" i="3"/>
  <c r="V174" i="3"/>
  <c r="Y173" i="3"/>
  <c r="X173" i="3"/>
  <c r="W173" i="3"/>
  <c r="V173" i="3"/>
  <c r="Y172" i="3"/>
  <c r="X172" i="3"/>
  <c r="W172" i="3"/>
  <c r="V172" i="3"/>
  <c r="Y171" i="3"/>
  <c r="X171" i="3"/>
  <c r="W171" i="3"/>
  <c r="V171" i="3"/>
  <c r="Y170" i="3"/>
  <c r="X170" i="3"/>
  <c r="W170" i="3"/>
  <c r="V170" i="3"/>
  <c r="Y169" i="3"/>
  <c r="X169" i="3"/>
  <c r="W169" i="3"/>
  <c r="V169" i="3"/>
  <c r="Y168" i="3"/>
  <c r="X168" i="3"/>
  <c r="W168" i="3"/>
  <c r="V168" i="3"/>
  <c r="Y167" i="3"/>
  <c r="X167" i="3"/>
  <c r="W167" i="3"/>
  <c r="V167" i="3"/>
  <c r="Y166" i="3"/>
  <c r="X166" i="3"/>
  <c r="W166" i="3"/>
  <c r="V166" i="3"/>
  <c r="Y165" i="3"/>
  <c r="X165" i="3"/>
  <c r="W165" i="3"/>
  <c r="V165" i="3"/>
  <c r="Y164" i="3"/>
  <c r="X164" i="3"/>
  <c r="W164" i="3"/>
  <c r="V164" i="3"/>
  <c r="Y163" i="3"/>
  <c r="X163" i="3"/>
  <c r="W163" i="3"/>
  <c r="V163" i="3"/>
  <c r="Y162" i="3"/>
  <c r="X162" i="3"/>
  <c r="W162" i="3"/>
  <c r="V162" i="3"/>
  <c r="Y161" i="3"/>
  <c r="X161" i="3"/>
  <c r="W161" i="3"/>
  <c r="V161" i="3"/>
  <c r="Y160" i="3"/>
  <c r="X160" i="3"/>
  <c r="W160" i="3"/>
  <c r="V160" i="3"/>
  <c r="Y159" i="3"/>
  <c r="X159" i="3"/>
  <c r="W159" i="3"/>
  <c r="V159" i="3"/>
  <c r="Y158" i="3"/>
  <c r="X158" i="3"/>
  <c r="W158" i="3"/>
  <c r="V158" i="3"/>
  <c r="Y157" i="3"/>
  <c r="X157" i="3"/>
  <c r="W157" i="3"/>
  <c r="V157" i="3"/>
  <c r="Y156" i="3"/>
  <c r="X156" i="3"/>
  <c r="W156" i="3"/>
  <c r="V156" i="3"/>
  <c r="Y155" i="3"/>
  <c r="X155" i="3"/>
  <c r="W155" i="3"/>
  <c r="V155" i="3"/>
  <c r="Y154" i="3"/>
  <c r="X154" i="3"/>
  <c r="W154" i="3"/>
  <c r="V154" i="3"/>
  <c r="Y153" i="3"/>
  <c r="X153" i="3"/>
  <c r="W153" i="3"/>
  <c r="V153" i="3"/>
  <c r="Y152" i="3"/>
  <c r="X152" i="3"/>
  <c r="W152" i="3"/>
  <c r="V152" i="3"/>
  <c r="Y151" i="3"/>
  <c r="X151" i="3"/>
  <c r="W151" i="3"/>
  <c r="V151" i="3"/>
  <c r="Y150" i="3"/>
  <c r="X150" i="3"/>
  <c r="W150" i="3"/>
  <c r="V150" i="3"/>
  <c r="Y149" i="3"/>
  <c r="X149" i="3"/>
  <c r="W149" i="3"/>
  <c r="V149" i="3"/>
  <c r="Y148" i="3"/>
  <c r="X148" i="3"/>
  <c r="W148" i="3"/>
  <c r="V148" i="3"/>
  <c r="Y147" i="3"/>
  <c r="X147" i="3"/>
  <c r="W147" i="3"/>
  <c r="V147" i="3"/>
  <c r="Y146" i="3"/>
  <c r="X146" i="3"/>
  <c r="W146" i="3"/>
  <c r="V146" i="3"/>
  <c r="Y145" i="3"/>
  <c r="X145" i="3"/>
  <c r="W145" i="3"/>
  <c r="V145" i="3"/>
  <c r="Y144" i="3"/>
  <c r="X144" i="3"/>
  <c r="W144" i="3"/>
  <c r="V144" i="3"/>
  <c r="Y143" i="3"/>
  <c r="X143" i="3"/>
  <c r="W143" i="3"/>
  <c r="V143" i="3"/>
  <c r="Y142" i="3"/>
  <c r="X142" i="3"/>
  <c r="W142" i="3"/>
  <c r="V142" i="3"/>
  <c r="Y141" i="3"/>
  <c r="X141" i="3"/>
  <c r="W141" i="3"/>
  <c r="V141" i="3"/>
  <c r="Y140" i="3"/>
  <c r="X140" i="3"/>
  <c r="W140" i="3"/>
  <c r="V140" i="3"/>
  <c r="Y139" i="3"/>
  <c r="X139" i="3"/>
  <c r="W139" i="3"/>
  <c r="V139" i="3"/>
  <c r="Y138" i="3"/>
  <c r="X138" i="3"/>
  <c r="W138" i="3"/>
  <c r="V138" i="3"/>
  <c r="Y137" i="3"/>
  <c r="X137" i="3"/>
  <c r="W137" i="3"/>
  <c r="V137" i="3"/>
  <c r="Y136" i="3"/>
  <c r="X136" i="3"/>
  <c r="W136" i="3"/>
  <c r="V136" i="3"/>
  <c r="Y135" i="3"/>
  <c r="X135" i="3"/>
  <c r="W135" i="3"/>
  <c r="V135" i="3"/>
  <c r="Y134" i="3"/>
  <c r="X134" i="3"/>
  <c r="W134" i="3"/>
  <c r="V134" i="3"/>
  <c r="Y133" i="3"/>
  <c r="X133" i="3"/>
  <c r="W133" i="3"/>
  <c r="V133" i="3"/>
  <c r="Y132" i="3"/>
  <c r="X132" i="3"/>
  <c r="W132" i="3"/>
  <c r="V132" i="3"/>
  <c r="Y131" i="3"/>
  <c r="X131" i="3"/>
  <c r="W131" i="3"/>
  <c r="V131" i="3"/>
  <c r="Y130" i="3"/>
  <c r="X130" i="3"/>
  <c r="W130" i="3"/>
  <c r="V130" i="3"/>
  <c r="Y129" i="3"/>
  <c r="X129" i="3"/>
  <c r="W129" i="3"/>
  <c r="V129" i="3"/>
  <c r="Y128" i="3"/>
  <c r="X128" i="3"/>
  <c r="W128" i="3"/>
  <c r="V128" i="3"/>
  <c r="Y127" i="3"/>
  <c r="X127" i="3"/>
  <c r="W127" i="3"/>
  <c r="V127" i="3"/>
  <c r="Y126" i="3"/>
  <c r="X126" i="3"/>
  <c r="W126" i="3"/>
  <c r="V126" i="3"/>
  <c r="Y125" i="3"/>
  <c r="X125" i="3"/>
  <c r="W125" i="3"/>
  <c r="V125" i="3"/>
  <c r="Y124" i="3"/>
  <c r="X124" i="3"/>
  <c r="W124" i="3"/>
  <c r="V124" i="3"/>
  <c r="Y123" i="3"/>
  <c r="X123" i="3"/>
  <c r="W123" i="3"/>
  <c r="V123" i="3"/>
  <c r="Y122" i="3"/>
  <c r="X122" i="3"/>
  <c r="W122" i="3"/>
  <c r="V122" i="3"/>
  <c r="Y121" i="3"/>
  <c r="X121" i="3"/>
  <c r="W121" i="3"/>
  <c r="V121" i="3"/>
  <c r="Y120" i="3"/>
  <c r="X120" i="3"/>
  <c r="W120" i="3"/>
  <c r="V120" i="3"/>
  <c r="Y119" i="3"/>
  <c r="X119" i="3"/>
  <c r="W119" i="3"/>
  <c r="V119" i="3"/>
  <c r="Y118" i="3"/>
  <c r="X118" i="3"/>
  <c r="W118" i="3"/>
  <c r="V118" i="3"/>
  <c r="Y117" i="3"/>
  <c r="X117" i="3"/>
  <c r="W117" i="3"/>
  <c r="V117" i="3"/>
  <c r="Y116" i="3"/>
  <c r="X116" i="3"/>
  <c r="W116" i="3"/>
  <c r="V116" i="3"/>
  <c r="Y115" i="3"/>
  <c r="X115" i="3"/>
  <c r="W115" i="3"/>
  <c r="V115" i="3"/>
  <c r="Y114" i="3"/>
  <c r="X114" i="3"/>
  <c r="W114" i="3"/>
  <c r="V114" i="3"/>
  <c r="Y113" i="3"/>
  <c r="X113" i="3"/>
  <c r="W113" i="3"/>
  <c r="V113" i="3"/>
  <c r="Y112" i="3"/>
  <c r="X112" i="3"/>
  <c r="W112" i="3"/>
  <c r="V112" i="3"/>
  <c r="Y111" i="3"/>
  <c r="X111" i="3"/>
  <c r="W111" i="3"/>
  <c r="V111" i="3"/>
  <c r="Y110" i="3"/>
  <c r="X110" i="3"/>
  <c r="W110" i="3"/>
  <c r="V110" i="3"/>
  <c r="Y109" i="3"/>
  <c r="X109" i="3"/>
  <c r="W109" i="3"/>
  <c r="V109" i="3"/>
  <c r="Y108" i="3"/>
  <c r="X108" i="3"/>
  <c r="W108" i="3"/>
  <c r="V108" i="3"/>
  <c r="Y107" i="3"/>
  <c r="X107" i="3"/>
  <c r="W107" i="3"/>
  <c r="V107" i="3"/>
  <c r="Y106" i="3"/>
  <c r="X106" i="3"/>
  <c r="W106" i="3"/>
  <c r="V106" i="3"/>
  <c r="Y105" i="3"/>
  <c r="X105" i="3"/>
  <c r="W105" i="3"/>
  <c r="V105" i="3"/>
  <c r="Y104" i="3"/>
  <c r="X104" i="3"/>
  <c r="W104" i="3"/>
  <c r="V104" i="3"/>
  <c r="Y103" i="3"/>
  <c r="X103" i="3"/>
  <c r="W103" i="3"/>
  <c r="V103" i="3"/>
  <c r="Y102" i="3"/>
  <c r="X102" i="3"/>
  <c r="W102" i="3"/>
  <c r="V102" i="3"/>
  <c r="Y101" i="3"/>
  <c r="X101" i="3"/>
  <c r="W101" i="3"/>
  <c r="V101" i="3"/>
  <c r="Y100" i="3"/>
  <c r="X100" i="3"/>
  <c r="W100" i="3"/>
  <c r="V100" i="3"/>
  <c r="Y99" i="3"/>
  <c r="X99" i="3"/>
  <c r="W99" i="3"/>
  <c r="V99" i="3"/>
  <c r="Y98" i="3"/>
  <c r="X98" i="3"/>
  <c r="W98" i="3"/>
  <c r="V98" i="3"/>
  <c r="Y97" i="3"/>
  <c r="X97" i="3"/>
  <c r="W97" i="3"/>
  <c r="V97" i="3"/>
  <c r="Y96" i="3"/>
  <c r="X96" i="3"/>
  <c r="W96" i="3"/>
  <c r="V96" i="3"/>
  <c r="Y95" i="3"/>
  <c r="X95" i="3"/>
  <c r="W95" i="3"/>
  <c r="V95" i="3"/>
  <c r="Y94" i="3"/>
  <c r="X94" i="3"/>
  <c r="W94" i="3"/>
  <c r="V94" i="3"/>
  <c r="Y93" i="3"/>
  <c r="X93" i="3"/>
  <c r="W93" i="3"/>
  <c r="V93" i="3"/>
  <c r="Y92" i="3"/>
  <c r="X92" i="3"/>
  <c r="W92" i="3"/>
  <c r="V92" i="3"/>
  <c r="Y91" i="3"/>
  <c r="X91" i="3"/>
  <c r="W91" i="3"/>
  <c r="V91" i="3"/>
  <c r="Y90" i="3"/>
  <c r="X90" i="3"/>
  <c r="W90" i="3"/>
  <c r="V90" i="3"/>
  <c r="Y89" i="3"/>
  <c r="X89" i="3"/>
  <c r="W89" i="3"/>
  <c r="V89" i="3"/>
  <c r="Y88" i="3"/>
  <c r="X88" i="3"/>
  <c r="W88" i="3"/>
  <c r="V88" i="3"/>
  <c r="Y87" i="3"/>
  <c r="X87" i="3"/>
  <c r="W87" i="3"/>
  <c r="V87" i="3"/>
  <c r="Y86" i="3"/>
  <c r="X86" i="3"/>
  <c r="W86" i="3"/>
  <c r="V86" i="3"/>
  <c r="Y85" i="3"/>
  <c r="X85" i="3"/>
  <c r="W85" i="3"/>
  <c r="V85" i="3"/>
  <c r="Y84" i="3"/>
  <c r="X84" i="3"/>
  <c r="W84" i="3"/>
  <c r="V84" i="3"/>
  <c r="Y83" i="3"/>
  <c r="X83" i="3"/>
  <c r="W83" i="3"/>
  <c r="V83" i="3"/>
  <c r="Y82" i="3"/>
  <c r="X82" i="3"/>
  <c r="W82" i="3"/>
  <c r="V82" i="3"/>
  <c r="Y81" i="3"/>
  <c r="X81" i="3"/>
  <c r="W81" i="3"/>
  <c r="V81" i="3"/>
  <c r="Y80" i="3"/>
  <c r="X80" i="3"/>
  <c r="W80" i="3"/>
  <c r="V80" i="3"/>
  <c r="Y79" i="3"/>
  <c r="X79" i="3"/>
  <c r="W79" i="3"/>
  <c r="V79" i="3"/>
  <c r="Y78" i="3"/>
  <c r="X78" i="3"/>
  <c r="W78" i="3"/>
  <c r="V78" i="3"/>
  <c r="Y77" i="3"/>
  <c r="X77" i="3"/>
  <c r="W77" i="3"/>
  <c r="V77" i="3"/>
  <c r="Y76" i="3"/>
  <c r="X76" i="3"/>
  <c r="W76" i="3"/>
  <c r="V76" i="3"/>
  <c r="Y75" i="3"/>
  <c r="X75" i="3"/>
  <c r="W75" i="3"/>
  <c r="V75" i="3"/>
  <c r="Y74" i="3"/>
  <c r="X74" i="3"/>
  <c r="W74" i="3"/>
  <c r="V74" i="3"/>
  <c r="Y73" i="3"/>
  <c r="X73" i="3"/>
  <c r="W73" i="3"/>
  <c r="V73" i="3"/>
  <c r="Y72" i="3"/>
  <c r="X72" i="3"/>
  <c r="W72" i="3"/>
  <c r="V72" i="3"/>
  <c r="Y71" i="3"/>
  <c r="X71" i="3"/>
  <c r="W71" i="3"/>
  <c r="V71" i="3"/>
  <c r="Y70" i="3"/>
  <c r="X70" i="3"/>
  <c r="W70" i="3"/>
  <c r="V70" i="3"/>
  <c r="Y69" i="3"/>
  <c r="X69" i="3"/>
  <c r="W69" i="3"/>
  <c r="V69" i="3"/>
  <c r="Y68" i="3"/>
  <c r="X68" i="3"/>
  <c r="W68" i="3"/>
  <c r="V68" i="3"/>
  <c r="Y67" i="3"/>
  <c r="X67" i="3"/>
  <c r="W67" i="3"/>
  <c r="V67" i="3"/>
  <c r="Y66" i="3"/>
  <c r="X66" i="3"/>
  <c r="W66" i="3"/>
  <c r="V66" i="3"/>
  <c r="Y65" i="3"/>
  <c r="X65" i="3"/>
  <c r="W65" i="3"/>
  <c r="V65" i="3"/>
  <c r="Y64" i="3"/>
  <c r="X64" i="3"/>
  <c r="W64" i="3"/>
  <c r="V64" i="3"/>
  <c r="Y63" i="3"/>
  <c r="X63" i="3"/>
  <c r="W63" i="3"/>
  <c r="V63" i="3"/>
  <c r="Y62" i="3"/>
  <c r="X62" i="3"/>
  <c r="W62" i="3"/>
  <c r="V62" i="3"/>
  <c r="Y61" i="3"/>
  <c r="X61" i="3"/>
  <c r="W61" i="3"/>
  <c r="V61" i="3"/>
  <c r="Y60" i="3"/>
  <c r="X60" i="3"/>
  <c r="W60" i="3"/>
  <c r="V60" i="3"/>
  <c r="Y59" i="3"/>
  <c r="X59" i="3"/>
  <c r="W59" i="3"/>
  <c r="V59" i="3"/>
  <c r="Y58" i="3"/>
  <c r="X58" i="3"/>
  <c r="W58" i="3"/>
  <c r="V58" i="3"/>
  <c r="Y57" i="3"/>
  <c r="X57" i="3"/>
  <c r="W57" i="3"/>
  <c r="V57" i="3"/>
  <c r="Y56" i="3"/>
  <c r="X56" i="3"/>
  <c r="W56" i="3"/>
  <c r="V56" i="3"/>
  <c r="Y55" i="3"/>
  <c r="X55" i="3"/>
  <c r="W55" i="3"/>
  <c r="V55" i="3"/>
  <c r="Y54" i="3"/>
  <c r="X54" i="3"/>
  <c r="W54" i="3"/>
  <c r="V54" i="3"/>
  <c r="Y53" i="3"/>
  <c r="X53" i="3"/>
  <c r="W53" i="3"/>
  <c r="V53" i="3"/>
  <c r="Y52" i="3"/>
  <c r="X52" i="3"/>
  <c r="W52" i="3"/>
  <c r="V52" i="3"/>
  <c r="Y51" i="3"/>
  <c r="X51" i="3"/>
  <c r="W51" i="3"/>
  <c r="V51" i="3"/>
  <c r="Y50" i="3"/>
  <c r="X50" i="3"/>
  <c r="W50" i="3"/>
  <c r="V50" i="3"/>
  <c r="Y49" i="3"/>
  <c r="X49" i="3"/>
  <c r="W49" i="3"/>
  <c r="V49" i="3"/>
  <c r="Y48" i="3"/>
  <c r="X48" i="3"/>
  <c r="W48" i="3"/>
  <c r="V48" i="3"/>
  <c r="Y47" i="3"/>
  <c r="X47" i="3"/>
  <c r="W47" i="3"/>
  <c r="V47" i="3"/>
  <c r="Y46" i="3"/>
  <c r="X46" i="3"/>
  <c r="W46" i="3"/>
  <c r="V46" i="3"/>
  <c r="Y45" i="3"/>
  <c r="X45" i="3"/>
  <c r="W45" i="3"/>
  <c r="V45" i="3"/>
  <c r="Y44" i="3"/>
  <c r="X44" i="3"/>
  <c r="W44" i="3"/>
  <c r="V44" i="3"/>
  <c r="Y43" i="3"/>
  <c r="X43" i="3"/>
  <c r="W43" i="3"/>
  <c r="V43" i="3"/>
  <c r="Y42" i="3"/>
  <c r="X42" i="3"/>
  <c r="W42" i="3"/>
  <c r="V42" i="3"/>
  <c r="Y41" i="3"/>
  <c r="X41" i="3"/>
  <c r="W41" i="3"/>
  <c r="V41" i="3"/>
  <c r="Y40" i="3"/>
  <c r="X40" i="3"/>
  <c r="W40" i="3"/>
  <c r="V40" i="3"/>
  <c r="Y39" i="3"/>
  <c r="X39" i="3"/>
  <c r="W39" i="3"/>
  <c r="V39" i="3"/>
  <c r="Y38" i="3"/>
  <c r="X38" i="3"/>
  <c r="W38" i="3"/>
  <c r="V38" i="3"/>
  <c r="Y37" i="3"/>
  <c r="X37" i="3"/>
  <c r="W37" i="3"/>
  <c r="V37" i="3"/>
  <c r="Y36" i="3"/>
  <c r="X36" i="3"/>
  <c r="W36" i="3"/>
  <c r="V36" i="3"/>
  <c r="Y35" i="3"/>
  <c r="X35" i="3"/>
  <c r="W35" i="3"/>
  <c r="V35" i="3"/>
  <c r="Y34" i="3"/>
  <c r="X34" i="3"/>
  <c r="W34" i="3"/>
  <c r="V34" i="3"/>
  <c r="Y33" i="3"/>
  <c r="X33" i="3"/>
  <c r="W33" i="3"/>
  <c r="V33" i="3"/>
  <c r="Y32" i="3"/>
  <c r="X32" i="3"/>
  <c r="W32" i="3"/>
  <c r="V32" i="3"/>
  <c r="Y31" i="3"/>
  <c r="X31" i="3"/>
  <c r="W31" i="3"/>
  <c r="V31" i="3"/>
  <c r="Y30" i="3"/>
  <c r="X30" i="3"/>
  <c r="W30" i="3"/>
  <c r="V30" i="3"/>
  <c r="Y29" i="3"/>
  <c r="X29" i="3"/>
  <c r="W29" i="3"/>
  <c r="V29" i="3"/>
  <c r="Y28" i="3"/>
  <c r="X28" i="3"/>
  <c r="W28" i="3"/>
  <c r="V28" i="3"/>
  <c r="Y27" i="3"/>
  <c r="X27" i="3"/>
  <c r="W27" i="3"/>
  <c r="V27" i="3"/>
  <c r="Y26" i="3"/>
  <c r="X26" i="3"/>
  <c r="W26" i="3"/>
  <c r="V26" i="3"/>
  <c r="Y25" i="3"/>
  <c r="X25" i="3"/>
  <c r="W25" i="3"/>
  <c r="V25" i="3"/>
  <c r="Y24" i="3"/>
  <c r="X24" i="3"/>
  <c r="W24" i="3"/>
  <c r="V24" i="3"/>
  <c r="Y23" i="3"/>
  <c r="X23" i="3"/>
  <c r="W23" i="3"/>
  <c r="V23" i="3"/>
  <c r="Y22" i="3"/>
  <c r="X22" i="3"/>
  <c r="W22" i="3"/>
  <c r="V22" i="3"/>
  <c r="Y21" i="3"/>
  <c r="X21" i="3"/>
  <c r="W21" i="3"/>
  <c r="V21" i="3"/>
  <c r="Y20" i="3"/>
  <c r="X20" i="3"/>
  <c r="W20" i="3"/>
  <c r="V20" i="3"/>
  <c r="Y19" i="3"/>
  <c r="X19" i="3"/>
  <c r="W19" i="3"/>
  <c r="V19" i="3"/>
  <c r="Y18" i="3"/>
  <c r="X18" i="3"/>
  <c r="W18" i="3"/>
  <c r="V18" i="3"/>
  <c r="Y17" i="3"/>
  <c r="X17" i="3"/>
  <c r="W17" i="3"/>
  <c r="V17" i="3"/>
  <c r="Y16" i="3"/>
  <c r="X16" i="3"/>
  <c r="W16" i="3"/>
  <c r="V16" i="3"/>
  <c r="Y15" i="3"/>
  <c r="X15" i="3"/>
  <c r="W15" i="3"/>
  <c r="V15" i="3"/>
  <c r="Y14" i="3"/>
  <c r="X14" i="3"/>
  <c r="W14" i="3"/>
  <c r="V14" i="3"/>
  <c r="Y13" i="3"/>
  <c r="X13" i="3"/>
  <c r="W13" i="3"/>
  <c r="V13" i="3"/>
  <c r="Y12" i="3"/>
  <c r="X12" i="3"/>
  <c r="W12" i="3"/>
  <c r="V12" i="3"/>
  <c r="Y11" i="3"/>
  <c r="X11" i="3"/>
  <c r="W11" i="3"/>
  <c r="V11" i="3"/>
  <c r="Y10" i="3"/>
  <c r="X10" i="3"/>
  <c r="W10" i="3"/>
  <c r="V10" i="3"/>
  <c r="Y9" i="3"/>
  <c r="X9" i="3"/>
  <c r="W9" i="3"/>
  <c r="V9" i="3"/>
  <c r="Y8" i="3"/>
  <c r="X8" i="3"/>
  <c r="W8" i="3"/>
  <c r="V8" i="3"/>
  <c r="Y7" i="3"/>
  <c r="X7" i="3"/>
  <c r="W7" i="3"/>
  <c r="V7" i="3"/>
  <c r="Y6" i="3"/>
  <c r="X6" i="3"/>
  <c r="W6" i="3"/>
  <c r="V6" i="3"/>
  <c r="Y5" i="3"/>
  <c r="X5" i="3"/>
  <c r="W5" i="3"/>
  <c r="V5" i="3"/>
  <c r="Y4" i="3"/>
  <c r="X4" i="3"/>
  <c r="W4" i="3"/>
  <c r="V4" i="3"/>
  <c r="Y3" i="3"/>
  <c r="X3" i="3"/>
  <c r="W3" i="3"/>
  <c r="V3" i="3"/>
  <c r="Y2" i="3"/>
  <c r="X2" i="3"/>
  <c r="W2" i="3"/>
  <c r="V2" i="3"/>
</calcChain>
</file>

<file path=xl/sharedStrings.xml><?xml version="1.0" encoding="utf-8"?>
<sst xmlns="http://schemas.openxmlformats.org/spreadsheetml/2006/main" count="24303" uniqueCount="2633">
  <si>
    <t>Case_ID</t>
  </si>
  <si>
    <t>Customer_ID</t>
  </si>
  <si>
    <t>Transaction_ID</t>
  </si>
  <si>
    <t>Date_Raised</t>
  </si>
  <si>
    <t>Payment_Method</t>
  </si>
  <si>
    <t>Dispute_Type</t>
  </si>
  <si>
    <t>Transaction_Amount</t>
  </si>
  <si>
    <t>Merchant_Category</t>
  </si>
  <si>
    <t>Transaction_Status</t>
  </si>
  <si>
    <t>Customer_Claim</t>
  </si>
  <si>
    <t>Evidence_Available</t>
  </si>
  <si>
    <t>Risk_Level</t>
  </si>
  <si>
    <t>Refund_Eligibility</t>
  </si>
  <si>
    <t>Case_Status</t>
  </si>
  <si>
    <t>SLA_Target_Days</t>
  </si>
  <si>
    <t>Actual_Resolution_Days</t>
  </si>
  <si>
    <t>SLA_Breached</t>
  </si>
  <si>
    <t>Assigned_Team</t>
  </si>
  <si>
    <t>Refund_Amount</t>
  </si>
  <si>
    <t>Root_Cause</t>
  </si>
  <si>
    <t>Customer_Sentiment</t>
  </si>
  <si>
    <t>DSP-0001</t>
  </si>
  <si>
    <t>CUST-2824</t>
  </si>
  <si>
    <t>TXN-126225</t>
  </si>
  <si>
    <t>Card</t>
  </si>
  <si>
    <t>Failed Payment</t>
  </si>
  <si>
    <t>Food Delivery</t>
  </si>
  <si>
    <t>Success</t>
  </si>
  <si>
    <t>My payment of £47.54 failed but the money was debited.</t>
  </si>
  <si>
    <t>Yes</t>
  </si>
  <si>
    <t>Medium</t>
  </si>
  <si>
    <t>Manual Review</t>
  </si>
  <si>
    <t>Resolved</t>
  </si>
  <si>
    <t>No</t>
  </si>
  <si>
    <t>Payment Operations</t>
  </si>
  <si>
    <t>System Mapping Error</t>
  </si>
  <si>
    <t>Positive</t>
  </si>
  <si>
    <t>DSP-0002</t>
  </si>
  <si>
    <t>CUST-8359</t>
  </si>
  <si>
    <t>TXN-717889</t>
  </si>
  <si>
    <t>Wallet</t>
  </si>
  <si>
    <t>Travel</t>
  </si>
  <si>
    <t>The transaction failed and I still cannot see my money returned.</t>
  </si>
  <si>
    <t>Bank Reversal Delay</t>
  </si>
  <si>
    <t>DSP-0003</t>
  </si>
  <si>
    <t>CUST-1711</t>
  </si>
  <si>
    <t>TXN-865179</t>
  </si>
  <si>
    <t>Bank Transfer</t>
  </si>
  <si>
    <t>Chargeback Request</t>
  </si>
  <si>
    <t>Transport</t>
  </si>
  <si>
    <t>Failed</t>
  </si>
  <si>
    <t>The service was not provided and I want to raise a chargeback.</t>
  </si>
  <si>
    <t>Customer Evidence Missing</t>
  </si>
  <si>
    <t>Neutral</t>
  </si>
  <si>
    <t>DSP-0004</t>
  </si>
  <si>
    <t>CUST-2654</t>
  </si>
  <si>
    <t>TXN-498591</t>
  </si>
  <si>
    <t>Unauthorised Transaction</t>
  </si>
  <si>
    <t>E-commerce</t>
  </si>
  <si>
    <t>I do not recognise this transaction and did not authorise it.</t>
  </si>
  <si>
    <t>High</t>
  </si>
  <si>
    <t>Fraud Review</t>
  </si>
  <si>
    <t>Manual Follow-up Delay</t>
  </si>
  <si>
    <t>Negative</t>
  </si>
  <si>
    <t>DSP-0005</t>
  </si>
  <si>
    <t>CUST-3677</t>
  </si>
  <si>
    <t>TXN-584714</t>
  </si>
  <si>
    <t>Pending</t>
  </si>
  <si>
    <t>The merchant refused refund, so I need a chargeback review.</t>
  </si>
  <si>
    <t>Merchant Settlement Delay</t>
  </si>
  <si>
    <t>DSP-0006</t>
  </si>
  <si>
    <t>CUST-4483</t>
  </si>
  <si>
    <t>TXN-787277</t>
  </si>
  <si>
    <t>APP Scam Claim</t>
  </si>
  <si>
    <t>Retail</t>
  </si>
  <si>
    <t>I was tricked into sending money and need urgent help.</t>
  </si>
  <si>
    <t>DSP-0007</t>
  </si>
  <si>
    <t>CUST-9348</t>
  </si>
  <si>
    <t>TXN-617488</t>
  </si>
  <si>
    <t>DSP-0008</t>
  </si>
  <si>
    <t>CUST-9797</t>
  </si>
  <si>
    <t>TXN-887352</t>
  </si>
  <si>
    <t>Refund Delay</t>
  </si>
  <si>
    <t>My refund of £28.28 is still pending after several days.</t>
  </si>
  <si>
    <t>Open</t>
  </si>
  <si>
    <t>Refund Team</t>
  </si>
  <si>
    <t>DSP-0009</t>
  </si>
  <si>
    <t>CUST-9317</t>
  </si>
  <si>
    <t>TXN-738551</t>
  </si>
  <si>
    <t>Subscription</t>
  </si>
  <si>
    <t>In Review</t>
  </si>
  <si>
    <t>DSP-0010</t>
  </si>
  <si>
    <t>CUST-1949</t>
  </si>
  <si>
    <t>TXN-352572</t>
  </si>
  <si>
    <t>Open Banking</t>
  </si>
  <si>
    <t>My payment of £39.57 failed but the money was debited.</t>
  </si>
  <si>
    <t>Eligible</t>
  </si>
  <si>
    <t>DSP-0011</t>
  </si>
  <si>
    <t>CUST-5342</t>
  </si>
  <si>
    <t>TXN-653306</t>
  </si>
  <si>
    <t>DSP-0012</t>
  </si>
  <si>
    <t>CUST-4770</t>
  </si>
  <si>
    <t>TXN-717024</t>
  </si>
  <si>
    <t>Wrong Amount Debited</t>
  </si>
  <si>
    <t>I authorised a lower amount but a higher amount was taken.</t>
  </si>
  <si>
    <t>DSP-0013</t>
  </si>
  <si>
    <t>CUST-4981</t>
  </si>
  <si>
    <t>TXN-922733</t>
  </si>
  <si>
    <t>Bills &amp; Utilities</t>
  </si>
  <si>
    <t>My payment of £14.40 failed but the money was debited.</t>
  </si>
  <si>
    <t>Gateway Timeout</t>
  </si>
  <si>
    <t>DSP-0014</t>
  </si>
  <si>
    <t>CUST-4139</t>
  </si>
  <si>
    <t>TXN-299448</t>
  </si>
  <si>
    <t>The merchant said the refund was processed but I have not received it.</t>
  </si>
  <si>
    <t>DSP-0015</t>
  </si>
  <si>
    <t>CUST-4872</t>
  </si>
  <si>
    <t>TXN-274389</t>
  </si>
  <si>
    <t>Duplicate Debit</t>
  </si>
  <si>
    <t>There are two debits for one order. Please refund the duplicate amount.</t>
  </si>
  <si>
    <t>Low</t>
  </si>
  <si>
    <t>Duplicate Processing</t>
  </si>
  <si>
    <t>DSP-0016</t>
  </si>
  <si>
    <t>CUST-3536</t>
  </si>
  <si>
    <t>TXN-299122</t>
  </si>
  <si>
    <t>My payment of £58.33 failed but the money was debited.</t>
  </si>
  <si>
    <t>Awaiting Evidence</t>
  </si>
  <si>
    <t>DSP-0017</t>
  </si>
  <si>
    <t>CUST-9320</t>
  </si>
  <si>
    <t>TXN-184002</t>
  </si>
  <si>
    <t>My payment of £97.99 failed but the money was debited.</t>
  </si>
  <si>
    <t>DSP-0018</t>
  </si>
  <si>
    <t>CUST-6147</t>
  </si>
  <si>
    <t>TXN-350280</t>
  </si>
  <si>
    <t>The wrong amount was debited from my account. Please investigate.</t>
  </si>
  <si>
    <t>DSP-0019</t>
  </si>
  <si>
    <t>CUST-6718</t>
  </si>
  <si>
    <t>TXN-172132</t>
  </si>
  <si>
    <t>My payment of £208.84 failed but the money was debited.</t>
  </si>
  <si>
    <t>DSP-0020</t>
  </si>
  <si>
    <t>CUST-5333</t>
  </si>
  <si>
    <t>TXN-221035</t>
  </si>
  <si>
    <t>My payment of £27.03 failed but the money was debited.</t>
  </si>
  <si>
    <t>DSP-0021</t>
  </si>
  <si>
    <t>CUST-7939</t>
  </si>
  <si>
    <t>TXN-969634</t>
  </si>
  <si>
    <t>DSP-0022</t>
  </si>
  <si>
    <t>CUST-8041</t>
  </si>
  <si>
    <t>TXN-233636</t>
  </si>
  <si>
    <t>DSP-0023</t>
  </si>
  <si>
    <t>CUST-4878</t>
  </si>
  <si>
    <t>TXN-270395</t>
  </si>
  <si>
    <t>DSP-0024</t>
  </si>
  <si>
    <t>CUST-4644</t>
  </si>
  <si>
    <t>TXN-309267</t>
  </si>
  <si>
    <t>This payment was made without my permission.</t>
  </si>
  <si>
    <t>Fraud Indicator</t>
  </si>
  <si>
    <t>DSP-0025</t>
  </si>
  <si>
    <t>CUST-9346</t>
  </si>
  <si>
    <t>TXN-519093</t>
  </si>
  <si>
    <t>DSP-0026</t>
  </si>
  <si>
    <t>CUST-4114</t>
  </si>
  <si>
    <t>TXN-367095</t>
  </si>
  <si>
    <t>DSP-0027</t>
  </si>
  <si>
    <t>CUST-6143</t>
  </si>
  <si>
    <t>TXN-795612</t>
  </si>
  <si>
    <t>DSP-0028</t>
  </si>
  <si>
    <t>CUST-7653</t>
  </si>
  <si>
    <t>TXN-674553</t>
  </si>
  <si>
    <t>DSP-0029</t>
  </si>
  <si>
    <t>CUST-3780</t>
  </si>
  <si>
    <t>TXN-790855</t>
  </si>
  <si>
    <t>Merchant Not Credited</t>
  </si>
  <si>
    <t>The money left my account but the merchant says they did not receive it.</t>
  </si>
  <si>
    <t>Merchant Support</t>
  </si>
  <si>
    <t>DSP-0030</t>
  </si>
  <si>
    <t>CUST-8461</t>
  </si>
  <si>
    <t>TXN-534572</t>
  </si>
  <si>
    <t>DSP-0031</t>
  </si>
  <si>
    <t>CUST-1822</t>
  </si>
  <si>
    <t>TXN-684482</t>
  </si>
  <si>
    <t>My payment of £14.90 failed but the money was debited.</t>
  </si>
  <si>
    <t>DSP-0032</t>
  </si>
  <si>
    <t>CUST-8777</t>
  </si>
  <si>
    <t>TXN-571932</t>
  </si>
  <si>
    <t>DSP-0033</t>
  </si>
  <si>
    <t>CUST-9849</t>
  </si>
  <si>
    <t>TXN-184491</t>
  </si>
  <si>
    <t>DSP-0034</t>
  </si>
  <si>
    <t>CUST-7232</t>
  </si>
  <si>
    <t>TXN-600149</t>
  </si>
  <si>
    <t>I was charged twice for the same payment of £9.20.</t>
  </si>
  <si>
    <t>DSP-0035</t>
  </si>
  <si>
    <t>CUST-8999</t>
  </si>
  <si>
    <t>TXN-330080</t>
  </si>
  <si>
    <t>My payment of £19.21 failed but the money was debited.</t>
  </si>
  <si>
    <t>DSP-0036</t>
  </si>
  <si>
    <t>CUST-2375</t>
  </si>
  <si>
    <t>TXN-773971</t>
  </si>
  <si>
    <t>My refund of £14.07 is still pending after several days.</t>
  </si>
  <si>
    <t>DSP-0037</t>
  </si>
  <si>
    <t>CUST-2341</t>
  </si>
  <si>
    <t>TXN-593152</t>
  </si>
  <si>
    <t>DSP-0038</t>
  </si>
  <si>
    <t>CUST-2874</t>
  </si>
  <si>
    <t>TXN-691364</t>
  </si>
  <si>
    <t>I was charged twice for the same payment of £24.90.</t>
  </si>
  <si>
    <t>DSP-0039</t>
  </si>
  <si>
    <t>CUST-6111</t>
  </si>
  <si>
    <t>TXN-703766</t>
  </si>
  <si>
    <t>DSP-0040</t>
  </si>
  <si>
    <t>CUST-2129</t>
  </si>
  <si>
    <t>TXN-630538</t>
  </si>
  <si>
    <t>My refund of £39.44 is still pending after several days.</t>
  </si>
  <si>
    <t>DSP-0041</t>
  </si>
  <si>
    <t>CUST-8616</t>
  </si>
  <si>
    <t>TXN-556732</t>
  </si>
  <si>
    <t>I was charged twice for the same payment of £97.41.</t>
  </si>
  <si>
    <t>DSP-0042</t>
  </si>
  <si>
    <t>CUST-8988</t>
  </si>
  <si>
    <t>TXN-322423</t>
  </si>
  <si>
    <t>DSP-0043</t>
  </si>
  <si>
    <t>CUST-8800</t>
  </si>
  <si>
    <t>TXN-777278</t>
  </si>
  <si>
    <t>DSP-0044</t>
  </si>
  <si>
    <t>CUST-8434</t>
  </si>
  <si>
    <t>TXN-384076</t>
  </si>
  <si>
    <t>My payment of £24.31 failed but the money was debited.</t>
  </si>
  <si>
    <t>DSP-0045</t>
  </si>
  <si>
    <t>CUST-4180</t>
  </si>
  <si>
    <t>TXN-410636</t>
  </si>
  <si>
    <t>I was charged twice for the same payment of £57.24.</t>
  </si>
  <si>
    <t>DSP-0046</t>
  </si>
  <si>
    <t>CUST-5658</t>
  </si>
  <si>
    <t>TXN-592198</t>
  </si>
  <si>
    <t>DSP-0047</t>
  </si>
  <si>
    <t>CUST-2395</t>
  </si>
  <si>
    <t>TXN-360247</t>
  </si>
  <si>
    <t>DSP-0048</t>
  </si>
  <si>
    <t>CUST-4404</t>
  </si>
  <si>
    <t>TXN-755900</t>
  </si>
  <si>
    <t>DSP-0049</t>
  </si>
  <si>
    <t>CUST-8438</t>
  </si>
  <si>
    <t>TXN-174637</t>
  </si>
  <si>
    <t>DSP-0050</t>
  </si>
  <si>
    <t>CUST-8195</t>
  </si>
  <si>
    <t>TXN-230394</t>
  </si>
  <si>
    <t>Customer Input Error</t>
  </si>
  <si>
    <t>DSP-0051</t>
  </si>
  <si>
    <t>CUST-2496</t>
  </si>
  <si>
    <t>TXN-340044</t>
  </si>
  <si>
    <t>DSP-0052</t>
  </si>
  <si>
    <t>CUST-2494</t>
  </si>
  <si>
    <t>TXN-592841</t>
  </si>
  <si>
    <t>DSP-0053</t>
  </si>
  <si>
    <t>CUST-2442</t>
  </si>
  <si>
    <t>TXN-429795</t>
  </si>
  <si>
    <t>DSP-0054</t>
  </si>
  <si>
    <t>CUST-4335</t>
  </si>
  <si>
    <t>TXN-380028</t>
  </si>
  <si>
    <t>DSP-0055</t>
  </si>
  <si>
    <t>CUST-1224</t>
  </si>
  <si>
    <t>TXN-679077</t>
  </si>
  <si>
    <t>DSP-0056</t>
  </si>
  <si>
    <t>CUST-3369</t>
  </si>
  <si>
    <t>TXN-502219</t>
  </si>
  <si>
    <t>My refund of £8.55 is still pending after several days.</t>
  </si>
  <si>
    <t>DSP-0057</t>
  </si>
  <si>
    <t>CUST-9022</t>
  </si>
  <si>
    <t>TXN-255813</t>
  </si>
  <si>
    <t>DSP-0058</t>
  </si>
  <si>
    <t>CUST-6213</t>
  </si>
  <si>
    <t>TXN-880879</t>
  </si>
  <si>
    <t>DSP-0059</t>
  </si>
  <si>
    <t>CUST-2633</t>
  </si>
  <si>
    <t>TXN-651499</t>
  </si>
  <si>
    <t>DSP-0060</t>
  </si>
  <si>
    <t>CUST-9864</t>
  </si>
  <si>
    <t>TXN-137642</t>
  </si>
  <si>
    <t>DSP-0061</t>
  </si>
  <si>
    <t>CUST-6314</t>
  </si>
  <si>
    <t>TXN-934816</t>
  </si>
  <si>
    <t>DSP-0062</t>
  </si>
  <si>
    <t>CUST-4804</t>
  </si>
  <si>
    <t>TXN-583550</t>
  </si>
  <si>
    <t>I paid successfully but the merchant has no confirmation.</t>
  </si>
  <si>
    <t>Incorrect Merchant Reference</t>
  </si>
  <si>
    <t>DSP-0063</t>
  </si>
  <si>
    <t>CUST-7951</t>
  </si>
  <si>
    <t>TXN-823846</t>
  </si>
  <si>
    <t>I was charged twice for the same payment of £16.00.</t>
  </si>
  <si>
    <t>DSP-0064</t>
  </si>
  <si>
    <t>CUST-9138</t>
  </si>
  <si>
    <t>TXN-973294</t>
  </si>
  <si>
    <t>I was charged twice for the same payment of £71.08.</t>
  </si>
  <si>
    <t>DSP-0065</t>
  </si>
  <si>
    <t>CUST-2591</t>
  </si>
  <si>
    <t>TXN-757937</t>
  </si>
  <si>
    <t>DSP-0066</t>
  </si>
  <si>
    <t>CUST-5210</t>
  </si>
  <si>
    <t>TXN-964749</t>
  </si>
  <si>
    <t>DSP-0067</t>
  </si>
  <si>
    <t>CUST-2479</t>
  </si>
  <si>
    <t>TXN-929090</t>
  </si>
  <si>
    <t>DSP-0068</t>
  </si>
  <si>
    <t>CUST-4626</t>
  </si>
  <si>
    <t>TXN-779112</t>
  </si>
  <si>
    <t>DSP-0069</t>
  </si>
  <si>
    <t>CUST-4846</t>
  </si>
  <si>
    <t>TXN-663658</t>
  </si>
  <si>
    <t>DSP-0070</t>
  </si>
  <si>
    <t>CUST-7070</t>
  </si>
  <si>
    <t>TXN-327823</t>
  </si>
  <si>
    <t>DSP-0071</t>
  </si>
  <si>
    <t>CUST-2501</t>
  </si>
  <si>
    <t>TXN-794963</t>
  </si>
  <si>
    <t>DSP-0072</t>
  </si>
  <si>
    <t>CUST-1046</t>
  </si>
  <si>
    <t>TXN-390743</t>
  </si>
  <si>
    <t>DSP-0073</t>
  </si>
  <si>
    <t>CUST-3076</t>
  </si>
  <si>
    <t>TXN-877747</t>
  </si>
  <si>
    <t>DSP-0074</t>
  </si>
  <si>
    <t>CUST-8504</t>
  </si>
  <si>
    <t>TXN-774591</t>
  </si>
  <si>
    <t>My refund of £25.61 is still pending after several days.</t>
  </si>
  <si>
    <t>DSP-0075</t>
  </si>
  <si>
    <t>CUST-7240</t>
  </si>
  <si>
    <t>TXN-726410</t>
  </si>
  <si>
    <t>My refund of £24.73 is still pending after several days.</t>
  </si>
  <si>
    <t>DSP-0076</t>
  </si>
  <si>
    <t>CUST-7815</t>
  </si>
  <si>
    <t>TXN-865054</t>
  </si>
  <si>
    <t>I was charged twice for the same payment of £67.91.</t>
  </si>
  <si>
    <t>DSP-0077</t>
  </si>
  <si>
    <t>CUST-1982</t>
  </si>
  <si>
    <t>TXN-714953</t>
  </si>
  <si>
    <t>DSP-0078</t>
  </si>
  <si>
    <t>CUST-3535</t>
  </si>
  <si>
    <t>TXN-788637</t>
  </si>
  <si>
    <t>DSP-0079</t>
  </si>
  <si>
    <t>CUST-1474</t>
  </si>
  <si>
    <t>TXN-289179</t>
  </si>
  <si>
    <t>DSP-0080</t>
  </si>
  <si>
    <t>CUST-3578</t>
  </si>
  <si>
    <t>TXN-488028</t>
  </si>
  <si>
    <t>DSP-0081</t>
  </si>
  <si>
    <t>CUST-8957</t>
  </si>
  <si>
    <t>TXN-736565</t>
  </si>
  <si>
    <t>I was charged twice for the same payment of £41.57.</t>
  </si>
  <si>
    <t>DSP-0082</t>
  </si>
  <si>
    <t>CUST-1125</t>
  </si>
  <si>
    <t>TXN-314353</t>
  </si>
  <si>
    <t>DSP-0083</t>
  </si>
  <si>
    <t>CUST-2180</t>
  </si>
  <si>
    <t>TXN-516359</t>
  </si>
  <si>
    <t>My refund of £16.51 is still pending after several days.</t>
  </si>
  <si>
    <t>DSP-0084</t>
  </si>
  <si>
    <t>CUST-2443</t>
  </si>
  <si>
    <t>TXN-557925</t>
  </si>
  <si>
    <t>DSP-0085</t>
  </si>
  <si>
    <t>CUST-6724</t>
  </si>
  <si>
    <t>TXN-468154</t>
  </si>
  <si>
    <t>DSP-0086</t>
  </si>
  <si>
    <t>CUST-6179</t>
  </si>
  <si>
    <t>TXN-258290</t>
  </si>
  <si>
    <t>DSP-0087</t>
  </si>
  <si>
    <t>CUST-9307</t>
  </si>
  <si>
    <t>TXN-503159</t>
  </si>
  <si>
    <t>DSP-0088</t>
  </si>
  <si>
    <t>CUST-9266</t>
  </si>
  <si>
    <t>TXN-777513</t>
  </si>
  <si>
    <t>DSP-0089</t>
  </si>
  <si>
    <t>CUST-2079</t>
  </si>
  <si>
    <t>TXN-445705</t>
  </si>
  <si>
    <t>My refund of £18.09 is still pending after several days.</t>
  </si>
  <si>
    <t>DSP-0090</t>
  </si>
  <si>
    <t>CUST-9331</t>
  </si>
  <si>
    <t>TXN-479404</t>
  </si>
  <si>
    <t>My payment of £39.41 failed but the money was debited.</t>
  </si>
  <si>
    <t>DSP-0091</t>
  </si>
  <si>
    <t>CUST-6517</t>
  </si>
  <si>
    <t>TXN-903531</t>
  </si>
  <si>
    <t>DSP-0092</t>
  </si>
  <si>
    <t>CUST-8355</t>
  </si>
  <si>
    <t>TXN-345369</t>
  </si>
  <si>
    <t>DSP-0093</t>
  </si>
  <si>
    <t>CUST-3267</t>
  </si>
  <si>
    <t>TXN-362147</t>
  </si>
  <si>
    <t>I believe I have been scammed through a bank transfer.</t>
  </si>
  <si>
    <t>DSP-0094</t>
  </si>
  <si>
    <t>CUST-2502</t>
  </si>
  <si>
    <t>TXN-332823</t>
  </si>
  <si>
    <t>DSP-0095</t>
  </si>
  <si>
    <t>CUST-3254</t>
  </si>
  <si>
    <t>TXN-140163</t>
  </si>
  <si>
    <t>My refund of £299.50 is still pending after several days.</t>
  </si>
  <si>
    <t>DSP-0096</t>
  </si>
  <si>
    <t>CUST-2821</t>
  </si>
  <si>
    <t>TXN-913875</t>
  </si>
  <si>
    <t>My payment of £14.06 failed but the money was debited.</t>
  </si>
  <si>
    <t>DSP-0097</t>
  </si>
  <si>
    <t>CUST-3352</t>
  </si>
  <si>
    <t>TXN-405420</t>
  </si>
  <si>
    <t>DSP-0098</t>
  </si>
  <si>
    <t>CUST-7397</t>
  </si>
  <si>
    <t>TXN-592972</t>
  </si>
  <si>
    <t>DSP-0099</t>
  </si>
  <si>
    <t>CUST-3868</t>
  </si>
  <si>
    <t>TXN-970720</t>
  </si>
  <si>
    <t>My refund of £23.68 is still pending after several days.</t>
  </si>
  <si>
    <t>DSP-0100</t>
  </si>
  <si>
    <t>CUST-9897</t>
  </si>
  <si>
    <t>TXN-596395</t>
  </si>
  <si>
    <t>DSP-0101</t>
  </si>
  <si>
    <t>CUST-8204</t>
  </si>
  <si>
    <t>TXN-505426</t>
  </si>
  <si>
    <t>My refund of £38.56 is still pending after several days.</t>
  </si>
  <si>
    <t>DSP-0102</t>
  </si>
  <si>
    <t>CUST-6262</t>
  </si>
  <si>
    <t>TXN-207581</t>
  </si>
  <si>
    <t>DSP-0103</t>
  </si>
  <si>
    <t>CUST-5498</t>
  </si>
  <si>
    <t>TXN-770532</t>
  </si>
  <si>
    <t>DSP-0104</t>
  </si>
  <si>
    <t>CUST-7272</t>
  </si>
  <si>
    <t>TXN-694799</t>
  </si>
  <si>
    <t>DSP-0105</t>
  </si>
  <si>
    <t>CUST-1424</t>
  </si>
  <si>
    <t>TXN-871411</t>
  </si>
  <si>
    <t>DSP-0106</t>
  </si>
  <si>
    <t>CUST-8292</t>
  </si>
  <si>
    <t>TXN-192055</t>
  </si>
  <si>
    <t>DSP-0107</t>
  </si>
  <si>
    <t>CUST-2988</t>
  </si>
  <si>
    <t>TXN-310743</t>
  </si>
  <si>
    <t>My refund of £25.17 is still pending after several days.</t>
  </si>
  <si>
    <t>DSP-0108</t>
  </si>
  <si>
    <t>CUST-7708</t>
  </si>
  <si>
    <t>TXN-963333</t>
  </si>
  <si>
    <t>DSP-0109</t>
  </si>
  <si>
    <t>CUST-3034</t>
  </si>
  <si>
    <t>TXN-643269</t>
  </si>
  <si>
    <t>My payment of £91.70 failed but the money was debited.</t>
  </si>
  <si>
    <t>DSP-0110</t>
  </si>
  <si>
    <t>CUST-9234</t>
  </si>
  <si>
    <t>TXN-772124</t>
  </si>
  <si>
    <t>DSP-0111</t>
  </si>
  <si>
    <t>CUST-1744</t>
  </si>
  <si>
    <t>TXN-772612</t>
  </si>
  <si>
    <t>DSP-0112</t>
  </si>
  <si>
    <t>CUST-8430</t>
  </si>
  <si>
    <t>TXN-176517</t>
  </si>
  <si>
    <t>My refund of £37.39 is still pending after several days.</t>
  </si>
  <si>
    <t>DSP-0113</t>
  </si>
  <si>
    <t>CUST-3142</t>
  </si>
  <si>
    <t>TXN-897615</t>
  </si>
  <si>
    <t>My payment of £26.33 failed but the money was debited.</t>
  </si>
  <si>
    <t>DSP-0114</t>
  </si>
  <si>
    <t>CUST-6364</t>
  </si>
  <si>
    <t>TXN-705748</t>
  </si>
  <si>
    <t>DSP-0115</t>
  </si>
  <si>
    <t>CUST-8710</t>
  </si>
  <si>
    <t>TXN-399628</t>
  </si>
  <si>
    <t>DSP-0116</t>
  </si>
  <si>
    <t>CUST-2204</t>
  </si>
  <si>
    <t>TXN-505116</t>
  </si>
  <si>
    <t>DSP-0117</t>
  </si>
  <si>
    <t>CUST-3363</t>
  </si>
  <si>
    <t>TXN-308727</t>
  </si>
  <si>
    <t>DSP-0118</t>
  </si>
  <si>
    <t>CUST-6511</t>
  </si>
  <si>
    <t>TXN-631958</t>
  </si>
  <si>
    <t>DSP-0119</t>
  </si>
  <si>
    <t>CUST-5350</t>
  </si>
  <si>
    <t>TXN-787436</t>
  </si>
  <si>
    <t>DSP-0120</t>
  </si>
  <si>
    <t>CUST-4125</t>
  </si>
  <si>
    <t>TXN-119857</t>
  </si>
  <si>
    <t>My payment of £64.79 failed but the money was debited.</t>
  </si>
  <si>
    <t>DSP-0121</t>
  </si>
  <si>
    <t>CUST-9498</t>
  </si>
  <si>
    <t>TXN-317413</t>
  </si>
  <si>
    <t>DSP-0122</t>
  </si>
  <si>
    <t>CUST-4150</t>
  </si>
  <si>
    <t>TXN-358494</t>
  </si>
  <si>
    <t>DSP-0123</t>
  </si>
  <si>
    <t>CUST-6714</t>
  </si>
  <si>
    <t>TXN-687713</t>
  </si>
  <si>
    <t>DSP-0124</t>
  </si>
  <si>
    <t>CUST-8849</t>
  </si>
  <si>
    <t>TXN-324381</t>
  </si>
  <si>
    <t>I was charged twice for the same payment of £45.79.</t>
  </si>
  <si>
    <t>DSP-0125</t>
  </si>
  <si>
    <t>CUST-1860</t>
  </si>
  <si>
    <t>TXN-205065</t>
  </si>
  <si>
    <t>My refund of £54.94 is still pending after several days.</t>
  </si>
  <si>
    <t>DSP-0126</t>
  </si>
  <si>
    <t>CUST-5676</t>
  </si>
  <si>
    <t>TXN-777273</t>
  </si>
  <si>
    <t>DSP-0127</t>
  </si>
  <si>
    <t>CUST-9116</t>
  </si>
  <si>
    <t>TXN-295361</t>
  </si>
  <si>
    <t>My payment of £45.20 failed but the money was debited.</t>
  </si>
  <si>
    <t>DSP-0128</t>
  </si>
  <si>
    <t>CUST-6417</t>
  </si>
  <si>
    <t>TXN-270387</t>
  </si>
  <si>
    <t>DSP-0129</t>
  </si>
  <si>
    <t>CUST-8007</t>
  </si>
  <si>
    <t>TXN-640310</t>
  </si>
  <si>
    <t>DSP-0130</t>
  </si>
  <si>
    <t>CUST-5285</t>
  </si>
  <si>
    <t>TXN-785436</t>
  </si>
  <si>
    <t>DSP-0131</t>
  </si>
  <si>
    <t>CUST-7021</t>
  </si>
  <si>
    <t>TXN-744481</t>
  </si>
  <si>
    <t>My payment of £52.67 failed but the money was debited.</t>
  </si>
  <si>
    <t>DSP-0132</t>
  </si>
  <si>
    <t>CUST-9609</t>
  </si>
  <si>
    <t>TXN-568449</t>
  </si>
  <si>
    <t>My payment of £44.69 failed but the money was debited.</t>
  </si>
  <si>
    <t>DSP-0133</t>
  </si>
  <si>
    <t>CUST-4365</t>
  </si>
  <si>
    <t>TXN-851742</t>
  </si>
  <si>
    <t>DSP-0134</t>
  </si>
  <si>
    <t>CUST-4570</t>
  </si>
  <si>
    <t>TXN-706403</t>
  </si>
  <si>
    <t>My refund of £22.76 is still pending after several days.</t>
  </si>
  <si>
    <t>DSP-0135</t>
  </si>
  <si>
    <t>CUST-7154</t>
  </si>
  <si>
    <t>TXN-184148</t>
  </si>
  <si>
    <t>DSP-0136</t>
  </si>
  <si>
    <t>CUST-8546</t>
  </si>
  <si>
    <t>TXN-462974</t>
  </si>
  <si>
    <t>DSP-0137</t>
  </si>
  <si>
    <t>CUST-1797</t>
  </si>
  <si>
    <t>TXN-356622</t>
  </si>
  <si>
    <t>DSP-0138</t>
  </si>
  <si>
    <t>CUST-3347</t>
  </si>
  <si>
    <t>TXN-792282</t>
  </si>
  <si>
    <t>DSP-0139</t>
  </si>
  <si>
    <t>CUST-7821</t>
  </si>
  <si>
    <t>TXN-528090</t>
  </si>
  <si>
    <t>My payment of £43.50 failed but the money was debited.</t>
  </si>
  <si>
    <t>DSP-0140</t>
  </si>
  <si>
    <t>CUST-7363</t>
  </si>
  <si>
    <t>TXN-354655</t>
  </si>
  <si>
    <t>DSP-0141</t>
  </si>
  <si>
    <t>CUST-4422</t>
  </si>
  <si>
    <t>TXN-449138</t>
  </si>
  <si>
    <t>DSP-0142</t>
  </si>
  <si>
    <t>TXN-477114</t>
  </si>
  <si>
    <t>DSP-0143</t>
  </si>
  <si>
    <t>CUST-5272</t>
  </si>
  <si>
    <t>TXN-680189</t>
  </si>
  <si>
    <t>My refund of £18.99 is still pending after several days.</t>
  </si>
  <si>
    <t>DSP-0144</t>
  </si>
  <si>
    <t>CUST-3756</t>
  </si>
  <si>
    <t>TXN-868367</t>
  </si>
  <si>
    <t>DSP-0145</t>
  </si>
  <si>
    <t>CUST-7756</t>
  </si>
  <si>
    <t>TXN-244170</t>
  </si>
  <si>
    <t>DSP-0146</t>
  </si>
  <si>
    <t>CUST-1194</t>
  </si>
  <si>
    <t>TXN-117538</t>
  </si>
  <si>
    <t>DSP-0147</t>
  </si>
  <si>
    <t>CUST-4144</t>
  </si>
  <si>
    <t>TXN-749887</t>
  </si>
  <si>
    <t>DSP-0148</t>
  </si>
  <si>
    <t>CUST-7640</t>
  </si>
  <si>
    <t>TXN-497687</t>
  </si>
  <si>
    <t>My payment of £40.43 failed but the money was debited.</t>
  </si>
  <si>
    <t>DSP-0149</t>
  </si>
  <si>
    <t>CUST-4463</t>
  </si>
  <si>
    <t>TXN-825916</t>
  </si>
  <si>
    <t>DSP-0150</t>
  </si>
  <si>
    <t>CUST-2260</t>
  </si>
  <si>
    <t>TXN-413814</t>
  </si>
  <si>
    <t>DSP-0151</t>
  </si>
  <si>
    <t>CUST-9204</t>
  </si>
  <si>
    <t>TXN-881667</t>
  </si>
  <si>
    <t>DSP-0152</t>
  </si>
  <si>
    <t>CUST-6829</t>
  </si>
  <si>
    <t>TXN-679902</t>
  </si>
  <si>
    <t>DSP-0153</t>
  </si>
  <si>
    <t>CUST-7383</t>
  </si>
  <si>
    <t>TXN-432061</t>
  </si>
  <si>
    <t>DSP-0154</t>
  </si>
  <si>
    <t>CUST-7311</t>
  </si>
  <si>
    <t>TXN-112940</t>
  </si>
  <si>
    <t>DSP-0155</t>
  </si>
  <si>
    <t>CUST-3390</t>
  </si>
  <si>
    <t>TXN-166340</t>
  </si>
  <si>
    <t>My refund of £39.45 is still pending after several days.</t>
  </si>
  <si>
    <t>DSP-0156</t>
  </si>
  <si>
    <t>CUST-6399</t>
  </si>
  <si>
    <t>TXN-561607</t>
  </si>
  <si>
    <t>DSP-0157</t>
  </si>
  <si>
    <t>CUST-5775</t>
  </si>
  <si>
    <t>TXN-870571</t>
  </si>
  <si>
    <t>DSP-0158</t>
  </si>
  <si>
    <t>CUST-8183</t>
  </si>
  <si>
    <t>TXN-936433</t>
  </si>
  <si>
    <t>DSP-0159</t>
  </si>
  <si>
    <t>CUST-7566</t>
  </si>
  <si>
    <t>TXN-660324</t>
  </si>
  <si>
    <t>DSP-0160</t>
  </si>
  <si>
    <t>CUST-6432</t>
  </si>
  <si>
    <t>TXN-934908</t>
  </si>
  <si>
    <t>My payment of £8.16 failed but the money was debited.</t>
  </si>
  <si>
    <t>DSP-0161</t>
  </si>
  <si>
    <t>CUST-6651</t>
  </si>
  <si>
    <t>TXN-125755</t>
  </si>
  <si>
    <t>DSP-0162</t>
  </si>
  <si>
    <t>CUST-6620</t>
  </si>
  <si>
    <t>TXN-779445</t>
  </si>
  <si>
    <t>DSP-0163</t>
  </si>
  <si>
    <t>CUST-7481</t>
  </si>
  <si>
    <t>TXN-130610</t>
  </si>
  <si>
    <t>My refund of £13.58 is still pending after several days.</t>
  </si>
  <si>
    <t>DSP-0164</t>
  </si>
  <si>
    <t>CUST-7431</t>
  </si>
  <si>
    <t>TXN-715519</t>
  </si>
  <si>
    <t>DSP-0165</t>
  </si>
  <si>
    <t>CUST-6003</t>
  </si>
  <si>
    <t>TXN-222629</t>
  </si>
  <si>
    <t>DSP-0166</t>
  </si>
  <si>
    <t>CUST-5732</t>
  </si>
  <si>
    <t>TXN-247111</t>
  </si>
  <si>
    <t>My refund of £14.65 is still pending after several days.</t>
  </si>
  <si>
    <t>DSP-0167</t>
  </si>
  <si>
    <t>CUST-9056</t>
  </si>
  <si>
    <t>TXN-535820</t>
  </si>
  <si>
    <t>DSP-0168</t>
  </si>
  <si>
    <t>CUST-9898</t>
  </si>
  <si>
    <t>TXN-963274</t>
  </si>
  <si>
    <t>DSP-0169</t>
  </si>
  <si>
    <t>CUST-5305</t>
  </si>
  <si>
    <t>TXN-465509</t>
  </si>
  <si>
    <t>DSP-0170</t>
  </si>
  <si>
    <t>CUST-6747</t>
  </si>
  <si>
    <t>TXN-658136</t>
  </si>
  <si>
    <t>DSP-0171</t>
  </si>
  <si>
    <t>CUST-1971</t>
  </si>
  <si>
    <t>TXN-390794</t>
  </si>
  <si>
    <t>DSP-0172</t>
  </si>
  <si>
    <t>CUST-8405</t>
  </si>
  <si>
    <t>TXN-179184</t>
  </si>
  <si>
    <t>DSP-0173</t>
  </si>
  <si>
    <t>CUST-8511</t>
  </si>
  <si>
    <t>TXN-765678</t>
  </si>
  <si>
    <t>DSP-0174</t>
  </si>
  <si>
    <t>CUST-1752</t>
  </si>
  <si>
    <t>TXN-204411</t>
  </si>
  <si>
    <t>DSP-0175</t>
  </si>
  <si>
    <t>CUST-5489</t>
  </si>
  <si>
    <t>TXN-197874</t>
  </si>
  <si>
    <t>DSP-0176</t>
  </si>
  <si>
    <t>CUST-9510</t>
  </si>
  <si>
    <t>TXN-813013</t>
  </si>
  <si>
    <t>DSP-0177</t>
  </si>
  <si>
    <t>CUST-7270</t>
  </si>
  <si>
    <t>TXN-911032</t>
  </si>
  <si>
    <t>DSP-0178</t>
  </si>
  <si>
    <t>CUST-2646</t>
  </si>
  <si>
    <t>TXN-246814</t>
  </si>
  <si>
    <t>DSP-0179</t>
  </si>
  <si>
    <t>CUST-5942</t>
  </si>
  <si>
    <t>TXN-315425</t>
  </si>
  <si>
    <t>DSP-0180</t>
  </si>
  <si>
    <t>CUST-6185</t>
  </si>
  <si>
    <t>TXN-238394</t>
  </si>
  <si>
    <t>DSP-0181</t>
  </si>
  <si>
    <t>CUST-1652</t>
  </si>
  <si>
    <t>TXN-163406</t>
  </si>
  <si>
    <t>DSP-0182</t>
  </si>
  <si>
    <t>CUST-7401</t>
  </si>
  <si>
    <t>TXN-714923</t>
  </si>
  <si>
    <t>DSP-0183</t>
  </si>
  <si>
    <t>CUST-1207</t>
  </si>
  <si>
    <t>TXN-842287</t>
  </si>
  <si>
    <t>My payment of £161.56 failed but the money was debited.</t>
  </si>
  <si>
    <t>DSP-0184</t>
  </si>
  <si>
    <t>CUST-6488</t>
  </si>
  <si>
    <t>TXN-946313</t>
  </si>
  <si>
    <t>My payment of £84.04 failed but the money was debited.</t>
  </si>
  <si>
    <t>DSP-0185</t>
  </si>
  <si>
    <t>CUST-7024</t>
  </si>
  <si>
    <t>TXN-264951</t>
  </si>
  <si>
    <t>DSP-0186</t>
  </si>
  <si>
    <t>CUST-4678</t>
  </si>
  <si>
    <t>TXN-437433</t>
  </si>
  <si>
    <t>DSP-0187</t>
  </si>
  <si>
    <t>CUST-7568</t>
  </si>
  <si>
    <t>TXN-172274</t>
  </si>
  <si>
    <t>DSP-0188</t>
  </si>
  <si>
    <t>CUST-9954</t>
  </si>
  <si>
    <t>TXN-897423</t>
  </si>
  <si>
    <t>DSP-0189</t>
  </si>
  <si>
    <t>CUST-4361</t>
  </si>
  <si>
    <t>TXN-655550</t>
  </si>
  <si>
    <t>DSP-0190</t>
  </si>
  <si>
    <t>CUST-7461</t>
  </si>
  <si>
    <t>TXN-178465</t>
  </si>
  <si>
    <t>DSP-0191</t>
  </si>
  <si>
    <t>CUST-8417</t>
  </si>
  <si>
    <t>TXN-385166</t>
  </si>
  <si>
    <t>DSP-0192</t>
  </si>
  <si>
    <t>CUST-6051</t>
  </si>
  <si>
    <t>TXN-585854</t>
  </si>
  <si>
    <t>My payment of £77.07 failed but the money was debited.</t>
  </si>
  <si>
    <t>DSP-0193</t>
  </si>
  <si>
    <t>CUST-6828</t>
  </si>
  <si>
    <t>TXN-515492</t>
  </si>
  <si>
    <t>I was charged twice for the same payment of £71.16.</t>
  </si>
  <si>
    <t>DSP-0194</t>
  </si>
  <si>
    <t>CUST-1195</t>
  </si>
  <si>
    <t>TXN-164664</t>
  </si>
  <si>
    <t>DSP-0195</t>
  </si>
  <si>
    <t>CUST-3110</t>
  </si>
  <si>
    <t>TXN-196446</t>
  </si>
  <si>
    <t>DSP-0196</t>
  </si>
  <si>
    <t>CUST-5835</t>
  </si>
  <si>
    <t>TXN-623125</t>
  </si>
  <si>
    <t>DSP-0197</t>
  </si>
  <si>
    <t>CUST-7266</t>
  </si>
  <si>
    <t>TXN-919898</t>
  </si>
  <si>
    <t>DSP-0198</t>
  </si>
  <si>
    <t>CUST-8728</t>
  </si>
  <si>
    <t>TXN-655149</t>
  </si>
  <si>
    <t>DSP-0199</t>
  </si>
  <si>
    <t>CUST-6813</t>
  </si>
  <si>
    <t>TXN-979988</t>
  </si>
  <si>
    <t>DSP-0200</t>
  </si>
  <si>
    <t>CUST-3876</t>
  </si>
  <si>
    <t>TXN-614259</t>
  </si>
  <si>
    <t>DSP-0201</t>
  </si>
  <si>
    <t>CUST-1975</t>
  </si>
  <si>
    <t>TXN-122977</t>
  </si>
  <si>
    <t>DSP-0202</t>
  </si>
  <si>
    <t>CUST-3854</t>
  </si>
  <si>
    <t>TXN-841535</t>
  </si>
  <si>
    <t>DSP-0203</t>
  </si>
  <si>
    <t>CUST-1530</t>
  </si>
  <si>
    <t>TXN-290926</t>
  </si>
  <si>
    <t>DSP-0204</t>
  </si>
  <si>
    <t>CUST-1186</t>
  </si>
  <si>
    <t>TXN-378095</t>
  </si>
  <si>
    <t>DSP-0205</t>
  </si>
  <si>
    <t>CUST-7204</t>
  </si>
  <si>
    <t>TXN-468292</t>
  </si>
  <si>
    <t>DSP-0206</t>
  </si>
  <si>
    <t>CUST-6600</t>
  </si>
  <si>
    <t>TXN-278368</t>
  </si>
  <si>
    <t>DSP-0207</t>
  </si>
  <si>
    <t>CUST-5612</t>
  </si>
  <si>
    <t>TXN-411847</t>
  </si>
  <si>
    <t>My refund of £46.63 is still pending after several days.</t>
  </si>
  <si>
    <t>DSP-0208</t>
  </si>
  <si>
    <t>CUST-2342</t>
  </si>
  <si>
    <t>TXN-596574</t>
  </si>
  <si>
    <t>My refund of £38.59 is still pending after several days.</t>
  </si>
  <si>
    <t>DSP-0209</t>
  </si>
  <si>
    <t>CUST-1731</t>
  </si>
  <si>
    <t>TXN-376085</t>
  </si>
  <si>
    <t>I was charged twice for the same payment of £28.23.</t>
  </si>
  <si>
    <t>DSP-0210</t>
  </si>
  <si>
    <t>CUST-7342</t>
  </si>
  <si>
    <t>TXN-958160</t>
  </si>
  <si>
    <t>DSP-0211</t>
  </si>
  <si>
    <t>CUST-8357</t>
  </si>
  <si>
    <t>TXN-281276</t>
  </si>
  <si>
    <t>DSP-0212</t>
  </si>
  <si>
    <t>CUST-7358</t>
  </si>
  <si>
    <t>TXN-683390</t>
  </si>
  <si>
    <t>DSP-0213</t>
  </si>
  <si>
    <t>CUST-3451</t>
  </si>
  <si>
    <t>TXN-255398</t>
  </si>
  <si>
    <t>DSP-0214</t>
  </si>
  <si>
    <t>CUST-7602</t>
  </si>
  <si>
    <t>TXN-250840</t>
  </si>
  <si>
    <t>DSP-0215</t>
  </si>
  <si>
    <t>CUST-2609</t>
  </si>
  <si>
    <t>TXN-339030</t>
  </si>
  <si>
    <t>DSP-0216</t>
  </si>
  <si>
    <t>CUST-9442</t>
  </si>
  <si>
    <t>TXN-929937</t>
  </si>
  <si>
    <t>DSP-0217</t>
  </si>
  <si>
    <t>CUST-5087</t>
  </si>
  <si>
    <t>TXN-134677</t>
  </si>
  <si>
    <t>My refund of £20.19 is still pending after several days.</t>
  </si>
  <si>
    <t>DSP-0218</t>
  </si>
  <si>
    <t>CUST-3679</t>
  </si>
  <si>
    <t>TXN-978343</t>
  </si>
  <si>
    <t>DSP-0219</t>
  </si>
  <si>
    <t>CUST-4387</t>
  </si>
  <si>
    <t>TXN-382154</t>
  </si>
  <si>
    <t>DSP-0220</t>
  </si>
  <si>
    <t>CUST-8520</t>
  </si>
  <si>
    <t>TXN-364239</t>
  </si>
  <si>
    <t>DSP-0221</t>
  </si>
  <si>
    <t>CUST-2771</t>
  </si>
  <si>
    <t>TXN-605139</t>
  </si>
  <si>
    <t>DSP-0222</t>
  </si>
  <si>
    <t>CUST-6236</t>
  </si>
  <si>
    <t>TXN-813824</t>
  </si>
  <si>
    <t>DSP-0223</t>
  </si>
  <si>
    <t>CUST-6873</t>
  </si>
  <si>
    <t>DSP-0224</t>
  </si>
  <si>
    <t>CUST-6820</t>
  </si>
  <si>
    <t>TXN-334176</t>
  </si>
  <si>
    <t>DSP-0225</t>
  </si>
  <si>
    <t>CUST-7253</t>
  </si>
  <si>
    <t>TXN-655575</t>
  </si>
  <si>
    <t>DSP-0226</t>
  </si>
  <si>
    <t>CUST-8105</t>
  </si>
  <si>
    <t>TXN-764259</t>
  </si>
  <si>
    <t>DSP-0227</t>
  </si>
  <si>
    <t>CUST-5076</t>
  </si>
  <si>
    <t>TXN-337256</t>
  </si>
  <si>
    <t>DSP-0228</t>
  </si>
  <si>
    <t>CUST-9031</t>
  </si>
  <si>
    <t>TXN-476701</t>
  </si>
  <si>
    <t>DSP-0229</t>
  </si>
  <si>
    <t>TXN-785315</t>
  </si>
  <si>
    <t>My payment of £36.87 failed but the money was debited.</t>
  </si>
  <si>
    <t>DSP-0230</t>
  </si>
  <si>
    <t>CUST-7862</t>
  </si>
  <si>
    <t>TXN-971002</t>
  </si>
  <si>
    <t>DSP-0231</t>
  </si>
  <si>
    <t>CUST-5839</t>
  </si>
  <si>
    <t>TXN-268163</t>
  </si>
  <si>
    <t>DSP-0232</t>
  </si>
  <si>
    <t>CUST-2659</t>
  </si>
  <si>
    <t>TXN-368322</t>
  </si>
  <si>
    <t>DSP-0233</t>
  </si>
  <si>
    <t>CUST-2556</t>
  </si>
  <si>
    <t>TXN-992596</t>
  </si>
  <si>
    <t>DSP-0234</t>
  </si>
  <si>
    <t>CUST-7319</t>
  </si>
  <si>
    <t>TXN-823415</t>
  </si>
  <si>
    <t>DSP-0235</t>
  </si>
  <si>
    <t>CUST-8178</t>
  </si>
  <si>
    <t>TXN-290065</t>
  </si>
  <si>
    <t>DSP-0236</t>
  </si>
  <si>
    <t>CUST-9504</t>
  </si>
  <si>
    <t>TXN-648513</t>
  </si>
  <si>
    <t>DSP-0237</t>
  </si>
  <si>
    <t>CUST-9123</t>
  </si>
  <si>
    <t>TXN-273438</t>
  </si>
  <si>
    <t>I was charged twice for the same payment of £28.74.</t>
  </si>
  <si>
    <t>DSP-0238</t>
  </si>
  <si>
    <t>CUST-9166</t>
  </si>
  <si>
    <t>TXN-568784</t>
  </si>
  <si>
    <t>DSP-0239</t>
  </si>
  <si>
    <t>CUST-8474</t>
  </si>
  <si>
    <t>TXN-457411</t>
  </si>
  <si>
    <t>DSP-0240</t>
  </si>
  <si>
    <t>CUST-9973</t>
  </si>
  <si>
    <t>TXN-647341</t>
  </si>
  <si>
    <t>My payment of £22.88 failed but the money was debited.</t>
  </si>
  <si>
    <t>DSP-0241</t>
  </si>
  <si>
    <t>CUST-2978</t>
  </si>
  <si>
    <t>TXN-993590</t>
  </si>
  <si>
    <t>DSP-0242</t>
  </si>
  <si>
    <t>CUST-9172</t>
  </si>
  <si>
    <t>TXN-104548</t>
  </si>
  <si>
    <t>DSP-0243</t>
  </si>
  <si>
    <t>CUST-2696</t>
  </si>
  <si>
    <t>TXN-506224</t>
  </si>
  <si>
    <t>My refund of £68.49 is still pending after several days.</t>
  </si>
  <si>
    <t>DSP-0244</t>
  </si>
  <si>
    <t>CUST-9975</t>
  </si>
  <si>
    <t>TXN-429159</t>
  </si>
  <si>
    <t>I was charged twice for the same payment of £52.21.</t>
  </si>
  <si>
    <t>DSP-0245</t>
  </si>
  <si>
    <t>CUST-9255</t>
  </si>
  <si>
    <t>TXN-668843</t>
  </si>
  <si>
    <t>DSP-0246</t>
  </si>
  <si>
    <t>CUST-1414</t>
  </si>
  <si>
    <t>TXN-499371</t>
  </si>
  <si>
    <t>DSP-0247</t>
  </si>
  <si>
    <t>CUST-4342</t>
  </si>
  <si>
    <t>TXN-890200</t>
  </si>
  <si>
    <t>DSP-0248</t>
  </si>
  <si>
    <t>CUST-6122</t>
  </si>
  <si>
    <t>TXN-678944</t>
  </si>
  <si>
    <t>DSP-0249</t>
  </si>
  <si>
    <t>CUST-9955</t>
  </si>
  <si>
    <t>TXN-874320</t>
  </si>
  <si>
    <t>DSP-0250</t>
  </si>
  <si>
    <t>CUST-5178</t>
  </si>
  <si>
    <t>TXN-105919</t>
  </si>
  <si>
    <t>DSP-0251</t>
  </si>
  <si>
    <t>CUST-6207</t>
  </si>
  <si>
    <t>TXN-650916</t>
  </si>
  <si>
    <t>DSP-0252</t>
  </si>
  <si>
    <t>CUST-1144</t>
  </si>
  <si>
    <t>TXN-220294</t>
  </si>
  <si>
    <t>DSP-0253</t>
  </si>
  <si>
    <t>CUST-9468</t>
  </si>
  <si>
    <t>TXN-962043</t>
  </si>
  <si>
    <t>DSP-0254</t>
  </si>
  <si>
    <t>CUST-4492</t>
  </si>
  <si>
    <t>TXN-818699</t>
  </si>
  <si>
    <t>I was charged twice for the same payment of £75.43.</t>
  </si>
  <si>
    <t>DSP-0255</t>
  </si>
  <si>
    <t>CUST-2433</t>
  </si>
  <si>
    <t>TXN-176806</t>
  </si>
  <si>
    <t>I was charged twice for the same payment of £111.24.</t>
  </si>
  <si>
    <t>DSP-0256</t>
  </si>
  <si>
    <t>CUST-1745</t>
  </si>
  <si>
    <t>TXN-834928</t>
  </si>
  <si>
    <t>DSP-0257</t>
  </si>
  <si>
    <t>CUST-8765</t>
  </si>
  <si>
    <t>TXN-263917</t>
  </si>
  <si>
    <t>DSP-0258</t>
  </si>
  <si>
    <t>CUST-1684</t>
  </si>
  <si>
    <t>TXN-105274</t>
  </si>
  <si>
    <t>DSP-0259</t>
  </si>
  <si>
    <t>CUST-3637</t>
  </si>
  <si>
    <t>TXN-292930</t>
  </si>
  <si>
    <t>I was charged twice for the same payment of £7.33.</t>
  </si>
  <si>
    <t>DSP-0260</t>
  </si>
  <si>
    <t>CUST-5107</t>
  </si>
  <si>
    <t>TXN-202972</t>
  </si>
  <si>
    <t>My refund of £30.48 is still pending after several days.</t>
  </si>
  <si>
    <t>DSP-0261</t>
  </si>
  <si>
    <t>CUST-6379</t>
  </si>
  <si>
    <t>TXN-746281</t>
  </si>
  <si>
    <t>DSP-0262</t>
  </si>
  <si>
    <t>CUST-8583</t>
  </si>
  <si>
    <t>TXN-566991</t>
  </si>
  <si>
    <t>DSP-0263</t>
  </si>
  <si>
    <t>CUST-2235</t>
  </si>
  <si>
    <t>TXN-119535</t>
  </si>
  <si>
    <t>DSP-0264</t>
  </si>
  <si>
    <t>CUST-5767</t>
  </si>
  <si>
    <t>TXN-240384</t>
  </si>
  <si>
    <t>DSP-0265</t>
  </si>
  <si>
    <t>CUST-6878</t>
  </si>
  <si>
    <t>TXN-142383</t>
  </si>
  <si>
    <t>DSP-0266</t>
  </si>
  <si>
    <t>CUST-2691</t>
  </si>
  <si>
    <t>TXN-837920</t>
  </si>
  <si>
    <t>DSP-0267</t>
  </si>
  <si>
    <t>CUST-7165</t>
  </si>
  <si>
    <t>TXN-333726</t>
  </si>
  <si>
    <t>DSP-0268</t>
  </si>
  <si>
    <t>CUST-6934</t>
  </si>
  <si>
    <t>TXN-731264</t>
  </si>
  <si>
    <t>DSP-0269</t>
  </si>
  <si>
    <t>CUST-3639</t>
  </si>
  <si>
    <t>TXN-241268</t>
  </si>
  <si>
    <t>DSP-0270</t>
  </si>
  <si>
    <t>TXN-735988</t>
  </si>
  <si>
    <t>DSP-0271</t>
  </si>
  <si>
    <t>CUST-2127</t>
  </si>
  <si>
    <t>TXN-340977</t>
  </si>
  <si>
    <t>My payment of £40.89 failed but the money was debited.</t>
  </si>
  <si>
    <t>DSP-0272</t>
  </si>
  <si>
    <t>CUST-8901</t>
  </si>
  <si>
    <t>TXN-791423</t>
  </si>
  <si>
    <t>DSP-0273</t>
  </si>
  <si>
    <t>CUST-6742</t>
  </si>
  <si>
    <t>TXN-717661</t>
  </si>
  <si>
    <t>My payment of £38.73 failed but the money was debited.</t>
  </si>
  <si>
    <t>DSP-0274</t>
  </si>
  <si>
    <t>CUST-7144</t>
  </si>
  <si>
    <t>TXN-786341</t>
  </si>
  <si>
    <t>DSP-0275</t>
  </si>
  <si>
    <t>CUST-7511</t>
  </si>
  <si>
    <t>TXN-891645</t>
  </si>
  <si>
    <t>DSP-0276</t>
  </si>
  <si>
    <t>CUST-8317</t>
  </si>
  <si>
    <t>TXN-921149</t>
  </si>
  <si>
    <t>DSP-0277</t>
  </si>
  <si>
    <t>CUST-3381</t>
  </si>
  <si>
    <t>TXN-594580</t>
  </si>
  <si>
    <t>I was charged twice for the same payment of £24.98.</t>
  </si>
  <si>
    <t>DSP-0278</t>
  </si>
  <si>
    <t>CUST-9099</t>
  </si>
  <si>
    <t>TXN-560295</t>
  </si>
  <si>
    <t>DSP-0279</t>
  </si>
  <si>
    <t>CUST-1004</t>
  </si>
  <si>
    <t>TXN-265092</t>
  </si>
  <si>
    <t>DSP-0280</t>
  </si>
  <si>
    <t>CUST-6693</t>
  </si>
  <si>
    <t>TXN-955129</t>
  </si>
  <si>
    <t>DSP-0281</t>
  </si>
  <si>
    <t>CUST-9813</t>
  </si>
  <si>
    <t>TXN-952646</t>
  </si>
  <si>
    <t>My refund of £28.58 is still pending after several days.</t>
  </si>
  <si>
    <t>DSP-0282</t>
  </si>
  <si>
    <t>CUST-2106</t>
  </si>
  <si>
    <t>TXN-501261</t>
  </si>
  <si>
    <t>I was charged twice for the same payment of £41.44.</t>
  </si>
  <si>
    <t>DSP-0283</t>
  </si>
  <si>
    <t>CUST-3924</t>
  </si>
  <si>
    <t>TXN-599704</t>
  </si>
  <si>
    <t>DSP-0284</t>
  </si>
  <si>
    <t>CUST-2285</t>
  </si>
  <si>
    <t>TXN-808640</t>
  </si>
  <si>
    <t>DSP-0285</t>
  </si>
  <si>
    <t>CUST-9374</t>
  </si>
  <si>
    <t>TXN-393880</t>
  </si>
  <si>
    <t>DSP-0286</t>
  </si>
  <si>
    <t>CUST-4452</t>
  </si>
  <si>
    <t>TXN-497859</t>
  </si>
  <si>
    <t>My refund of £77.41 is still pending after several days.</t>
  </si>
  <si>
    <t>DSP-0287</t>
  </si>
  <si>
    <t>CUST-7099</t>
  </si>
  <si>
    <t>TXN-482812</t>
  </si>
  <si>
    <t>DSP-0288</t>
  </si>
  <si>
    <t>CUST-1159</t>
  </si>
  <si>
    <t>TXN-285186</t>
  </si>
  <si>
    <t>DSP-0289</t>
  </si>
  <si>
    <t>CUST-3676</t>
  </si>
  <si>
    <t>TXN-162952</t>
  </si>
  <si>
    <t>DSP-0290</t>
  </si>
  <si>
    <t>CUST-9821</t>
  </si>
  <si>
    <t>TXN-283017</t>
  </si>
  <si>
    <t>DSP-0291</t>
  </si>
  <si>
    <t>CUST-7631</t>
  </si>
  <si>
    <t>TXN-990136</t>
  </si>
  <si>
    <t>My refund of £18.47 is still pending after several days.</t>
  </si>
  <si>
    <t>DSP-0292</t>
  </si>
  <si>
    <t>CUST-7782</t>
  </si>
  <si>
    <t>TXN-275445</t>
  </si>
  <si>
    <t>My payment of £24.12 failed but the money was debited.</t>
  </si>
  <si>
    <t>DSP-0293</t>
  </si>
  <si>
    <t>CUST-8752</t>
  </si>
  <si>
    <t>TXN-675074</t>
  </si>
  <si>
    <t>DSP-0294</t>
  </si>
  <si>
    <t>CUST-1468</t>
  </si>
  <si>
    <t>TXN-136862</t>
  </si>
  <si>
    <t>DSP-0295</t>
  </si>
  <si>
    <t>CUST-8126</t>
  </si>
  <si>
    <t>TXN-648887</t>
  </si>
  <si>
    <t>My refund of £54.39 is still pending after several days.</t>
  </si>
  <si>
    <t>DSP-0296</t>
  </si>
  <si>
    <t>CUST-8687</t>
  </si>
  <si>
    <t>TXN-661091</t>
  </si>
  <si>
    <t>DSP-0297</t>
  </si>
  <si>
    <t>CUST-7745</t>
  </si>
  <si>
    <t>TXN-687783</t>
  </si>
  <si>
    <t>DSP-0298</t>
  </si>
  <si>
    <t>CUST-5664</t>
  </si>
  <si>
    <t>TXN-779956</t>
  </si>
  <si>
    <t>DSP-0299</t>
  </si>
  <si>
    <t>CUST-6253</t>
  </si>
  <si>
    <t>TXN-120337</t>
  </si>
  <si>
    <t>DSP-0300</t>
  </si>
  <si>
    <t>CUST-7084</t>
  </si>
  <si>
    <t>TXN-586208</t>
  </si>
  <si>
    <t>DSP-0301</t>
  </si>
  <si>
    <t>CUST-5078</t>
  </si>
  <si>
    <t>TXN-503489</t>
  </si>
  <si>
    <t>DSP-0302</t>
  </si>
  <si>
    <t>CUST-5150</t>
  </si>
  <si>
    <t>TXN-604605</t>
  </si>
  <si>
    <t>DSP-0303</t>
  </si>
  <si>
    <t>CUST-4982</t>
  </si>
  <si>
    <t>TXN-109363</t>
  </si>
  <si>
    <t>DSP-0304</t>
  </si>
  <si>
    <t>CUST-6824</t>
  </si>
  <si>
    <t>TXN-775885</t>
  </si>
  <si>
    <t>DSP-0305</t>
  </si>
  <si>
    <t>CUST-3207</t>
  </si>
  <si>
    <t>TXN-362874</t>
  </si>
  <si>
    <t>DSP-0306</t>
  </si>
  <si>
    <t>CUST-9702</t>
  </si>
  <si>
    <t>TXN-262555</t>
  </si>
  <si>
    <t>DSP-0307</t>
  </si>
  <si>
    <t>CUST-2037</t>
  </si>
  <si>
    <t>TXN-790266</t>
  </si>
  <si>
    <t>My payment of £126.53 failed but the money was debited.</t>
  </si>
  <si>
    <t>DSP-0308</t>
  </si>
  <si>
    <t>CUST-3926</t>
  </si>
  <si>
    <t>TXN-132792</t>
  </si>
  <si>
    <t>My payment of £29.42 failed but the money was debited.</t>
  </si>
  <si>
    <t>DSP-0309</t>
  </si>
  <si>
    <t>CUST-1214</t>
  </si>
  <si>
    <t>TXN-318877</t>
  </si>
  <si>
    <t>DSP-0310</t>
  </si>
  <si>
    <t>CUST-5979</t>
  </si>
  <si>
    <t>TXN-181721</t>
  </si>
  <si>
    <t>My payment of £81.54 failed but the money was debited.</t>
  </si>
  <si>
    <t>DSP-0311</t>
  </si>
  <si>
    <t>CUST-6864</t>
  </si>
  <si>
    <t>TXN-807256</t>
  </si>
  <si>
    <t>My refund of £46.86 is still pending after several days.</t>
  </si>
  <si>
    <t>DSP-0312</t>
  </si>
  <si>
    <t>CUST-7755</t>
  </si>
  <si>
    <t>TXN-901305</t>
  </si>
  <si>
    <t>DSP-0313</t>
  </si>
  <si>
    <t>CUST-7505</t>
  </si>
  <si>
    <t>TXN-100205</t>
  </si>
  <si>
    <t>DSP-0314</t>
  </si>
  <si>
    <t>CUST-2544</t>
  </si>
  <si>
    <t>TXN-139569</t>
  </si>
  <si>
    <t>DSP-0315</t>
  </si>
  <si>
    <t>CUST-8905</t>
  </si>
  <si>
    <t>TXN-281301</t>
  </si>
  <si>
    <t>DSP-0316</t>
  </si>
  <si>
    <t>CUST-2974</t>
  </si>
  <si>
    <t>TXN-907812</t>
  </si>
  <si>
    <t>DSP-0317</t>
  </si>
  <si>
    <t>CUST-9269</t>
  </si>
  <si>
    <t>TXN-194458</t>
  </si>
  <si>
    <t>DSP-0318</t>
  </si>
  <si>
    <t>CUST-4245</t>
  </si>
  <si>
    <t>TXN-611559</t>
  </si>
  <si>
    <t>My payment of £76.70 failed but the money was debited.</t>
  </si>
  <si>
    <t>DSP-0319</t>
  </si>
  <si>
    <t>CUST-2843</t>
  </si>
  <si>
    <t>TXN-804378</t>
  </si>
  <si>
    <t>DSP-0320</t>
  </si>
  <si>
    <t>CUST-7124</t>
  </si>
  <si>
    <t>TXN-263568</t>
  </si>
  <si>
    <t>My payment of £14.43 failed but the money was debited.</t>
  </si>
  <si>
    <t>DSP-0321</t>
  </si>
  <si>
    <t>CUST-1301</t>
  </si>
  <si>
    <t>TXN-494900</t>
  </si>
  <si>
    <t>DSP-0322</t>
  </si>
  <si>
    <t>CUST-1312</t>
  </si>
  <si>
    <t>TXN-406703</t>
  </si>
  <si>
    <t>DSP-0323</t>
  </si>
  <si>
    <t>CUST-9673</t>
  </si>
  <si>
    <t>TXN-419739</t>
  </si>
  <si>
    <t>DSP-0324</t>
  </si>
  <si>
    <t>CUST-4695</t>
  </si>
  <si>
    <t>TXN-259077</t>
  </si>
  <si>
    <t>DSP-0325</t>
  </si>
  <si>
    <t>CUST-6395</t>
  </si>
  <si>
    <t>TXN-570988</t>
  </si>
  <si>
    <t>DSP-0326</t>
  </si>
  <si>
    <t>CUST-3589</t>
  </si>
  <si>
    <t>TXN-432918</t>
  </si>
  <si>
    <t>DSP-0327</t>
  </si>
  <si>
    <t>CUST-3489</t>
  </si>
  <si>
    <t>TXN-916953</t>
  </si>
  <si>
    <t>DSP-0328</t>
  </si>
  <si>
    <t>CUST-3196</t>
  </si>
  <si>
    <t>TXN-626725</t>
  </si>
  <si>
    <t>My refund of £111.02 is still pending after several days.</t>
  </si>
  <si>
    <t>DSP-0329</t>
  </si>
  <si>
    <t>CUST-4646</t>
  </si>
  <si>
    <t>TXN-878427</t>
  </si>
  <si>
    <t>DSP-0330</t>
  </si>
  <si>
    <t>CUST-9784</t>
  </si>
  <si>
    <t>TXN-650744</t>
  </si>
  <si>
    <t>DSP-0331</t>
  </si>
  <si>
    <t>CUST-8558</t>
  </si>
  <si>
    <t>TXN-274573</t>
  </si>
  <si>
    <t>DSP-0332</t>
  </si>
  <si>
    <t>CUST-3930</t>
  </si>
  <si>
    <t>TXN-575718</t>
  </si>
  <si>
    <t>My payment of £19.49 failed but the money was debited.</t>
  </si>
  <si>
    <t>DSP-0333</t>
  </si>
  <si>
    <t>CUST-9582</t>
  </si>
  <si>
    <t>TXN-841635</t>
  </si>
  <si>
    <t>DSP-0334</t>
  </si>
  <si>
    <t>CUST-7874</t>
  </si>
  <si>
    <t>TXN-423026</t>
  </si>
  <si>
    <t>DSP-0335</t>
  </si>
  <si>
    <t>CUST-4897</t>
  </si>
  <si>
    <t>TXN-327408</t>
  </si>
  <si>
    <t>DSP-0336</t>
  </si>
  <si>
    <t>TXN-995304</t>
  </si>
  <si>
    <t>DSP-0337</t>
  </si>
  <si>
    <t>CUST-8460</t>
  </si>
  <si>
    <t>TXN-885734</t>
  </si>
  <si>
    <t>DSP-0338</t>
  </si>
  <si>
    <t>CUST-9635</t>
  </si>
  <si>
    <t>TXN-533856</t>
  </si>
  <si>
    <t>DSP-0339</t>
  </si>
  <si>
    <t>TXN-372273</t>
  </si>
  <si>
    <t>DSP-0340</t>
  </si>
  <si>
    <t>CUST-2936</t>
  </si>
  <si>
    <t>TXN-125151</t>
  </si>
  <si>
    <t>My payment of £140.02 failed but the money was debited.</t>
  </si>
  <si>
    <t>DSP-0341</t>
  </si>
  <si>
    <t>CUST-6042</t>
  </si>
  <si>
    <t>TXN-414870</t>
  </si>
  <si>
    <t>DSP-0342</t>
  </si>
  <si>
    <t>CUST-8774</t>
  </si>
  <si>
    <t>TXN-935981</t>
  </si>
  <si>
    <t>My refund of £225.51 is still pending after several days.</t>
  </si>
  <si>
    <t>DSP-0343</t>
  </si>
  <si>
    <t>CUST-9779</t>
  </si>
  <si>
    <t>TXN-119627</t>
  </si>
  <si>
    <t>My refund of £85.79 is still pending after several days.</t>
  </si>
  <si>
    <t>DSP-0344</t>
  </si>
  <si>
    <t>CUST-1518</t>
  </si>
  <si>
    <t>TXN-384685</t>
  </si>
  <si>
    <t>DSP-0345</t>
  </si>
  <si>
    <t>CUST-8270</t>
  </si>
  <si>
    <t>TXN-630573</t>
  </si>
  <si>
    <t>DSP-0346</t>
  </si>
  <si>
    <t>TXN-859767</t>
  </si>
  <si>
    <t>DSP-0347</t>
  </si>
  <si>
    <t>CUST-9529</t>
  </si>
  <si>
    <t>TXN-903398</t>
  </si>
  <si>
    <t>DSP-0348</t>
  </si>
  <si>
    <t>CUST-9422</t>
  </si>
  <si>
    <t>TXN-207348</t>
  </si>
  <si>
    <t>DSP-0349</t>
  </si>
  <si>
    <t>CUST-2735</t>
  </si>
  <si>
    <t>TXN-502233</t>
  </si>
  <si>
    <t>DSP-0350</t>
  </si>
  <si>
    <t>CUST-2522</t>
  </si>
  <si>
    <t>TXN-952336</t>
  </si>
  <si>
    <t>DSP-0351</t>
  </si>
  <si>
    <t>CUST-7423</t>
  </si>
  <si>
    <t>TXN-292259</t>
  </si>
  <si>
    <t>DSP-0352</t>
  </si>
  <si>
    <t>CUST-6339</t>
  </si>
  <si>
    <t>TXN-683165</t>
  </si>
  <si>
    <t>DSP-0353</t>
  </si>
  <si>
    <t>CUST-8132</t>
  </si>
  <si>
    <t>TXN-694764</t>
  </si>
  <si>
    <t>I was charged twice for the same payment of £52.31.</t>
  </si>
  <si>
    <t>DSP-0354</t>
  </si>
  <si>
    <t>CUST-6046</t>
  </si>
  <si>
    <t>TXN-525505</t>
  </si>
  <si>
    <t>DSP-0355</t>
  </si>
  <si>
    <t>CUST-3444</t>
  </si>
  <si>
    <t>TXN-574978</t>
  </si>
  <si>
    <t>DSP-0356</t>
  </si>
  <si>
    <t>CUST-2462</t>
  </si>
  <si>
    <t>TXN-711033</t>
  </si>
  <si>
    <t>DSP-0357</t>
  </si>
  <si>
    <t>CUST-7251</t>
  </si>
  <si>
    <t>TXN-556329</t>
  </si>
  <si>
    <t>My payment of £12.38 failed but the money was debited.</t>
  </si>
  <si>
    <t>DSP-0358</t>
  </si>
  <si>
    <t>CUST-3359</t>
  </si>
  <si>
    <t>TXN-856379</t>
  </si>
  <si>
    <t>DSP-0359</t>
  </si>
  <si>
    <t>TXN-544726</t>
  </si>
  <si>
    <t>My refund of £20.18 is still pending after several days.</t>
  </si>
  <si>
    <t>DSP-0360</t>
  </si>
  <si>
    <t>CUST-1548</t>
  </si>
  <si>
    <t>TXN-139704</t>
  </si>
  <si>
    <t>DSP-0361</t>
  </si>
  <si>
    <t>CUST-5017</t>
  </si>
  <si>
    <t>TXN-595401</t>
  </si>
  <si>
    <t>DSP-0362</t>
  </si>
  <si>
    <t>CUST-1578</t>
  </si>
  <si>
    <t>TXN-828813</t>
  </si>
  <si>
    <t>DSP-0363</t>
  </si>
  <si>
    <t>CUST-8942</t>
  </si>
  <si>
    <t>TXN-186518</t>
  </si>
  <si>
    <t>DSP-0364</t>
  </si>
  <si>
    <t>CUST-3873</t>
  </si>
  <si>
    <t>TXN-373943</t>
  </si>
  <si>
    <t>DSP-0365</t>
  </si>
  <si>
    <t>CUST-4898</t>
  </si>
  <si>
    <t>TXN-792759</t>
  </si>
  <si>
    <t>My payment of £82.84 failed but the money was debited.</t>
  </si>
  <si>
    <t>DSP-0366</t>
  </si>
  <si>
    <t>CUST-7222</t>
  </si>
  <si>
    <t>TXN-816712</t>
  </si>
  <si>
    <t>DSP-0367</t>
  </si>
  <si>
    <t>CUST-5466</t>
  </si>
  <si>
    <t>TXN-451238</t>
  </si>
  <si>
    <t>DSP-0368</t>
  </si>
  <si>
    <t>CUST-9972</t>
  </si>
  <si>
    <t>TXN-111091</t>
  </si>
  <si>
    <t>My payment of £36.56 failed but the money was debited.</t>
  </si>
  <si>
    <t>DSP-0369</t>
  </si>
  <si>
    <t>CUST-2965</t>
  </si>
  <si>
    <t>TXN-190582</t>
  </si>
  <si>
    <t>DSP-0370</t>
  </si>
  <si>
    <t>CUST-6298</t>
  </si>
  <si>
    <t>TXN-369836</t>
  </si>
  <si>
    <t>DSP-0371</t>
  </si>
  <si>
    <t>CUST-3923</t>
  </si>
  <si>
    <t>TXN-776838</t>
  </si>
  <si>
    <t>DSP-0372</t>
  </si>
  <si>
    <t>CUST-9154</t>
  </si>
  <si>
    <t>TXN-256085</t>
  </si>
  <si>
    <t>DSP-0373</t>
  </si>
  <si>
    <t>TXN-336817</t>
  </si>
  <si>
    <t>DSP-0374</t>
  </si>
  <si>
    <t>CUST-2318</t>
  </si>
  <si>
    <t>TXN-982042</t>
  </si>
  <si>
    <t>DSP-0375</t>
  </si>
  <si>
    <t>CUST-8970</t>
  </si>
  <si>
    <t>TXN-188984</t>
  </si>
  <si>
    <t>My payment of £8.19 failed but the money was debited.</t>
  </si>
  <si>
    <t>DSP-0376</t>
  </si>
  <si>
    <t>CUST-6558</t>
  </si>
  <si>
    <t>TXN-158777</t>
  </si>
  <si>
    <t>My payment of £63.46 failed but the money was debited.</t>
  </si>
  <si>
    <t>DSP-0377</t>
  </si>
  <si>
    <t>CUST-9010</t>
  </si>
  <si>
    <t>TXN-785592</t>
  </si>
  <si>
    <t>DSP-0378</t>
  </si>
  <si>
    <t>CUST-2033</t>
  </si>
  <si>
    <t>TXN-943530</t>
  </si>
  <si>
    <t>DSP-0379</t>
  </si>
  <si>
    <t>CUST-3314</t>
  </si>
  <si>
    <t>TXN-894348</t>
  </si>
  <si>
    <t>DSP-0380</t>
  </si>
  <si>
    <t>CUST-2460</t>
  </si>
  <si>
    <t>TXN-841071</t>
  </si>
  <si>
    <t>DSP-0381</t>
  </si>
  <si>
    <t>CUST-3949</t>
  </si>
  <si>
    <t>TXN-852037</t>
  </si>
  <si>
    <t>My payment of £79.94 failed but the money was debited.</t>
  </si>
  <si>
    <t>DSP-0382</t>
  </si>
  <si>
    <t>CUST-8605</t>
  </si>
  <si>
    <t>TXN-907750</t>
  </si>
  <si>
    <t>DSP-0383</t>
  </si>
  <si>
    <t>CUST-4433</t>
  </si>
  <si>
    <t>TXN-555786</t>
  </si>
  <si>
    <t>DSP-0384</t>
  </si>
  <si>
    <t>CUST-6343</t>
  </si>
  <si>
    <t>TXN-338846</t>
  </si>
  <si>
    <t>My refund of £9.04 is still pending after several days.</t>
  </si>
  <si>
    <t>DSP-0385</t>
  </si>
  <si>
    <t>CUST-4181</t>
  </si>
  <si>
    <t>TXN-762722</t>
  </si>
  <si>
    <t>DSP-0386</t>
  </si>
  <si>
    <t>CUST-3568</t>
  </si>
  <si>
    <t>TXN-927899</t>
  </si>
  <si>
    <t>DSP-0387</t>
  </si>
  <si>
    <t>CUST-5041</t>
  </si>
  <si>
    <t>TXN-359870</t>
  </si>
  <si>
    <t>DSP-0388</t>
  </si>
  <si>
    <t>CUST-9114</t>
  </si>
  <si>
    <t>TXN-352194</t>
  </si>
  <si>
    <t>My payment of £18.91 failed but the money was debited.</t>
  </si>
  <si>
    <t>DSP-0389</t>
  </si>
  <si>
    <t>CUST-8452</t>
  </si>
  <si>
    <t>TXN-586288</t>
  </si>
  <si>
    <t>My refund of £79.15 is still pending after several days.</t>
  </si>
  <si>
    <t>DSP-0390</t>
  </si>
  <si>
    <t>CUST-9887</t>
  </si>
  <si>
    <t>TXN-703171</t>
  </si>
  <si>
    <t>My payment of £392.87 failed but the money was debited.</t>
  </si>
  <si>
    <t>DSP-0391</t>
  </si>
  <si>
    <t>CUST-4354</t>
  </si>
  <si>
    <t>TXN-245129</t>
  </si>
  <si>
    <t>DSP-0392</t>
  </si>
  <si>
    <t>CUST-5540</t>
  </si>
  <si>
    <t>TXN-157105</t>
  </si>
  <si>
    <t>DSP-0393</t>
  </si>
  <si>
    <t>CUST-4085</t>
  </si>
  <si>
    <t>TXN-580115</t>
  </si>
  <si>
    <t>DSP-0394</t>
  </si>
  <si>
    <t>CUST-8764</t>
  </si>
  <si>
    <t>TXN-463541</t>
  </si>
  <si>
    <t>DSP-0395</t>
  </si>
  <si>
    <t>CUST-8965</t>
  </si>
  <si>
    <t>TXN-722180</t>
  </si>
  <si>
    <t>My refund of £29.10 is still pending after several days.</t>
  </si>
  <si>
    <t>DSP-0396</t>
  </si>
  <si>
    <t>CUST-3725</t>
  </si>
  <si>
    <t>TXN-748680</t>
  </si>
  <si>
    <t>DSP-0397</t>
  </si>
  <si>
    <t>CUST-5266</t>
  </si>
  <si>
    <t>TXN-487629</t>
  </si>
  <si>
    <t>DSP-0398</t>
  </si>
  <si>
    <t>CUST-9948</t>
  </si>
  <si>
    <t>TXN-632056</t>
  </si>
  <si>
    <t>I was charged twice for the same payment of £136.21.</t>
  </si>
  <si>
    <t>DSP-0399</t>
  </si>
  <si>
    <t>CUST-3284</t>
  </si>
  <si>
    <t>TXN-810943</t>
  </si>
  <si>
    <t>My payment of £50.39 failed but the money was debited.</t>
  </si>
  <si>
    <t>DSP-0400</t>
  </si>
  <si>
    <t>CUST-1369</t>
  </si>
  <si>
    <t>TXN-187649</t>
  </si>
  <si>
    <t>DSP-0401</t>
  </si>
  <si>
    <t>CUST-7056</t>
  </si>
  <si>
    <t>TXN-504868</t>
  </si>
  <si>
    <t>My refund of £24.42 is still pending after several days.</t>
  </si>
  <si>
    <t>DSP-0402</t>
  </si>
  <si>
    <t>CUST-7786</t>
  </si>
  <si>
    <t>TXN-246347</t>
  </si>
  <si>
    <t>DSP-0403</t>
  </si>
  <si>
    <t>CUST-3865</t>
  </si>
  <si>
    <t>TXN-682813</t>
  </si>
  <si>
    <t>DSP-0404</t>
  </si>
  <si>
    <t>CUST-3523</t>
  </si>
  <si>
    <t>TXN-375436</t>
  </si>
  <si>
    <t>DSP-0405</t>
  </si>
  <si>
    <t>CUST-2093</t>
  </si>
  <si>
    <t>TXN-727983</t>
  </si>
  <si>
    <t>DSP-0406</t>
  </si>
  <si>
    <t>CUST-6237</t>
  </si>
  <si>
    <t>TXN-583439</t>
  </si>
  <si>
    <t>My payment of £23.18 failed but the money was debited.</t>
  </si>
  <si>
    <t>DSP-0407</t>
  </si>
  <si>
    <t>CUST-2548</t>
  </si>
  <si>
    <t>TXN-727847</t>
  </si>
  <si>
    <t>DSP-0408</t>
  </si>
  <si>
    <t>CUST-9489</t>
  </si>
  <si>
    <t>TXN-395087</t>
  </si>
  <si>
    <t>DSP-0409</t>
  </si>
  <si>
    <t>CUST-7837</t>
  </si>
  <si>
    <t>TXN-582860</t>
  </si>
  <si>
    <t>My payment of £13.74 failed but the money was debited.</t>
  </si>
  <si>
    <t>DSP-0410</t>
  </si>
  <si>
    <t>CUST-3108</t>
  </si>
  <si>
    <t>TXN-998435</t>
  </si>
  <si>
    <t>I was charged twice for the same payment of £25.46.</t>
  </si>
  <si>
    <t>DSP-0411</t>
  </si>
  <si>
    <t>CUST-9412</t>
  </si>
  <si>
    <t>TXN-721990</t>
  </si>
  <si>
    <t>DSP-0412</t>
  </si>
  <si>
    <t>CUST-5544</t>
  </si>
  <si>
    <t>TXN-707913</t>
  </si>
  <si>
    <t>DSP-0413</t>
  </si>
  <si>
    <t>CUST-5617</t>
  </si>
  <si>
    <t>TXN-280117</t>
  </si>
  <si>
    <t>DSP-0414</t>
  </si>
  <si>
    <t>CUST-2848</t>
  </si>
  <si>
    <t>TXN-898395</t>
  </si>
  <si>
    <t>DSP-0415</t>
  </si>
  <si>
    <t>CUST-8273</t>
  </si>
  <si>
    <t>TXN-336845</t>
  </si>
  <si>
    <t>DSP-0416</t>
  </si>
  <si>
    <t>CUST-2953</t>
  </si>
  <si>
    <t>TXN-250331</t>
  </si>
  <si>
    <t>DSP-0417</t>
  </si>
  <si>
    <t>CUST-5563</t>
  </si>
  <si>
    <t>TXN-901968</t>
  </si>
  <si>
    <t>DSP-0418</t>
  </si>
  <si>
    <t>CUST-1486</t>
  </si>
  <si>
    <t>TXN-204441</t>
  </si>
  <si>
    <t>DSP-0419</t>
  </si>
  <si>
    <t>CUST-5809</t>
  </si>
  <si>
    <t>TXN-794255</t>
  </si>
  <si>
    <t>DSP-0420</t>
  </si>
  <si>
    <t>CUST-8531</t>
  </si>
  <si>
    <t>TXN-137728</t>
  </si>
  <si>
    <t>DSP-0421</t>
  </si>
  <si>
    <t>CUST-3560</t>
  </si>
  <si>
    <t>TXN-631297</t>
  </si>
  <si>
    <t>My refund of £30.90 is still pending after several days.</t>
  </si>
  <si>
    <t>DSP-0422</t>
  </si>
  <si>
    <t>CUST-7749</t>
  </si>
  <si>
    <t>TXN-468332</t>
  </si>
  <si>
    <t>DSP-0423</t>
  </si>
  <si>
    <t>CUST-1612</t>
  </si>
  <si>
    <t>TXN-583298</t>
  </si>
  <si>
    <t>DSP-0424</t>
  </si>
  <si>
    <t>CUST-6504</t>
  </si>
  <si>
    <t>TXN-620860</t>
  </si>
  <si>
    <t>DSP-0425</t>
  </si>
  <si>
    <t>CUST-5708</t>
  </si>
  <si>
    <t>TXN-378035</t>
  </si>
  <si>
    <t>DSP-0426</t>
  </si>
  <si>
    <t>CUST-6690</t>
  </si>
  <si>
    <t>TXN-934301</t>
  </si>
  <si>
    <t>I was charged twice for the same payment of £88.41.</t>
  </si>
  <si>
    <t>DSP-0427</t>
  </si>
  <si>
    <t>CUST-1304</t>
  </si>
  <si>
    <t>TXN-758342</t>
  </si>
  <si>
    <t>DSP-0428</t>
  </si>
  <si>
    <t>CUST-4938</t>
  </si>
  <si>
    <t>TXN-257782</t>
  </si>
  <si>
    <t>DSP-0429</t>
  </si>
  <si>
    <t>TXN-129049</t>
  </si>
  <si>
    <t>I was charged twice for the same payment of £5.00.</t>
  </si>
  <si>
    <t>DSP-0430</t>
  </si>
  <si>
    <t>CUST-1691</t>
  </si>
  <si>
    <t>TXN-857568</t>
  </si>
  <si>
    <t>My payment of £93.95 failed but the money was debited.</t>
  </si>
  <si>
    <t>DSP-0431</t>
  </si>
  <si>
    <t>CUST-7502</t>
  </si>
  <si>
    <t>TXN-980605</t>
  </si>
  <si>
    <t>DSP-0432</t>
  </si>
  <si>
    <t>CUST-7388</t>
  </si>
  <si>
    <t>TXN-944986</t>
  </si>
  <si>
    <t>DSP-0433</t>
  </si>
  <si>
    <t>CUST-9740</t>
  </si>
  <si>
    <t>TXN-492906</t>
  </si>
  <si>
    <t>DSP-0434</t>
  </si>
  <si>
    <t>CUST-5144</t>
  </si>
  <si>
    <t>TXN-679577</t>
  </si>
  <si>
    <t>DSP-0435</t>
  </si>
  <si>
    <t>CUST-5929</t>
  </si>
  <si>
    <t>TXN-194634</t>
  </si>
  <si>
    <t>DSP-0436</t>
  </si>
  <si>
    <t>CUST-6451</t>
  </si>
  <si>
    <t>TXN-852233</t>
  </si>
  <si>
    <t>DSP-0437</t>
  </si>
  <si>
    <t>CUST-8426</t>
  </si>
  <si>
    <t>TXN-828980</t>
  </si>
  <si>
    <t>DSP-0438</t>
  </si>
  <si>
    <t>CUST-6233</t>
  </si>
  <si>
    <t>TXN-573421</t>
  </si>
  <si>
    <t>My payment of £12.55 failed but the money was debited.</t>
  </si>
  <si>
    <t>DSP-0439</t>
  </si>
  <si>
    <t>CUST-1339</t>
  </si>
  <si>
    <t>TXN-124085</t>
  </si>
  <si>
    <t>DSP-0440</t>
  </si>
  <si>
    <t>CUST-9615</t>
  </si>
  <si>
    <t>TXN-556297</t>
  </si>
  <si>
    <t>My refund of £24.43 is still pending after several days.</t>
  </si>
  <si>
    <t>DSP-0441</t>
  </si>
  <si>
    <t>CUST-4102</t>
  </si>
  <si>
    <t>TXN-538651</t>
  </si>
  <si>
    <t>My payment of £26.72 failed but the money was debited.</t>
  </si>
  <si>
    <t>DSP-0442</t>
  </si>
  <si>
    <t>CUST-7283</t>
  </si>
  <si>
    <t>TXN-842866</t>
  </si>
  <si>
    <t>I was charged twice for the same payment of £29.41.</t>
  </si>
  <si>
    <t>DSP-0443</t>
  </si>
  <si>
    <t>CUST-5155</t>
  </si>
  <si>
    <t>TXN-629050</t>
  </si>
  <si>
    <t>DSP-0444</t>
  </si>
  <si>
    <t>CUST-6132</t>
  </si>
  <si>
    <t>TXN-146307</t>
  </si>
  <si>
    <t>DSP-0445</t>
  </si>
  <si>
    <t>CUST-3703</t>
  </si>
  <si>
    <t>TXN-430870</t>
  </si>
  <si>
    <t>DSP-0446</t>
  </si>
  <si>
    <t>CUST-2900</t>
  </si>
  <si>
    <t>TXN-618951</t>
  </si>
  <si>
    <t>DSP-0447</t>
  </si>
  <si>
    <t>CUST-3757</t>
  </si>
  <si>
    <t>TXN-886365</t>
  </si>
  <si>
    <t>DSP-0448</t>
  </si>
  <si>
    <t>CUST-5657</t>
  </si>
  <si>
    <t>TXN-814407</t>
  </si>
  <si>
    <t>DSP-0449</t>
  </si>
  <si>
    <t>CUST-3118</t>
  </si>
  <si>
    <t>TXN-321634</t>
  </si>
  <si>
    <t>I was charged twice for the same payment of £220.73.</t>
  </si>
  <si>
    <t>DSP-0450</t>
  </si>
  <si>
    <t>CUST-4411</t>
  </si>
  <si>
    <t>TXN-270855</t>
  </si>
  <si>
    <t>I was charged twice for the same payment of £117.28.</t>
  </si>
  <si>
    <t>DSP-0451</t>
  </si>
  <si>
    <t>CUST-6882</t>
  </si>
  <si>
    <t>TXN-797848</t>
  </si>
  <si>
    <t>DSP-0452</t>
  </si>
  <si>
    <t>CUST-1662</t>
  </si>
  <si>
    <t>TXN-638277</t>
  </si>
  <si>
    <t>DSP-0453</t>
  </si>
  <si>
    <t>CUST-3093</t>
  </si>
  <si>
    <t>TXN-817555</t>
  </si>
  <si>
    <t>DSP-0454</t>
  </si>
  <si>
    <t>CUST-5175</t>
  </si>
  <si>
    <t>TXN-714012</t>
  </si>
  <si>
    <t>DSP-0455</t>
  </si>
  <si>
    <t>CUST-8454</t>
  </si>
  <si>
    <t>TXN-894143</t>
  </si>
  <si>
    <t>I was charged twice for the same payment of £23.11.</t>
  </si>
  <si>
    <t>DSP-0456</t>
  </si>
  <si>
    <t>CUST-1217</t>
  </si>
  <si>
    <t>TXN-280077</t>
  </si>
  <si>
    <t>My refund of £99.41 is still pending after several days.</t>
  </si>
  <si>
    <t>DSP-0457</t>
  </si>
  <si>
    <t>CUST-2435</t>
  </si>
  <si>
    <t>TXN-231165</t>
  </si>
  <si>
    <t>My payment of £78.42 failed but the money was debited.</t>
  </si>
  <si>
    <t>DSP-0458</t>
  </si>
  <si>
    <t>TXN-542372</t>
  </si>
  <si>
    <t>DSP-0459</t>
  </si>
  <si>
    <t>CUST-6469</t>
  </si>
  <si>
    <t>TXN-108256</t>
  </si>
  <si>
    <t>DSP-0460</t>
  </si>
  <si>
    <t>CUST-1994</t>
  </si>
  <si>
    <t>TXN-653971</t>
  </si>
  <si>
    <t>I was charged twice for the same payment of £32.16.</t>
  </si>
  <si>
    <t>DSP-0461</t>
  </si>
  <si>
    <t>CUST-3643</t>
  </si>
  <si>
    <t>TXN-402001</t>
  </si>
  <si>
    <t>My refund of £41.55 is still pending after several days.</t>
  </si>
  <si>
    <t>DSP-0462</t>
  </si>
  <si>
    <t>CUST-8738</t>
  </si>
  <si>
    <t>TXN-938603</t>
  </si>
  <si>
    <t>DSP-0463</t>
  </si>
  <si>
    <t>CUST-5975</t>
  </si>
  <si>
    <t>TXN-346120</t>
  </si>
  <si>
    <t>DSP-0464</t>
  </si>
  <si>
    <t>CUST-4671</t>
  </si>
  <si>
    <t>TXN-609990</t>
  </si>
  <si>
    <t>DSP-0465</t>
  </si>
  <si>
    <t>CUST-1826</t>
  </si>
  <si>
    <t>TXN-559094</t>
  </si>
  <si>
    <t>DSP-0466</t>
  </si>
  <si>
    <t>CUST-8233</t>
  </si>
  <si>
    <t>TXN-898977</t>
  </si>
  <si>
    <t>DSP-0467</t>
  </si>
  <si>
    <t>CUST-8760</t>
  </si>
  <si>
    <t>TXN-457900</t>
  </si>
  <si>
    <t>DSP-0468</t>
  </si>
  <si>
    <t>CUST-9456</t>
  </si>
  <si>
    <t>TXN-933206</t>
  </si>
  <si>
    <t>DSP-0469</t>
  </si>
  <si>
    <t>CUST-7443</t>
  </si>
  <si>
    <t>TXN-896070</t>
  </si>
  <si>
    <t>DSP-0470</t>
  </si>
  <si>
    <t>CUST-1129</t>
  </si>
  <si>
    <t>TXN-967176</t>
  </si>
  <si>
    <t>DSP-0471</t>
  </si>
  <si>
    <t>CUST-4232</t>
  </si>
  <si>
    <t>TXN-416178</t>
  </si>
  <si>
    <t>DSP-0472</t>
  </si>
  <si>
    <t>CUST-1383</t>
  </si>
  <si>
    <t>TXN-129246</t>
  </si>
  <si>
    <t>I was charged twice for the same payment of £174.47.</t>
  </si>
  <si>
    <t>DSP-0473</t>
  </si>
  <si>
    <t>CUST-1782</t>
  </si>
  <si>
    <t>TXN-893310</t>
  </si>
  <si>
    <t>DSP-0474</t>
  </si>
  <si>
    <t>CUST-6739</t>
  </si>
  <si>
    <t>TXN-413735</t>
  </si>
  <si>
    <t>DSP-0475</t>
  </si>
  <si>
    <t>CUST-2605</t>
  </si>
  <si>
    <t>TXN-253672</t>
  </si>
  <si>
    <t>DSP-0476</t>
  </si>
  <si>
    <t>CUST-8210</t>
  </si>
  <si>
    <t>TXN-822487</t>
  </si>
  <si>
    <t>My refund of £14.96 is still pending after several days.</t>
  </si>
  <si>
    <t>DSP-0477</t>
  </si>
  <si>
    <t>CUST-8755</t>
  </si>
  <si>
    <t>TXN-134191</t>
  </si>
  <si>
    <t>My refund of £34.76 is still pending after several days.</t>
  </si>
  <si>
    <t>DSP-0478</t>
  </si>
  <si>
    <t>TXN-419987</t>
  </si>
  <si>
    <t>DSP-0479</t>
  </si>
  <si>
    <t>CUST-8786</t>
  </si>
  <si>
    <t>TXN-974994</t>
  </si>
  <si>
    <t>My refund of £36.47 is still pending after several days.</t>
  </si>
  <si>
    <t>DSP-0480</t>
  </si>
  <si>
    <t>CUST-9863</t>
  </si>
  <si>
    <t>TXN-148045</t>
  </si>
  <si>
    <t>DSP-0481</t>
  </si>
  <si>
    <t>CUST-9877</t>
  </si>
  <si>
    <t>TXN-704876</t>
  </si>
  <si>
    <t>DSP-0482</t>
  </si>
  <si>
    <t>CUST-2386</t>
  </si>
  <si>
    <t>TXN-946118</t>
  </si>
  <si>
    <t>My refund of £11.77 is still pending after several days.</t>
  </si>
  <si>
    <t>DSP-0483</t>
  </si>
  <si>
    <t>TXN-291542</t>
  </si>
  <si>
    <t>My payment of £8.00 failed but the money was debited.</t>
  </si>
  <si>
    <t>DSP-0484</t>
  </si>
  <si>
    <t>CUST-4318</t>
  </si>
  <si>
    <t>TXN-351262</t>
  </si>
  <si>
    <t>DSP-0485</t>
  </si>
  <si>
    <t>CUST-5409</t>
  </si>
  <si>
    <t>TXN-680990</t>
  </si>
  <si>
    <t>I was charged twice for the same payment of £58.64.</t>
  </si>
  <si>
    <t>DSP-0486</t>
  </si>
  <si>
    <t>CUST-5016</t>
  </si>
  <si>
    <t>TXN-663646</t>
  </si>
  <si>
    <t>DSP-0487</t>
  </si>
  <si>
    <t>CUST-9361</t>
  </si>
  <si>
    <t>TXN-394976</t>
  </si>
  <si>
    <t>DSP-0488</t>
  </si>
  <si>
    <t>CUST-5282</t>
  </si>
  <si>
    <t>TXN-889256</t>
  </si>
  <si>
    <t>DSP-0489</t>
  </si>
  <si>
    <t>CUST-1156</t>
  </si>
  <si>
    <t>TXN-805383</t>
  </si>
  <si>
    <t>DSP-0490</t>
  </si>
  <si>
    <t>CUST-3022</t>
  </si>
  <si>
    <t>TXN-470141</t>
  </si>
  <si>
    <t>DSP-0491</t>
  </si>
  <si>
    <t>CUST-1324</t>
  </si>
  <si>
    <t>TXN-895262</t>
  </si>
  <si>
    <t>DSP-0492</t>
  </si>
  <si>
    <t>CUST-4212</t>
  </si>
  <si>
    <t>TXN-961010</t>
  </si>
  <si>
    <t>I was charged twice for the same payment of £40.47.</t>
  </si>
  <si>
    <t>DSP-0493</t>
  </si>
  <si>
    <t>CUST-3101</t>
  </si>
  <si>
    <t>TXN-882209</t>
  </si>
  <si>
    <t>DSP-0494</t>
  </si>
  <si>
    <t>CUST-1849</t>
  </si>
  <si>
    <t>TXN-995336</t>
  </si>
  <si>
    <t>DSP-0495</t>
  </si>
  <si>
    <t>CUST-7882</t>
  </si>
  <si>
    <t>TXN-658272</t>
  </si>
  <si>
    <t>DSP-0496</t>
  </si>
  <si>
    <t>CUST-1456</t>
  </si>
  <si>
    <t>TXN-603281</t>
  </si>
  <si>
    <t>DSP-0497</t>
  </si>
  <si>
    <t>CUST-2194</t>
  </si>
  <si>
    <t>TXN-913432</t>
  </si>
  <si>
    <t>DSP-0498</t>
  </si>
  <si>
    <t>CUST-5939</t>
  </si>
  <si>
    <t>TXN-740405</t>
  </si>
  <si>
    <t>DSP-0499</t>
  </si>
  <si>
    <t>CUST-8428</t>
  </si>
  <si>
    <t>TXN-502569</t>
  </si>
  <si>
    <t>DSP-0500</t>
  </si>
  <si>
    <t>CUST-3064</t>
  </si>
  <si>
    <t>TXN-768324</t>
  </si>
  <si>
    <t>My refund of £72.95 is still pending after several days.</t>
  </si>
  <si>
    <t>DSP-0501</t>
  </si>
  <si>
    <t>CUST-9866</t>
  </si>
  <si>
    <t>TXN-913166</t>
  </si>
  <si>
    <t>DSP-0502</t>
  </si>
  <si>
    <t>CUST-6633</t>
  </si>
  <si>
    <t>TXN-304899</t>
  </si>
  <si>
    <t>DSP-0503</t>
  </si>
  <si>
    <t>CUST-5909</t>
  </si>
  <si>
    <t>TXN-539033</t>
  </si>
  <si>
    <t>My refund of £23.93 is still pending after several days.</t>
  </si>
  <si>
    <t>DSP-0504</t>
  </si>
  <si>
    <t>CUST-1162</t>
  </si>
  <si>
    <t>TXN-177312</t>
  </si>
  <si>
    <t>My payment of £27.69 failed but the money was debited.</t>
  </si>
  <si>
    <t>DSP-0505</t>
  </si>
  <si>
    <t>CUST-6567</t>
  </si>
  <si>
    <t>TXN-988704</t>
  </si>
  <si>
    <t>DSP-0506</t>
  </si>
  <si>
    <t>CUST-7100</t>
  </si>
  <si>
    <t>TXN-793013</t>
  </si>
  <si>
    <t>DSP-0507</t>
  </si>
  <si>
    <t>CUST-9773</t>
  </si>
  <si>
    <t>TXN-408472</t>
  </si>
  <si>
    <t>DSP-0508</t>
  </si>
  <si>
    <t>CUST-9168</t>
  </si>
  <si>
    <t>TXN-644098</t>
  </si>
  <si>
    <t>DSP-0509</t>
  </si>
  <si>
    <t>CUST-4840</t>
  </si>
  <si>
    <t>TXN-515131</t>
  </si>
  <si>
    <t>DSP-0510</t>
  </si>
  <si>
    <t>CUST-7981</t>
  </si>
  <si>
    <t>TXN-573066</t>
  </si>
  <si>
    <t>My refund of £40.25 is still pending after several days.</t>
  </si>
  <si>
    <t>DSP-0511</t>
  </si>
  <si>
    <t>CUST-9220</t>
  </si>
  <si>
    <t>TXN-637700</t>
  </si>
  <si>
    <t>DSP-0512</t>
  </si>
  <si>
    <t>CUST-1139</t>
  </si>
  <si>
    <t>TXN-907483</t>
  </si>
  <si>
    <t>DSP-0513</t>
  </si>
  <si>
    <t>CUST-8773</t>
  </si>
  <si>
    <t>TXN-345076</t>
  </si>
  <si>
    <t>DSP-0514</t>
  </si>
  <si>
    <t>CUST-3276</t>
  </si>
  <si>
    <t>TXN-705561</t>
  </si>
  <si>
    <t>DSP-0515</t>
  </si>
  <si>
    <t>CUST-6342</t>
  </si>
  <si>
    <t>TXN-715467</t>
  </si>
  <si>
    <t>My payment of £48.27 failed but the money was debited.</t>
  </si>
  <si>
    <t>DSP-0516</t>
  </si>
  <si>
    <t>CUST-3808</t>
  </si>
  <si>
    <t>TXN-209380</t>
  </si>
  <si>
    <t>DSP-0517</t>
  </si>
  <si>
    <t>CUST-8449</t>
  </si>
  <si>
    <t>TXN-160244</t>
  </si>
  <si>
    <t>My payment of £98.53 failed but the money was debited.</t>
  </si>
  <si>
    <t>DSP-0518</t>
  </si>
  <si>
    <t>CUST-6075</t>
  </si>
  <si>
    <t>TXN-553195</t>
  </si>
  <si>
    <t>DSP-0519</t>
  </si>
  <si>
    <t>CUST-7541</t>
  </si>
  <si>
    <t>TXN-734229</t>
  </si>
  <si>
    <t>DSP-0520</t>
  </si>
  <si>
    <t>CUST-5081</t>
  </si>
  <si>
    <t>TXN-288301</t>
  </si>
  <si>
    <t>DSP-0521</t>
  </si>
  <si>
    <t>CUST-9085</t>
  </si>
  <si>
    <t>TXN-531256</t>
  </si>
  <si>
    <t>My refund of £85.75 is still pending after several days.</t>
  </si>
  <si>
    <t>DSP-0522</t>
  </si>
  <si>
    <t>CUST-6630</t>
  </si>
  <si>
    <t>TXN-882193</t>
  </si>
  <si>
    <t>My refund of £99.88 is still pending after several days.</t>
  </si>
  <si>
    <t>DSP-0523</t>
  </si>
  <si>
    <t>CUST-5573</t>
  </si>
  <si>
    <t>TXN-982442</t>
  </si>
  <si>
    <t>DSP-0524</t>
  </si>
  <si>
    <t>CUST-3915</t>
  </si>
  <si>
    <t>TXN-327197</t>
  </si>
  <si>
    <t>DSP-0525</t>
  </si>
  <si>
    <t>CUST-1858</t>
  </si>
  <si>
    <t>TXN-727263</t>
  </si>
  <si>
    <t>DSP-0526</t>
  </si>
  <si>
    <t>CUST-2582</t>
  </si>
  <si>
    <t>TXN-935635</t>
  </si>
  <si>
    <t>My payment of £44.65 failed but the money was debited.</t>
  </si>
  <si>
    <t>DSP-0527</t>
  </si>
  <si>
    <t>CUST-4807</t>
  </si>
  <si>
    <t>TXN-324164</t>
  </si>
  <si>
    <t>DSP-0528</t>
  </si>
  <si>
    <t>CUST-5940</t>
  </si>
  <si>
    <t>TXN-904829</t>
  </si>
  <si>
    <t>DSP-0529</t>
  </si>
  <si>
    <t>CUST-3872</t>
  </si>
  <si>
    <t>TXN-766216</t>
  </si>
  <si>
    <t>DSP-0530</t>
  </si>
  <si>
    <t>CUST-4873</t>
  </si>
  <si>
    <t>TXN-873758</t>
  </si>
  <si>
    <t>DSP-0531</t>
  </si>
  <si>
    <t>CUST-3199</t>
  </si>
  <si>
    <t>TXN-391636</t>
  </si>
  <si>
    <t>DSP-0532</t>
  </si>
  <si>
    <t>TXN-737600</t>
  </si>
  <si>
    <t>My payment of £49.52 failed but the money was debited.</t>
  </si>
  <si>
    <t>DSP-0533</t>
  </si>
  <si>
    <t>CUST-3845</t>
  </si>
  <si>
    <t>TXN-721418</t>
  </si>
  <si>
    <t>DSP-0534</t>
  </si>
  <si>
    <t>CUST-8883</t>
  </si>
  <si>
    <t>TXN-183902</t>
  </si>
  <si>
    <t>DSP-0535</t>
  </si>
  <si>
    <t>CUST-9801</t>
  </si>
  <si>
    <t>TXN-260221</t>
  </si>
  <si>
    <t>I was charged twice for the same payment of £36.71.</t>
  </si>
  <si>
    <t>DSP-0536</t>
  </si>
  <si>
    <t>CUST-1210</t>
  </si>
  <si>
    <t>TXN-625021</t>
  </si>
  <si>
    <t>DSP-0537</t>
  </si>
  <si>
    <t>CUST-3660</t>
  </si>
  <si>
    <t>TXN-303663</t>
  </si>
  <si>
    <t>DSP-0538</t>
  </si>
  <si>
    <t>CUST-6921</t>
  </si>
  <si>
    <t>TXN-761601</t>
  </si>
  <si>
    <t>DSP-0539</t>
  </si>
  <si>
    <t>CUST-2912</t>
  </si>
  <si>
    <t>TXN-908422</t>
  </si>
  <si>
    <t>DSP-0540</t>
  </si>
  <si>
    <t>CUST-6045</t>
  </si>
  <si>
    <t>TXN-869584</t>
  </si>
  <si>
    <t>DSP-0541</t>
  </si>
  <si>
    <t>CUST-1025</t>
  </si>
  <si>
    <t>TXN-201576</t>
  </si>
  <si>
    <t>DSP-0542</t>
  </si>
  <si>
    <t>CUST-4041</t>
  </si>
  <si>
    <t>TXN-310701</t>
  </si>
  <si>
    <t>DSP-0543</t>
  </si>
  <si>
    <t>CUST-6605</t>
  </si>
  <si>
    <t>TXN-131107</t>
  </si>
  <si>
    <t>My refund of £126.93 is still pending after several days.</t>
  </si>
  <si>
    <t>DSP-0544</t>
  </si>
  <si>
    <t>CUST-6521</t>
  </si>
  <si>
    <t>TXN-733729</t>
  </si>
  <si>
    <t>DSP-0545</t>
  </si>
  <si>
    <t>CUST-2641</t>
  </si>
  <si>
    <t>TXN-103234</t>
  </si>
  <si>
    <t>My refund of £100.75 is still pending after several days.</t>
  </si>
  <si>
    <t>DSP-0546</t>
  </si>
  <si>
    <t>CUST-1272</t>
  </si>
  <si>
    <t>TXN-764563</t>
  </si>
  <si>
    <t>DSP-0547</t>
  </si>
  <si>
    <t>CUST-2645</t>
  </si>
  <si>
    <t>TXN-869946</t>
  </si>
  <si>
    <t>DSP-0548</t>
  </si>
  <si>
    <t>CUST-3753</t>
  </si>
  <si>
    <t>TXN-567965</t>
  </si>
  <si>
    <t>DSP-0549</t>
  </si>
  <si>
    <t>TXN-903533</t>
  </si>
  <si>
    <t>I was charged twice for the same payment of £28.87.</t>
  </si>
  <si>
    <t>DSP-0550</t>
  </si>
  <si>
    <t>CUST-2059</t>
  </si>
  <si>
    <t>TXN-775268</t>
  </si>
  <si>
    <t>DSP-0551</t>
  </si>
  <si>
    <t>CUST-2895</t>
  </si>
  <si>
    <t>TXN-405110</t>
  </si>
  <si>
    <t>DSP-0552</t>
  </si>
  <si>
    <t>CUST-7359</t>
  </si>
  <si>
    <t>TXN-544280</t>
  </si>
  <si>
    <t>DSP-0553</t>
  </si>
  <si>
    <t>CUST-8467</t>
  </si>
  <si>
    <t>TXN-254586</t>
  </si>
  <si>
    <t>DSP-0554</t>
  </si>
  <si>
    <t>TXN-838344</t>
  </si>
  <si>
    <t>DSP-0555</t>
  </si>
  <si>
    <t>CUST-7419</t>
  </si>
  <si>
    <t>TXN-413630</t>
  </si>
  <si>
    <t>DSP-0556</t>
  </si>
  <si>
    <t>CUST-3144</t>
  </si>
  <si>
    <t>TXN-439128</t>
  </si>
  <si>
    <t>My payment of £100.54 failed but the money was debited.</t>
  </si>
  <si>
    <t>DSP-0557</t>
  </si>
  <si>
    <t>CUST-4205</t>
  </si>
  <si>
    <t>TXN-871037</t>
  </si>
  <si>
    <t>DSP-0558</t>
  </si>
  <si>
    <t>CUST-8107</t>
  </si>
  <si>
    <t>TXN-255785</t>
  </si>
  <si>
    <t>My payment of £32.59 failed but the money was debited.</t>
  </si>
  <si>
    <t>DSP-0559</t>
  </si>
  <si>
    <t>CUST-8596</t>
  </si>
  <si>
    <t>TXN-957939</t>
  </si>
  <si>
    <t>DSP-0560</t>
  </si>
  <si>
    <t>CUST-2549</t>
  </si>
  <si>
    <t>TXN-932929</t>
  </si>
  <si>
    <t>DSP-0561</t>
  </si>
  <si>
    <t>CUST-7451</t>
  </si>
  <si>
    <t>TXN-683071</t>
  </si>
  <si>
    <t>DSP-0562</t>
  </si>
  <si>
    <t>CUST-6149</t>
  </si>
  <si>
    <t>TXN-229022</t>
  </si>
  <si>
    <t>DSP-0563</t>
  </si>
  <si>
    <t>CUST-9919</t>
  </si>
  <si>
    <t>TXN-279938</t>
  </si>
  <si>
    <t>DSP-0564</t>
  </si>
  <si>
    <t>CUST-1732</t>
  </si>
  <si>
    <t>TXN-348617</t>
  </si>
  <si>
    <t>I was charged twice for the same payment of £48.91.</t>
  </si>
  <si>
    <t>DSP-0565</t>
  </si>
  <si>
    <t>CUST-7554</t>
  </si>
  <si>
    <t>TXN-578221</t>
  </si>
  <si>
    <t>DSP-0566</t>
  </si>
  <si>
    <t>CUST-6183</t>
  </si>
  <si>
    <t>TXN-926051</t>
  </si>
  <si>
    <t>DSP-0567</t>
  </si>
  <si>
    <t>CUST-4698</t>
  </si>
  <si>
    <t>TXN-386939</t>
  </si>
  <si>
    <t>DSP-0568</t>
  </si>
  <si>
    <t>CUST-1785</t>
  </si>
  <si>
    <t>TXN-279041</t>
  </si>
  <si>
    <t>DSP-0569</t>
  </si>
  <si>
    <t>CUST-3337</t>
  </si>
  <si>
    <t>TXN-497201</t>
  </si>
  <si>
    <t>My payment of £60.52 failed but the money was debited.</t>
  </si>
  <si>
    <t>DSP-0570</t>
  </si>
  <si>
    <t>CUST-6000</t>
  </si>
  <si>
    <t>TXN-766511</t>
  </si>
  <si>
    <t>My refund of £29.96 is still pending after several days.</t>
  </si>
  <si>
    <t>DSP-0571</t>
  </si>
  <si>
    <t>CUST-1175</t>
  </si>
  <si>
    <t>TXN-544579</t>
  </si>
  <si>
    <t>DSP-0572</t>
  </si>
  <si>
    <t>CUST-9754</t>
  </si>
  <si>
    <t>TXN-886083</t>
  </si>
  <si>
    <t>DSP-0573</t>
  </si>
  <si>
    <t>CUST-3864</t>
  </si>
  <si>
    <t>TXN-178771</t>
  </si>
  <si>
    <t>DSP-0574</t>
  </si>
  <si>
    <t>CUST-5752</t>
  </si>
  <si>
    <t>TXN-413710</t>
  </si>
  <si>
    <t>I was charged twice for the same payment of £90.47.</t>
  </si>
  <si>
    <t>DSP-0575</t>
  </si>
  <si>
    <t>CUST-8586</t>
  </si>
  <si>
    <t>TXN-747756</t>
  </si>
  <si>
    <t>My payment of £37.25 failed but the money was debited.</t>
  </si>
  <si>
    <t>DSP-0576</t>
  </si>
  <si>
    <t>CUST-7729</t>
  </si>
  <si>
    <t>TXN-229858</t>
  </si>
  <si>
    <t>DSP-0577</t>
  </si>
  <si>
    <t>CUST-3651</t>
  </si>
  <si>
    <t>TXN-246668</t>
  </si>
  <si>
    <t>DSP-0578</t>
  </si>
  <si>
    <t>CUST-2946</t>
  </si>
  <si>
    <t>TXN-541550</t>
  </si>
  <si>
    <t>DSP-0579</t>
  </si>
  <si>
    <t>CUST-2797</t>
  </si>
  <si>
    <t>TXN-213119</t>
  </si>
  <si>
    <t>DSP-0580</t>
  </si>
  <si>
    <t>TXN-394795</t>
  </si>
  <si>
    <t>DSP-0581</t>
  </si>
  <si>
    <t>CUST-3436</t>
  </si>
  <si>
    <t>TXN-340526</t>
  </si>
  <si>
    <t>DSP-0582</t>
  </si>
  <si>
    <t>CUST-1846</t>
  </si>
  <si>
    <t>TXN-419071</t>
  </si>
  <si>
    <t>DSP-0583</t>
  </si>
  <si>
    <t>CUST-4473</t>
  </si>
  <si>
    <t>TXN-399176</t>
  </si>
  <si>
    <t>DSP-0584</t>
  </si>
  <si>
    <t>CUST-4903</t>
  </si>
  <si>
    <t>TXN-781834</t>
  </si>
  <si>
    <t>My refund of £60.47 is still pending after several days.</t>
  </si>
  <si>
    <t>DSP-0585</t>
  </si>
  <si>
    <t>TXN-860585</t>
  </si>
  <si>
    <t>DSP-0586</t>
  </si>
  <si>
    <t>CUST-6996</t>
  </si>
  <si>
    <t>TXN-570267</t>
  </si>
  <si>
    <t>My payment of £7.24 failed but the money was debited.</t>
  </si>
  <si>
    <t>DSP-0587</t>
  </si>
  <si>
    <t>CUST-7512</t>
  </si>
  <si>
    <t>TXN-619072</t>
  </si>
  <si>
    <t>DSP-0588</t>
  </si>
  <si>
    <t>CUST-9254</t>
  </si>
  <si>
    <t>TXN-842133</t>
  </si>
  <si>
    <t>DSP-0589</t>
  </si>
  <si>
    <t>CUST-3178</t>
  </si>
  <si>
    <t>TXN-383571</t>
  </si>
  <si>
    <t>I was charged twice for the same payment of £111.42.</t>
  </si>
  <si>
    <t>DSP-0590</t>
  </si>
  <si>
    <t>CUST-7690</t>
  </si>
  <si>
    <t>TXN-741185</t>
  </si>
  <si>
    <t>DSP-0591</t>
  </si>
  <si>
    <t>CUST-4377</t>
  </si>
  <si>
    <t>TXN-956526</t>
  </si>
  <si>
    <t>I was charged twice for the same payment of £75.14.</t>
  </si>
  <si>
    <t>DSP-0592</t>
  </si>
  <si>
    <t>CUST-9125</t>
  </si>
  <si>
    <t>TXN-290330</t>
  </si>
  <si>
    <t>DSP-0593</t>
  </si>
  <si>
    <t>CUST-2137</t>
  </si>
  <si>
    <t>TXN-250494</t>
  </si>
  <si>
    <t>DSP-0594</t>
  </si>
  <si>
    <t>CUST-5068</t>
  </si>
  <si>
    <t>TXN-907526</t>
  </si>
  <si>
    <t>DSP-0595</t>
  </si>
  <si>
    <t>CUST-3281</t>
  </si>
  <si>
    <t>TXN-603762</t>
  </si>
  <si>
    <t>DSP-0596</t>
  </si>
  <si>
    <t>CUST-3323</t>
  </si>
  <si>
    <t>TXN-101269</t>
  </si>
  <si>
    <t>DSP-0597</t>
  </si>
  <si>
    <t>CUST-2804</t>
  </si>
  <si>
    <t>TXN-335428</t>
  </si>
  <si>
    <t>DSP-0598</t>
  </si>
  <si>
    <t>CUST-7967</t>
  </si>
  <si>
    <t>TXN-257517</t>
  </si>
  <si>
    <t>I was charged twice for the same payment of £85.71.</t>
  </si>
  <si>
    <t>DSP-0599</t>
  </si>
  <si>
    <t>CUST-1035</t>
  </si>
  <si>
    <t>TXN-255863</t>
  </si>
  <si>
    <t>DSP-0600</t>
  </si>
  <si>
    <t>CUST-7308</t>
  </si>
  <si>
    <t>TXN-469737</t>
  </si>
  <si>
    <t>My refund of £50.97 is still pending after several days.</t>
  </si>
  <si>
    <t>DSP-0601</t>
  </si>
  <si>
    <t>CUST-2369</t>
  </si>
  <si>
    <t>TXN-709184</t>
  </si>
  <si>
    <t>DSP-0602</t>
  </si>
  <si>
    <t>CUST-3283</t>
  </si>
  <si>
    <t>TXN-409012</t>
  </si>
  <si>
    <t>DSP-0603</t>
  </si>
  <si>
    <t>CUST-7089</t>
  </si>
  <si>
    <t>TXN-156710</t>
  </si>
  <si>
    <t>DSP-0604</t>
  </si>
  <si>
    <t>CUST-8703</t>
  </si>
  <si>
    <t>TXN-531512</t>
  </si>
  <si>
    <t>DSP-0605</t>
  </si>
  <si>
    <t>CUST-9222</t>
  </si>
  <si>
    <t>TXN-420899</t>
  </si>
  <si>
    <t>My payment of £171.03 failed but the money was debited.</t>
  </si>
  <si>
    <t>DSP-0606</t>
  </si>
  <si>
    <t>CUST-8674</t>
  </si>
  <si>
    <t>TXN-600607</t>
  </si>
  <si>
    <t>DSP-0607</t>
  </si>
  <si>
    <t>CUST-5623</t>
  </si>
  <si>
    <t>TXN-270666</t>
  </si>
  <si>
    <t>I was charged twice for the same payment of £22.86.</t>
  </si>
  <si>
    <t>DSP-0608</t>
  </si>
  <si>
    <t>CUST-6154</t>
  </si>
  <si>
    <t>TXN-197738</t>
  </si>
  <si>
    <t>My refund of £23.87 is still pending after several days.</t>
  </si>
  <si>
    <t>DSP-0609</t>
  </si>
  <si>
    <t>CUST-7672</t>
  </si>
  <si>
    <t>TXN-877468</t>
  </si>
  <si>
    <t>DSP-0610</t>
  </si>
  <si>
    <t>CUST-3307</t>
  </si>
  <si>
    <t>TXN-906172</t>
  </si>
  <si>
    <t>My refund of £46.84 is still pending after several days.</t>
  </si>
  <si>
    <t>DSP-0611</t>
  </si>
  <si>
    <t>CUST-4917</t>
  </si>
  <si>
    <t>TXN-318964</t>
  </si>
  <si>
    <t>DSP-0612</t>
  </si>
  <si>
    <t>CUST-2461</t>
  </si>
  <si>
    <t>TXN-174589</t>
  </si>
  <si>
    <t>My refund of £80.46 is still pending after several days.</t>
  </si>
  <si>
    <t>DSP-0613</t>
  </si>
  <si>
    <t>CUST-7701</t>
  </si>
  <si>
    <t>TXN-998630</t>
  </si>
  <si>
    <t>DSP-0614</t>
  </si>
  <si>
    <t>CUST-5011</t>
  </si>
  <si>
    <t>TXN-833736</t>
  </si>
  <si>
    <t>DSP-0615</t>
  </si>
  <si>
    <t>CUST-2787</t>
  </si>
  <si>
    <t>TXN-189991</t>
  </si>
  <si>
    <t>DSP-0616</t>
  </si>
  <si>
    <t>CUST-3384</t>
  </si>
  <si>
    <t>TXN-771315</t>
  </si>
  <si>
    <t>DSP-0617</t>
  </si>
  <si>
    <t>CUST-5129</t>
  </si>
  <si>
    <t>TXN-766566</t>
  </si>
  <si>
    <t>DSP-0618</t>
  </si>
  <si>
    <t>CUST-5864</t>
  </si>
  <si>
    <t>TXN-272525</t>
  </si>
  <si>
    <t>DSP-0619</t>
  </si>
  <si>
    <t>TXN-439458</t>
  </si>
  <si>
    <t>DSP-0620</t>
  </si>
  <si>
    <t>CUST-2596</t>
  </si>
  <si>
    <t>TXN-138258</t>
  </si>
  <si>
    <t>My payment of £143.98 failed but the money was debited.</t>
  </si>
  <si>
    <t>DSP-0621</t>
  </si>
  <si>
    <t>CUST-7066</t>
  </si>
  <si>
    <t>TXN-953309</t>
  </si>
  <si>
    <t>DSP-0622</t>
  </si>
  <si>
    <t>CUST-3880</t>
  </si>
  <si>
    <t>TXN-581111</t>
  </si>
  <si>
    <t>DSP-0623</t>
  </si>
  <si>
    <t>TXN-945089</t>
  </si>
  <si>
    <t>My payment of £106.58 failed but the money was debited.</t>
  </si>
  <si>
    <t>DSP-0624</t>
  </si>
  <si>
    <t>CUST-8448</t>
  </si>
  <si>
    <t>TXN-678381</t>
  </si>
  <si>
    <t>DSP-0625</t>
  </si>
  <si>
    <t>CUST-9315</t>
  </si>
  <si>
    <t>TXN-397380</t>
  </si>
  <si>
    <t>DSP-0626</t>
  </si>
  <si>
    <t>CUST-3792</t>
  </si>
  <si>
    <t>TXN-699982</t>
  </si>
  <si>
    <t>DSP-0627</t>
  </si>
  <si>
    <t>CUST-6212</t>
  </si>
  <si>
    <t>TXN-642404</t>
  </si>
  <si>
    <t>DSP-0628</t>
  </si>
  <si>
    <t>CUST-4338</t>
  </si>
  <si>
    <t>TXN-197784</t>
  </si>
  <si>
    <t>My payment of £64.39 failed but the money was debited.</t>
  </si>
  <si>
    <t>DSP-0629</t>
  </si>
  <si>
    <t>CUST-8433</t>
  </si>
  <si>
    <t>TXN-765282</t>
  </si>
  <si>
    <t>DSP-0630</t>
  </si>
  <si>
    <t>CUST-2694</t>
  </si>
  <si>
    <t>TXN-216320</t>
  </si>
  <si>
    <t>My payment of £19.93 failed but the money was debited.</t>
  </si>
  <si>
    <t>DSP-0631</t>
  </si>
  <si>
    <t>CUST-9045</t>
  </si>
  <si>
    <t>TXN-934080</t>
  </si>
  <si>
    <t>DSP-0632</t>
  </si>
  <si>
    <t>CUST-6616</t>
  </si>
  <si>
    <t>TXN-463629</t>
  </si>
  <si>
    <t>DSP-0633</t>
  </si>
  <si>
    <t>CUST-1483</t>
  </si>
  <si>
    <t>TXN-443450</t>
  </si>
  <si>
    <t>DSP-0634</t>
  </si>
  <si>
    <t>CUST-3833</t>
  </si>
  <si>
    <t>TXN-307488</t>
  </si>
  <si>
    <t>DSP-0635</t>
  </si>
  <si>
    <t>CUST-6222</t>
  </si>
  <si>
    <t>TXN-753169</t>
  </si>
  <si>
    <t>My refund of £47.29 is still pending after several days.</t>
  </si>
  <si>
    <t>DSP-0636</t>
  </si>
  <si>
    <t>CUST-7525</t>
  </si>
  <si>
    <t>TXN-131394</t>
  </si>
  <si>
    <t>I was charged twice for the same payment of £78.29.</t>
  </si>
  <si>
    <t>DSP-0637</t>
  </si>
  <si>
    <t>CUST-1157</t>
  </si>
  <si>
    <t>TXN-434064</t>
  </si>
  <si>
    <t>I was charged twice for the same payment of £46.76.</t>
  </si>
  <si>
    <t>DSP-0638</t>
  </si>
  <si>
    <t>CUST-7909</t>
  </si>
  <si>
    <t>TXN-815267</t>
  </si>
  <si>
    <t>I was charged twice for the same payment of £33.05.</t>
  </si>
  <si>
    <t>DSP-0639</t>
  </si>
  <si>
    <t>CUST-1348</t>
  </si>
  <si>
    <t>TXN-398882</t>
  </si>
  <si>
    <t>DSP-0640</t>
  </si>
  <si>
    <t>CUST-5500</t>
  </si>
  <si>
    <t>TXN-432597</t>
  </si>
  <si>
    <t>DSP-0641</t>
  </si>
  <si>
    <t>CUST-2683</t>
  </si>
  <si>
    <t>TXN-130710</t>
  </si>
  <si>
    <t>My payment of £17.28 failed but the money was debited.</t>
  </si>
  <si>
    <t>DSP-0642</t>
  </si>
  <si>
    <t>TXN-372302</t>
  </si>
  <si>
    <t>DSP-0643</t>
  </si>
  <si>
    <t>CUST-3069</t>
  </si>
  <si>
    <t>TXN-434844</t>
  </si>
  <si>
    <t>DSP-0644</t>
  </si>
  <si>
    <t>CUST-4700</t>
  </si>
  <si>
    <t>TXN-196258</t>
  </si>
  <si>
    <t>DSP-0645</t>
  </si>
  <si>
    <t>CUST-4481</t>
  </si>
  <si>
    <t>TXN-113765</t>
  </si>
  <si>
    <t>DSP-0646</t>
  </si>
  <si>
    <t>CUST-4584</t>
  </si>
  <si>
    <t>TXN-481308</t>
  </si>
  <si>
    <t>DSP-0647</t>
  </si>
  <si>
    <t>CUST-8552</t>
  </si>
  <si>
    <t>TXN-212379</t>
  </si>
  <si>
    <t>DSP-0648</t>
  </si>
  <si>
    <t>TXN-487743</t>
  </si>
  <si>
    <t>DSP-0649</t>
  </si>
  <si>
    <t>CUST-2819</t>
  </si>
  <si>
    <t>TXN-330246</t>
  </si>
  <si>
    <t>DSP-0650</t>
  </si>
  <si>
    <t>CUST-9112</t>
  </si>
  <si>
    <t>TXN-315697</t>
  </si>
  <si>
    <t>DSP-0651</t>
  </si>
  <si>
    <t>CUST-6162</t>
  </si>
  <si>
    <t>TXN-814544</t>
  </si>
  <si>
    <t>DSP-0652</t>
  </si>
  <si>
    <t>CUST-6769</t>
  </si>
  <si>
    <t>TXN-596846</t>
  </si>
  <si>
    <t>DSP-0653</t>
  </si>
  <si>
    <t>CUST-2638</t>
  </si>
  <si>
    <t>TXN-419398</t>
  </si>
  <si>
    <t>DSP-0654</t>
  </si>
  <si>
    <t>CUST-2847</t>
  </si>
  <si>
    <t>TXN-383049</t>
  </si>
  <si>
    <t>My payment of £53.02 failed but the money was debited.</t>
  </si>
  <si>
    <t>DSP-0655</t>
  </si>
  <si>
    <t>CUST-4175</t>
  </si>
  <si>
    <t>TXN-496129</t>
  </si>
  <si>
    <t>DSP-0656</t>
  </si>
  <si>
    <t>CUST-3014</t>
  </si>
  <si>
    <t>TXN-554515</t>
  </si>
  <si>
    <t>DSP-0657</t>
  </si>
  <si>
    <t>CUST-5974</t>
  </si>
  <si>
    <t>TXN-610472</t>
  </si>
  <si>
    <t>I was charged twice for the same payment of £37.12.</t>
  </si>
  <si>
    <t>DSP-0658</t>
  </si>
  <si>
    <t>CUST-5119</t>
  </si>
  <si>
    <t>TXN-244408</t>
  </si>
  <si>
    <t>DSP-0659</t>
  </si>
  <si>
    <t>CUST-4585</t>
  </si>
  <si>
    <t>TXN-133697</t>
  </si>
  <si>
    <t>DSP-0660</t>
  </si>
  <si>
    <t>CUST-3280</t>
  </si>
  <si>
    <t>TXN-816514</t>
  </si>
  <si>
    <t>My refund of £21.53 is still pending after several days.</t>
  </si>
  <si>
    <t>DSP-0661</t>
  </si>
  <si>
    <t>CUST-2573</t>
  </si>
  <si>
    <t>TXN-245342</t>
  </si>
  <si>
    <t>I was charged twice for the same payment of £37.32.</t>
  </si>
  <si>
    <t>DSP-0662</t>
  </si>
  <si>
    <t>CUST-5954</t>
  </si>
  <si>
    <t>TXN-924843</t>
  </si>
  <si>
    <t>My refund of £235.40 is still pending after several days.</t>
  </si>
  <si>
    <t>DSP-0663</t>
  </si>
  <si>
    <t>CUST-1890</t>
  </si>
  <si>
    <t>TXN-188771</t>
  </si>
  <si>
    <t>DSP-0664</t>
  </si>
  <si>
    <t>CUST-9458</t>
  </si>
  <si>
    <t>TXN-251154</t>
  </si>
  <si>
    <t>DSP-0665</t>
  </si>
  <si>
    <t>CUST-2879</t>
  </si>
  <si>
    <t>TXN-170403</t>
  </si>
  <si>
    <t>DSP-0666</t>
  </si>
  <si>
    <t>CUST-9957</t>
  </si>
  <si>
    <t>TXN-372914</t>
  </si>
  <si>
    <t>DSP-0667</t>
  </si>
  <si>
    <t>CUST-8801</t>
  </si>
  <si>
    <t>TXN-603805</t>
  </si>
  <si>
    <t>My payment of £49.63 failed but the money was debited.</t>
  </si>
  <si>
    <t>DSP-0668</t>
  </si>
  <si>
    <t>CUST-5960</t>
  </si>
  <si>
    <t>TXN-135739</t>
  </si>
  <si>
    <t>DSP-0669</t>
  </si>
  <si>
    <t>CUST-9602</t>
  </si>
  <si>
    <t>TXN-509599</t>
  </si>
  <si>
    <t>DSP-0670</t>
  </si>
  <si>
    <t>CUST-7168</t>
  </si>
  <si>
    <t>TXN-594668</t>
  </si>
  <si>
    <t>DSP-0671</t>
  </si>
  <si>
    <t>CUST-2107</t>
  </si>
  <si>
    <t>TXN-147111</t>
  </si>
  <si>
    <t>DSP-0672</t>
  </si>
  <si>
    <t>TXN-167496</t>
  </si>
  <si>
    <t>My payment of £107.34 failed but the money was debited.</t>
  </si>
  <si>
    <t>DSP-0673</t>
  </si>
  <si>
    <t>CUST-5136</t>
  </si>
  <si>
    <t>TXN-614958</t>
  </si>
  <si>
    <t>I was charged twice for the same payment of £75.49.</t>
  </si>
  <si>
    <t>DSP-0674</t>
  </si>
  <si>
    <t>CUST-3302</t>
  </si>
  <si>
    <t>TXN-105490</t>
  </si>
  <si>
    <t>DSP-0675</t>
  </si>
  <si>
    <t>CUST-9205</t>
  </si>
  <si>
    <t>TXN-469209</t>
  </si>
  <si>
    <t>DSP-0676</t>
  </si>
  <si>
    <t>CUST-4670</t>
  </si>
  <si>
    <t>TXN-961224</t>
  </si>
  <si>
    <t>DSP-0677</t>
  </si>
  <si>
    <t>CUST-7540</t>
  </si>
  <si>
    <t>TXN-748696</t>
  </si>
  <si>
    <t>DSP-0678</t>
  </si>
  <si>
    <t>CUST-2021</t>
  </si>
  <si>
    <t>TXN-347062</t>
  </si>
  <si>
    <t>DSP-0679</t>
  </si>
  <si>
    <t>CUST-9316</t>
  </si>
  <si>
    <t>TXN-336186</t>
  </si>
  <si>
    <t>DSP-0680</t>
  </si>
  <si>
    <t>CUST-3051</t>
  </si>
  <si>
    <t>TXN-550592</t>
  </si>
  <si>
    <t>DSP-0681</t>
  </si>
  <si>
    <t>CUST-9785</t>
  </si>
  <si>
    <t>TXN-695642</t>
  </si>
  <si>
    <t>My payment of £223.79 failed but the money was debited.</t>
  </si>
  <si>
    <t>DSP-0682</t>
  </si>
  <si>
    <t>CUST-7517</t>
  </si>
  <si>
    <t>TXN-601954</t>
  </si>
  <si>
    <t>DSP-0683</t>
  </si>
  <si>
    <t>CUST-7011</t>
  </si>
  <si>
    <t>TXN-918107</t>
  </si>
  <si>
    <t>DSP-0684</t>
  </si>
  <si>
    <t>CUST-9535</t>
  </si>
  <si>
    <t>TXN-341734</t>
  </si>
  <si>
    <t>I was charged twice for the same payment of £14.68.</t>
  </si>
  <si>
    <t>DSP-0685</t>
  </si>
  <si>
    <t>TXN-623142</t>
  </si>
  <si>
    <t>DSP-0686</t>
  </si>
  <si>
    <t>CUST-1425</t>
  </si>
  <si>
    <t>TXN-738309</t>
  </si>
  <si>
    <t>DSP-0687</t>
  </si>
  <si>
    <t>CUST-2789</t>
  </si>
  <si>
    <t>TXN-680170</t>
  </si>
  <si>
    <t>DSP-0688</t>
  </si>
  <si>
    <t>CUST-1248</t>
  </si>
  <si>
    <t>TXN-394335</t>
  </si>
  <si>
    <t>I was charged twice for the same payment of £44.44.</t>
  </si>
  <si>
    <t>DSP-0689</t>
  </si>
  <si>
    <t>CUST-3036</t>
  </si>
  <si>
    <t>TXN-421802</t>
  </si>
  <si>
    <t>DSP-0690</t>
  </si>
  <si>
    <t>CUST-6145</t>
  </si>
  <si>
    <t>TXN-167154</t>
  </si>
  <si>
    <t>DSP-0691</t>
  </si>
  <si>
    <t>CUST-6199</t>
  </si>
  <si>
    <t>TXN-143993</t>
  </si>
  <si>
    <t>DSP-0692</t>
  </si>
  <si>
    <t>CUST-2854</t>
  </si>
  <si>
    <t>TXN-635859</t>
  </si>
  <si>
    <t>DSP-0693</t>
  </si>
  <si>
    <t>CUST-6902</t>
  </si>
  <si>
    <t>TXN-451258</t>
  </si>
  <si>
    <t>DSP-0694</t>
  </si>
  <si>
    <t>CUST-7206</t>
  </si>
  <si>
    <t>TXN-971080</t>
  </si>
  <si>
    <t>DSP-0695</t>
  </si>
  <si>
    <t>CUST-9592</t>
  </si>
  <si>
    <t>TXN-645611</t>
  </si>
  <si>
    <t>My payment of £138.90 failed but the money was debited.</t>
  </si>
  <si>
    <t>DSP-0696</t>
  </si>
  <si>
    <t>CUST-8291</t>
  </si>
  <si>
    <t>TXN-868394</t>
  </si>
  <si>
    <t>DSP-0697</t>
  </si>
  <si>
    <t>CUST-9808</t>
  </si>
  <si>
    <t>TXN-356842</t>
  </si>
  <si>
    <t>DSP-0698</t>
  </si>
  <si>
    <t>CUST-8439</t>
  </si>
  <si>
    <t>TXN-116265</t>
  </si>
  <si>
    <t>I was charged twice for the same payment of £126.34.</t>
  </si>
  <si>
    <t>DSP-0699</t>
  </si>
  <si>
    <t>CUST-2196</t>
  </si>
  <si>
    <t>TXN-238808</t>
  </si>
  <si>
    <t>DSP-0700</t>
  </si>
  <si>
    <t>CUST-1741</t>
  </si>
  <si>
    <t>TXN-177335</t>
  </si>
  <si>
    <t>DSP-0701</t>
  </si>
  <si>
    <t>CUST-3494</t>
  </si>
  <si>
    <t>TXN-108161</t>
  </si>
  <si>
    <t>My refund of £29.43 is still pending after several days.</t>
  </si>
  <si>
    <t>DSP-0702</t>
  </si>
  <si>
    <t>CUST-5673</t>
  </si>
  <si>
    <t>TXN-438480</t>
  </si>
  <si>
    <t>DSP-0703</t>
  </si>
  <si>
    <t>CUST-8191</t>
  </si>
  <si>
    <t>TXN-334496</t>
  </si>
  <si>
    <t>DSP-0704</t>
  </si>
  <si>
    <t>CUST-4328</t>
  </si>
  <si>
    <t>TXN-395528</t>
  </si>
  <si>
    <t>DSP-0705</t>
  </si>
  <si>
    <t>CUST-5562</t>
  </si>
  <si>
    <t>TXN-867173</t>
  </si>
  <si>
    <t>DSP-0706</t>
  </si>
  <si>
    <t>CUST-1628</t>
  </si>
  <si>
    <t>TXN-554429</t>
  </si>
  <si>
    <t>DSP-0707</t>
  </si>
  <si>
    <t>CUST-4607</t>
  </si>
  <si>
    <t>TXN-806056</t>
  </si>
  <si>
    <t>DSP-0708</t>
  </si>
  <si>
    <t>CUST-4416</t>
  </si>
  <si>
    <t>TXN-844479</t>
  </si>
  <si>
    <t>DSP-0709</t>
  </si>
  <si>
    <t>TXN-935448</t>
  </si>
  <si>
    <t>DSP-0710</t>
  </si>
  <si>
    <t>CUST-7522</t>
  </si>
  <si>
    <t>TXN-839056</t>
  </si>
  <si>
    <t>My refund of £96.53 is still pending after several days.</t>
  </si>
  <si>
    <t>DSP-0711</t>
  </si>
  <si>
    <t>CUST-1996</t>
  </si>
  <si>
    <t>TXN-689569</t>
  </si>
  <si>
    <t>DSP-0712</t>
  </si>
  <si>
    <t>CUST-8334</t>
  </si>
  <si>
    <t>TXN-529718</t>
  </si>
  <si>
    <t>My payment of £12.89 failed but the money was debited.</t>
  </si>
  <si>
    <t>DSP-0713</t>
  </si>
  <si>
    <t>CUST-7212</t>
  </si>
  <si>
    <t>TXN-194636</t>
  </si>
  <si>
    <t>DSP-0714</t>
  </si>
  <si>
    <t>CUST-6431</t>
  </si>
  <si>
    <t>TXN-533476</t>
  </si>
  <si>
    <t>I was charged twice for the same payment of £88.75.</t>
  </si>
  <si>
    <t>DSP-0715</t>
  </si>
  <si>
    <t>CUST-4768</t>
  </si>
  <si>
    <t>TXN-762233</t>
  </si>
  <si>
    <t>DSP-0716</t>
  </si>
  <si>
    <t>CUST-1330</t>
  </si>
  <si>
    <t>TXN-115457</t>
  </si>
  <si>
    <t>DSP-0717</t>
  </si>
  <si>
    <t>CUST-5490</t>
  </si>
  <si>
    <t>TXN-581197</t>
  </si>
  <si>
    <t>DSP-0718</t>
  </si>
  <si>
    <t>CUST-9143</t>
  </si>
  <si>
    <t>TXN-862899</t>
  </si>
  <si>
    <t>DSP-0719</t>
  </si>
  <si>
    <t>CUST-6446</t>
  </si>
  <si>
    <t>TXN-250755</t>
  </si>
  <si>
    <t>DSP-0720</t>
  </si>
  <si>
    <t>CUST-6102</t>
  </si>
  <si>
    <t>TXN-876482</t>
  </si>
  <si>
    <t>DSP-0721</t>
  </si>
  <si>
    <t>CUST-4862</t>
  </si>
  <si>
    <t>TXN-437471</t>
  </si>
  <si>
    <t>DSP-0722</t>
  </si>
  <si>
    <t>CUST-9113</t>
  </si>
  <si>
    <t>TXN-279015</t>
  </si>
  <si>
    <t>DSP-0723</t>
  </si>
  <si>
    <t>CUST-3718</t>
  </si>
  <si>
    <t>TXN-248391</t>
  </si>
  <si>
    <t>I was charged twice for the same payment of £72.40.</t>
  </si>
  <si>
    <t>DSP-0724</t>
  </si>
  <si>
    <t>CUST-9591</t>
  </si>
  <si>
    <t>TXN-849817</t>
  </si>
  <si>
    <t>DSP-0725</t>
  </si>
  <si>
    <t>TXN-467476</t>
  </si>
  <si>
    <t>DSP-0726</t>
  </si>
  <si>
    <t>CUST-5587</t>
  </si>
  <si>
    <t>TXN-286987</t>
  </si>
  <si>
    <t>DSP-0727</t>
  </si>
  <si>
    <t>CUST-4429</t>
  </si>
  <si>
    <t>TXN-276264</t>
  </si>
  <si>
    <t>DSP-0728</t>
  </si>
  <si>
    <t>CUST-4944</t>
  </si>
  <si>
    <t>TXN-687354</t>
  </si>
  <si>
    <t>My refund of £38.32 is still pending after several days.</t>
  </si>
  <si>
    <t>DSP-0729</t>
  </si>
  <si>
    <t>CUST-3341</t>
  </si>
  <si>
    <t>TXN-980673</t>
  </si>
  <si>
    <t>My refund of £154.35 is still pending after several days.</t>
  </si>
  <si>
    <t>DSP-0730</t>
  </si>
  <si>
    <t>CUST-4502</t>
  </si>
  <si>
    <t>TXN-746944</t>
  </si>
  <si>
    <t>DSP-0731</t>
  </si>
  <si>
    <t>CUST-7043</t>
  </si>
  <si>
    <t>TXN-366086</t>
  </si>
  <si>
    <t>DSP-0732</t>
  </si>
  <si>
    <t>CUST-8446</t>
  </si>
  <si>
    <t>TXN-614117</t>
  </si>
  <si>
    <t>DSP-0733</t>
  </si>
  <si>
    <t>CUST-2356</t>
  </si>
  <si>
    <t>TXN-539953</t>
  </si>
  <si>
    <t>DSP-0734</t>
  </si>
  <si>
    <t>CUST-9459</t>
  </si>
  <si>
    <t>TXN-114859</t>
  </si>
  <si>
    <t>DSP-0735</t>
  </si>
  <si>
    <t>CUST-1052</t>
  </si>
  <si>
    <t>TXN-426279</t>
  </si>
  <si>
    <t>DSP-0736</t>
  </si>
  <si>
    <t>CUST-1329</t>
  </si>
  <si>
    <t>TXN-903966</t>
  </si>
  <si>
    <t>I was charged twice for the same payment of £33.14.</t>
  </si>
  <si>
    <t>DSP-0737</t>
  </si>
  <si>
    <t>CUST-6087</t>
  </si>
  <si>
    <t>TXN-155926</t>
  </si>
  <si>
    <t>DSP-0738</t>
  </si>
  <si>
    <t>CUST-6957</t>
  </si>
  <si>
    <t>TXN-465805</t>
  </si>
  <si>
    <t>DSP-0739</t>
  </si>
  <si>
    <t>CUST-4398</t>
  </si>
  <si>
    <t>TXN-458802</t>
  </si>
  <si>
    <t>DSP-0740</t>
  </si>
  <si>
    <t>TXN-691155</t>
  </si>
  <si>
    <t>DSP-0741</t>
  </si>
  <si>
    <t>CUST-6865</t>
  </si>
  <si>
    <t>TXN-421153</t>
  </si>
  <si>
    <t>DSP-0742</t>
  </si>
  <si>
    <t>CUST-1657</t>
  </si>
  <si>
    <t>TXN-345684</t>
  </si>
  <si>
    <t>DSP-0743</t>
  </si>
  <si>
    <t>CUST-3286</t>
  </si>
  <si>
    <t>TXN-236200</t>
  </si>
  <si>
    <t>DSP-0744</t>
  </si>
  <si>
    <t>CUST-2477</t>
  </si>
  <si>
    <t>TXN-859309</t>
  </si>
  <si>
    <t>DSP-0745</t>
  </si>
  <si>
    <t>CUST-7350</t>
  </si>
  <si>
    <t>TXN-234744</t>
  </si>
  <si>
    <t>My payment of £228.03 failed but the money was debited.</t>
  </si>
  <si>
    <t>DSP-0746</t>
  </si>
  <si>
    <t>CUST-4852</t>
  </si>
  <si>
    <t>TXN-487063</t>
  </si>
  <si>
    <t>DSP-0747</t>
  </si>
  <si>
    <t>CUST-7292</t>
  </si>
  <si>
    <t>TXN-785815</t>
  </si>
  <si>
    <t>DSP-0748</t>
  </si>
  <si>
    <t>CUST-2661</t>
  </si>
  <si>
    <t>TXN-787728</t>
  </si>
  <si>
    <t>DSP-0749</t>
  </si>
  <si>
    <t>CUST-1893</t>
  </si>
  <si>
    <t>TXN-417670</t>
  </si>
  <si>
    <t>DSP-0750</t>
  </si>
  <si>
    <t>CUST-9711</t>
  </si>
  <si>
    <t>TXN-896509</t>
  </si>
  <si>
    <t>My payment of £60.81 failed but the money was debited.</t>
  </si>
  <si>
    <t>Column_Name</t>
  </si>
  <si>
    <t>Description</t>
  </si>
  <si>
    <t>Data_Type</t>
  </si>
  <si>
    <t>Example_Value</t>
  </si>
  <si>
    <t>Business_Use</t>
  </si>
  <si>
    <t>Unique reference number for each dispute case</t>
  </si>
  <si>
    <t>Text</t>
  </si>
  <si>
    <t>Used to track each dispute case individually</t>
  </si>
  <si>
    <t>Unique fake customer reference</t>
  </si>
  <si>
    <t>CUST-1045</t>
  </si>
  <si>
    <t>Used to identify customer cases without using real personal data</t>
  </si>
  <si>
    <t>Unique fake transaction reference</t>
  </si>
  <si>
    <t>TXN-887721</t>
  </si>
  <si>
    <t>Used to link the dispute to a payment transaction</t>
  </si>
  <si>
    <t>Date when the customer raised the dispute</t>
  </si>
  <si>
    <t>Date</t>
  </si>
  <si>
    <t>2026-01-12</t>
  </si>
  <si>
    <t>Used to analyse dispute trends over time</t>
  </si>
  <si>
    <t>Method used for payment</t>
  </si>
  <si>
    <t>Helps identify which payment channels create more disputes</t>
  </si>
  <si>
    <t>Type of payment issue raised by customer</t>
  </si>
  <si>
    <t>Used to analyse most common dispute categories</t>
  </si>
  <si>
    <t>Value of the original payment</t>
  </si>
  <si>
    <t>Number</t>
  </si>
  <si>
    <t>42.99</t>
  </si>
  <si>
    <t>Used to understand financial impact of disputes</t>
  </si>
  <si>
    <t>Type of merchant involved</t>
  </si>
  <si>
    <t>Helps identify high-risk merchant categories</t>
  </si>
  <si>
    <t>Status of the original transaction</t>
  </si>
  <si>
    <t>Used to support refund eligibility and investigation</t>
  </si>
  <si>
    <t>Short description of customer complaint</t>
  </si>
  <si>
    <t>I was charged twice</t>
  </si>
  <si>
    <t>Used by AI triage agent to classify the dispute</t>
  </si>
  <si>
    <t>Whether supporting evidence is available</t>
  </si>
  <si>
    <t>Used to decide whether case can progress or needs customer follow-up</t>
  </si>
  <si>
    <t>Risk rating of the case</t>
  </si>
  <si>
    <t>Used to prioritise cases and identify fraud/manual review</t>
  </si>
  <si>
    <t>Initial refund decision category</t>
  </si>
  <si>
    <t>Used to support refund decision-making</t>
  </si>
  <si>
    <t>Current status of the dispute case</t>
  </si>
  <si>
    <t>Used to monitor case progress and workload</t>
  </si>
  <si>
    <t>Target number of days to resolve the case</t>
  </si>
  <si>
    <t>5</t>
  </si>
  <si>
    <t>Used to measure SLA performance</t>
  </si>
  <si>
    <t>Actual number of days taken to resolve the case</t>
  </si>
  <si>
    <t>8</t>
  </si>
  <si>
    <t>Used to identify delays and SLA breaches</t>
  </si>
  <si>
    <t>Whether actual resolution exceeded target SLA</t>
  </si>
  <si>
    <t>Used to measure service risk and escalation needs</t>
  </si>
  <si>
    <t>Team responsible for handling the case</t>
  </si>
  <si>
    <t>Used to analyse workload by team</t>
  </si>
  <si>
    <t>Amount refunded to customer</t>
  </si>
  <si>
    <t>Used to measure financial impact</t>
  </si>
  <si>
    <t>Main reason behind the dispute</t>
  </si>
  <si>
    <t>Used for process improvement and root cause analysis</t>
  </si>
  <si>
    <t>Customer tone or experience indicator</t>
  </si>
  <si>
    <t>Used to understand customer experience impact</t>
  </si>
  <si>
    <t>Month</t>
  </si>
  <si>
    <t>Resolution_Bucket</t>
  </si>
  <si>
    <t>Refund_Flag</t>
  </si>
  <si>
    <t>AI_Automation_Candidate</t>
  </si>
  <si>
    <t>Dispute Type Analysis</t>
  </si>
  <si>
    <t>Dispute Type</t>
  </si>
  <si>
    <t>Case Count</t>
  </si>
  <si>
    <t>% of Total</t>
  </si>
  <si>
    <t>SLA Breaches</t>
  </si>
  <si>
    <t>SLA Breach %</t>
  </si>
  <si>
    <t>Avg Resolution Days</t>
  </si>
  <si>
    <t>Refund Value</t>
  </si>
  <si>
    <t>SLA Breach Analysis</t>
  </si>
  <si>
    <t>SLA Breached</t>
  </si>
  <si>
    <t>Payment Method Analysis</t>
  </si>
  <si>
    <t>Payment Method</t>
  </si>
  <si>
    <t>Avg Transaction Amount</t>
  </si>
  <si>
    <t>Root Cause Analysis</t>
  </si>
  <si>
    <t>Root Cause</t>
  </si>
  <si>
    <t>Refund Eligibility Analysis</t>
  </si>
  <si>
    <t>Refund Eligibility</t>
  </si>
  <si>
    <t>Total Refund Value</t>
  </si>
  <si>
    <t>Avg Refund per Case</t>
  </si>
  <si>
    <t>Risk Level Analysis</t>
  </si>
  <si>
    <t>Risk Level</t>
  </si>
  <si>
    <t>Manual Review Cases</t>
  </si>
  <si>
    <t>AI-Assisted Digital Payment Dispute &amp; Refund Management Platform - Dashboard</t>
  </si>
  <si>
    <t>KPI</t>
  </si>
  <si>
    <t>Value</t>
  </si>
  <si>
    <t>Management Insight</t>
  </si>
  <si>
    <t>Finding</t>
  </si>
  <si>
    <t>Total Dispute Cases</t>
  </si>
  <si>
    <t>Largest dispute category</t>
  </si>
  <si>
    <t>Average Resolution Time</t>
  </si>
  <si>
    <t>Top root cause</t>
  </si>
  <si>
    <t>SLA Breach Rate</t>
  </si>
  <si>
    <t>Most common payment method in disputes</t>
  </si>
  <si>
    <t>Manual Review Rate</t>
  </si>
  <si>
    <t>Main operational risk</t>
  </si>
  <si>
    <t>SLA breaches and manual review workload</t>
  </si>
  <si>
    <t>Recommended solution</t>
  </si>
  <si>
    <t>AI-assisted dispute triage, SLA tracking and refund decision support</t>
  </si>
  <si>
    <t>High Risk Cases</t>
  </si>
  <si>
    <t>Negative Sentiment Rate</t>
  </si>
  <si>
    <t>Key Business Insights and Recommendations</t>
  </si>
  <si>
    <t>Insight Area</t>
  </si>
  <si>
    <t>Business Interpretation</t>
  </si>
  <si>
    <t>Recommended Action</t>
  </si>
  <si>
    <t>Dispute Volume</t>
  </si>
  <si>
    <t>Failed Payment is the largest dispute category.</t>
  </si>
  <si>
    <t>This indicates the highest operational workload area.</t>
  </si>
  <si>
    <t>Prioritise process redesign and AI classification for this category.</t>
  </si>
  <si>
    <t>SLA Performance</t>
  </si>
  <si>
    <t>376 out of 750 cases breached SLA.</t>
  </si>
  <si>
    <t>Delayed resolution can damage trust and increase complaint escalation.</t>
  </si>
  <si>
    <t>Introduce SLA alerts and escalation workflow.</t>
  </si>
  <si>
    <t>Manual Follow-up Delay appears most frequently as a root cause.</t>
  </si>
  <si>
    <t>Repeated root causes suggest process/system weakness rather than isolated errors.</t>
  </si>
  <si>
    <t>Use root cause analysis and target operational fixes.</t>
  </si>
  <si>
    <t>642 cases require manual review.</t>
  </si>
  <si>
    <t>High manual review volume creates workload and slower decisions.</t>
  </si>
  <si>
    <t>Use AI decision-support to summarise cases and recommend next actions.</t>
  </si>
  <si>
    <t>Total refund value in the dataset is £19,070.60.</t>
  </si>
  <si>
    <t>Refunds have direct financial impact and need consistent approval logic.</t>
  </si>
  <si>
    <t>Create refund eligibility rules and approval thresholds.</t>
  </si>
  <si>
    <t>Risk</t>
  </si>
  <si>
    <t>137 cases are high risk.</t>
  </si>
  <si>
    <t>High-risk cases need careful routing to fraud or senior review.</t>
  </si>
  <si>
    <t>Add fraud/manual review flagging and role-based access control.</t>
  </si>
  <si>
    <t>Customer Experience</t>
  </si>
  <si>
    <t>438 cases show negative customer sentiment.</t>
  </si>
  <si>
    <t>Negative sentiment is linked to delay, uncertainty and poor communication.</t>
  </si>
  <si>
    <t>Generate clearer customer updates using AI response templates.</t>
  </si>
  <si>
    <t>Portfolio Value</t>
  </si>
  <si>
    <t>This workbook creates the evidence base for BRD, FRD, PRD, BPMN and prototype design.</t>
  </si>
  <si>
    <t>The project demonstrates data-to-requirements thinking.</t>
  </si>
  <si>
    <t>Use these insights in the Word documentation and recruiter-facing portfolio.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</si>
</sst>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£#,##0.00"/>
    <numFmt numFmtId="166" formatCode="0.0%"/>
    <numFmt numFmtId="167" formatCode="0.0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6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B1F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2" fillId="3" borderId="0" xfId="0" applyFont="1" applyFill="1" applyAlignment="1">
      <alignment horizontal="left" wrapText="1"/>
    </xf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0" fontId="3" fillId="3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4">
    <dxf>
      <font>
        <color rgb="FF842029"/>
      </font>
      <fill>
        <patternFill patternType="solid">
          <bgColor rgb="FFF8D7DA"/>
        </patternFill>
      </fill>
    </dxf>
    <dxf>
      <font>
        <color rgb="FF842029"/>
      </font>
      <fill>
        <patternFill patternType="solid">
          <bgColor rgb="FFF8D7DA"/>
        </patternFill>
      </fill>
    </dxf>
    <dxf>
      <font>
        <color rgb="FF842029"/>
      </font>
      <fill>
        <patternFill patternType="solid">
          <bgColor rgb="FFF8D7DA"/>
        </patternFill>
      </fill>
    </dxf>
    <dxf>
      <font>
        <color rgb="FF842029"/>
      </font>
      <fill>
        <patternFill patternType="solid">
          <bgColor rgb="FFF8D7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Dispute Type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Case Count</c:v>
          </c:tx>
          <c:invertIfNegative val="1"/>
          <c:cat>
            <c:strRef>
              <c:f>Pivot_Dispute_Type!$A$4:$A$11</c:f>
              <c:strCache>
                <c:ptCount val="8"/>
                <c:pt idx="0">
                  <c:v>Failed Payment</c:v>
                </c:pt>
                <c:pt idx="1">
                  <c:v>Refund Delay</c:v>
                </c:pt>
                <c:pt idx="2">
                  <c:v>Merchant Not Credited</c:v>
                </c:pt>
                <c:pt idx="3">
                  <c:v>Duplicate Debit</c:v>
                </c:pt>
                <c:pt idx="4">
                  <c:v>Unauthorised Transaction</c:v>
                </c:pt>
                <c:pt idx="5">
                  <c:v>APP Scam Claim</c:v>
                </c:pt>
                <c:pt idx="6">
                  <c:v>Chargeback Request</c:v>
                </c:pt>
                <c:pt idx="7">
                  <c:v>Wrong Amount Debited</c:v>
                </c:pt>
              </c:strCache>
            </c:strRef>
          </c:cat>
          <c:val>
            <c:numRef>
              <c:f>Pivot_Dispute_Type!$B$4:$B$11</c:f>
              <c:numCache>
                <c:formatCode>General</c:formatCode>
                <c:ptCount val="8"/>
                <c:pt idx="0">
                  <c:v>161</c:v>
                </c:pt>
                <c:pt idx="1">
                  <c:v>138</c:v>
                </c:pt>
                <c:pt idx="2">
                  <c:v>107</c:v>
                </c:pt>
                <c:pt idx="3">
                  <c:v>98</c:v>
                </c:pt>
                <c:pt idx="4">
                  <c:v>72</c:v>
                </c:pt>
                <c:pt idx="5">
                  <c:v>63</c:v>
                </c:pt>
                <c:pt idx="6">
                  <c:v>57</c:v>
                </c:pt>
                <c:pt idx="7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07-4B7B-ABCB-4C742DC73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SLA Breach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Case Count</c:v>
          </c:tx>
          <c:invertIfNegative val="1"/>
          <c:cat>
            <c:strRef>
              <c:f>Pivot_SLA!$A$4:$A$5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Pivot_SLA!$B$4:$B$5</c:f>
              <c:numCache>
                <c:formatCode>General</c:formatCode>
                <c:ptCount val="2"/>
                <c:pt idx="0">
                  <c:v>376</c:v>
                </c:pt>
                <c:pt idx="1">
                  <c:v>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1-4471-B45A-4CBAC2742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Payment Method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Case Count</c:v>
          </c:tx>
          <c:invertIfNegative val="1"/>
          <c:cat>
            <c:strRef>
              <c:f>Pivot_Payment_Method!$A$4:$A$7</c:f>
              <c:strCache>
                <c:ptCount val="4"/>
                <c:pt idx="0">
                  <c:v>Card</c:v>
                </c:pt>
                <c:pt idx="1">
                  <c:v>Bank Transfer</c:v>
                </c:pt>
                <c:pt idx="2">
                  <c:v>Wallet</c:v>
                </c:pt>
                <c:pt idx="3">
                  <c:v>Open Banking</c:v>
                </c:pt>
              </c:strCache>
            </c:strRef>
          </c:cat>
          <c:val>
            <c:numRef>
              <c:f>Pivot_Payment_Method!$B$4:$B$7</c:f>
              <c:numCache>
                <c:formatCode>General</c:formatCode>
                <c:ptCount val="4"/>
                <c:pt idx="0">
                  <c:v>316</c:v>
                </c:pt>
                <c:pt idx="1">
                  <c:v>164</c:v>
                </c:pt>
                <c:pt idx="2">
                  <c:v>162</c:v>
                </c:pt>
                <c:pt idx="3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2-48E1-9803-E79EE1464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Root Cause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Case Count</c:v>
          </c:tx>
          <c:invertIfNegative val="1"/>
          <c:cat>
            <c:strRef>
              <c:f>Pivot_Root_Cause!$A$4:$A$13</c:f>
              <c:strCache>
                <c:ptCount val="10"/>
                <c:pt idx="0">
                  <c:v>Manual Follow-up Delay</c:v>
                </c:pt>
                <c:pt idx="1">
                  <c:v>Merchant Settlement Delay</c:v>
                </c:pt>
                <c:pt idx="2">
                  <c:v>Duplicate Processing</c:v>
                </c:pt>
                <c:pt idx="3">
                  <c:v>System Mapping Error</c:v>
                </c:pt>
                <c:pt idx="4">
                  <c:v>Bank Reversal Delay</c:v>
                </c:pt>
                <c:pt idx="5">
                  <c:v>Gateway Timeout</c:v>
                </c:pt>
                <c:pt idx="6">
                  <c:v>Customer Evidence Missing</c:v>
                </c:pt>
                <c:pt idx="7">
                  <c:v>Fraud Indicator</c:v>
                </c:pt>
                <c:pt idx="8">
                  <c:v>Incorrect Merchant Reference</c:v>
                </c:pt>
                <c:pt idx="9">
                  <c:v>Customer Input Error</c:v>
                </c:pt>
              </c:strCache>
            </c:strRef>
          </c:cat>
          <c:val>
            <c:numRef>
              <c:f>Pivot_Root_Cause!$B$4:$B$13</c:f>
              <c:numCache>
                <c:formatCode>General</c:formatCode>
                <c:ptCount val="10"/>
                <c:pt idx="0">
                  <c:v>109</c:v>
                </c:pt>
                <c:pt idx="1">
                  <c:v>104</c:v>
                </c:pt>
                <c:pt idx="2">
                  <c:v>98</c:v>
                </c:pt>
                <c:pt idx="3">
                  <c:v>95</c:v>
                </c:pt>
                <c:pt idx="4">
                  <c:v>95</c:v>
                </c:pt>
                <c:pt idx="5">
                  <c:v>93</c:v>
                </c:pt>
                <c:pt idx="6">
                  <c:v>61</c:v>
                </c:pt>
                <c:pt idx="7">
                  <c:v>44</c:v>
                </c:pt>
                <c:pt idx="8">
                  <c:v>30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32-45DD-A724-D644B9B3F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Refund Eligibility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Case Count</c:v>
          </c:tx>
          <c:invertIfNegative val="1"/>
          <c:cat>
            <c:strRef>
              <c:f>Pivot_Refund!$A$4:$A$6</c:f>
              <c:strCache>
                <c:ptCount val="2"/>
                <c:pt idx="0">
                  <c:v>Manual Review</c:v>
                </c:pt>
                <c:pt idx="1">
                  <c:v>Eligible</c:v>
                </c:pt>
              </c:strCache>
            </c:strRef>
          </c:cat>
          <c:val>
            <c:numRef>
              <c:f>Pivot_Refund!$B$4:$B$6</c:f>
              <c:numCache>
                <c:formatCode>General</c:formatCode>
                <c:ptCount val="3"/>
                <c:pt idx="0">
                  <c:v>642</c:v>
                </c:pt>
                <c:pt idx="1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9-45F1-8A4F-92AF8FBAC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Risk Level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Case Count</c:v>
          </c:tx>
          <c:invertIfNegative val="1"/>
          <c:cat>
            <c:strRef>
              <c:f>Pivot_Risk!$A$4:$A$6</c:f>
              <c:strCache>
                <c:ptCount val="3"/>
                <c:pt idx="0">
                  <c:v>Medium</c:v>
                </c:pt>
                <c:pt idx="1">
                  <c:v>High</c:v>
                </c:pt>
                <c:pt idx="2">
                  <c:v>Low</c:v>
                </c:pt>
              </c:strCache>
            </c:strRef>
          </c:cat>
          <c:val>
            <c:numRef>
              <c:f>Pivot_Risk!$B$4:$B$6</c:f>
              <c:numCache>
                <c:formatCode>General</c:formatCode>
                <c:ptCount val="3"/>
                <c:pt idx="0">
                  <c:v>540</c:v>
                </c:pt>
                <c:pt idx="1">
                  <c:v>137</c:v>
                </c:pt>
                <c:pt idx="2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8-41F2-BA1D-80E454267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Dispute Cases by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Case Count</c:v>
          </c:tx>
          <c:invertIfNegative val="1"/>
          <c:cat>
            <c:strRef>
              <c:f>Dashboard!$A$14:$A$21</c:f>
              <c:strCache>
                <c:ptCount val="8"/>
                <c:pt idx="0">
                  <c:v>Failed Payment</c:v>
                </c:pt>
                <c:pt idx="1">
                  <c:v>Refund Delay</c:v>
                </c:pt>
                <c:pt idx="2">
                  <c:v>Merchant Not Credited</c:v>
                </c:pt>
                <c:pt idx="3">
                  <c:v>Duplicate Debit</c:v>
                </c:pt>
                <c:pt idx="4">
                  <c:v>Unauthorised Transaction</c:v>
                </c:pt>
                <c:pt idx="5">
                  <c:v>APP Scam Claim</c:v>
                </c:pt>
                <c:pt idx="6">
                  <c:v>Chargeback Request</c:v>
                </c:pt>
                <c:pt idx="7">
                  <c:v>Wrong Amount Debited</c:v>
                </c:pt>
              </c:strCache>
            </c:strRef>
          </c:cat>
          <c:val>
            <c:numRef>
              <c:f>Dashboard!$B$14:$B$21</c:f>
              <c:numCache>
                <c:formatCode>General</c:formatCode>
                <c:ptCount val="8"/>
                <c:pt idx="0">
                  <c:v>161</c:v>
                </c:pt>
                <c:pt idx="1">
                  <c:v>138</c:v>
                </c:pt>
                <c:pt idx="2">
                  <c:v>107</c:v>
                </c:pt>
                <c:pt idx="3">
                  <c:v>98</c:v>
                </c:pt>
                <c:pt idx="4">
                  <c:v>72</c:v>
                </c:pt>
                <c:pt idx="5">
                  <c:v>63</c:v>
                </c:pt>
                <c:pt idx="6">
                  <c:v>57</c:v>
                </c:pt>
                <c:pt idx="7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B-4CA3-A2AD-07838B645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Cases by Risk Level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Case Count</c:v>
          </c:tx>
          <c:invertIfNegative val="1"/>
          <c:cat>
            <c:strRef>
              <c:f>Dashboard!$D$14:$D$16</c:f>
              <c:strCache>
                <c:ptCount val="3"/>
                <c:pt idx="0">
                  <c:v>Medium</c:v>
                </c:pt>
                <c:pt idx="1">
                  <c:v>High</c:v>
                </c:pt>
                <c:pt idx="2">
                  <c:v>Low</c:v>
                </c:pt>
              </c:strCache>
            </c:strRef>
          </c:cat>
          <c:val>
            <c:numRef>
              <c:f>Dashboard!$E$14:$E$16</c:f>
              <c:numCache>
                <c:formatCode>General</c:formatCode>
                <c:ptCount val="3"/>
                <c:pt idx="0">
                  <c:v>540</c:v>
                </c:pt>
                <c:pt idx="1">
                  <c:v>137</c:v>
                </c:pt>
                <c:pt idx="2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F-4719-92F9-90BB3A20E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Cases by Payment Method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Case Count</c:v>
          </c:tx>
          <c:invertIfNegative val="1"/>
          <c:cat>
            <c:strRef>
              <c:f>Dashboard!$G$14:$G$17</c:f>
              <c:strCache>
                <c:ptCount val="4"/>
                <c:pt idx="0">
                  <c:v>Card</c:v>
                </c:pt>
                <c:pt idx="1">
                  <c:v>Bank Transfer</c:v>
                </c:pt>
                <c:pt idx="2">
                  <c:v>Wallet</c:v>
                </c:pt>
                <c:pt idx="3">
                  <c:v>Open Banking</c:v>
                </c:pt>
              </c:strCache>
            </c:strRef>
          </c:cat>
          <c:val>
            <c:numRef>
              <c:f>Dashboard!$H$14:$H$17</c:f>
              <c:numCache>
                <c:formatCode>General</c:formatCode>
                <c:ptCount val="4"/>
                <c:pt idx="0">
                  <c:v>316</c:v>
                </c:pt>
                <c:pt idx="1">
                  <c:v>164</c:v>
                </c:pt>
                <c:pt idx="2">
                  <c:v>162</c:v>
                </c:pt>
                <c:pt idx="3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2-411F-BC9E-46CA22F4A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isputeTable" displayName="RawDisputeTable" ref="A1:U751">
  <tableColumns count="21">
    <tableColumn id="1" xr3:uid="{00000000-0010-0000-0000-000001000000}" name="Case_ID"/>
    <tableColumn id="2" xr3:uid="{00000000-0010-0000-0000-000002000000}" name="Customer_ID"/>
    <tableColumn id="3" xr3:uid="{00000000-0010-0000-0000-000003000000}" name="Transaction_ID"/>
    <tableColumn id="4" xr3:uid="{00000000-0010-0000-0000-000004000000}" name="Date_Raised"/>
    <tableColumn id="5" xr3:uid="{00000000-0010-0000-0000-000005000000}" name="Payment_Method"/>
    <tableColumn id="6" xr3:uid="{00000000-0010-0000-0000-000006000000}" name="Dispute_Type"/>
    <tableColumn id="7" xr3:uid="{00000000-0010-0000-0000-000007000000}" name="Transaction_Amount"/>
    <tableColumn id="8" xr3:uid="{00000000-0010-0000-0000-000008000000}" name="Merchant_Category"/>
    <tableColumn id="9" xr3:uid="{00000000-0010-0000-0000-000009000000}" name="Transaction_Status"/>
    <tableColumn id="10" xr3:uid="{00000000-0010-0000-0000-00000A000000}" name="Customer_Claim"/>
    <tableColumn id="11" xr3:uid="{00000000-0010-0000-0000-00000B000000}" name="Evidence_Available"/>
    <tableColumn id="12" xr3:uid="{00000000-0010-0000-0000-00000C000000}" name="Risk_Level"/>
    <tableColumn id="13" xr3:uid="{00000000-0010-0000-0000-00000D000000}" name="Refund_Eligibility"/>
    <tableColumn id="14" xr3:uid="{00000000-0010-0000-0000-00000E000000}" name="Case_Status"/>
    <tableColumn id="15" xr3:uid="{00000000-0010-0000-0000-00000F000000}" name="SLA_Target_Days"/>
    <tableColumn id="16" xr3:uid="{00000000-0010-0000-0000-000010000000}" name="Actual_Resolution_Days"/>
    <tableColumn id="17" xr3:uid="{00000000-0010-0000-0000-000011000000}" name="SLA_Breached"/>
    <tableColumn id="18" xr3:uid="{00000000-0010-0000-0000-000012000000}" name="Assigned_Team"/>
    <tableColumn id="19" xr3:uid="{00000000-0010-0000-0000-000013000000}" name="Refund_Amount"/>
    <tableColumn id="20" xr3:uid="{00000000-0010-0000-0000-000014000000}" name="Root_Cause"/>
    <tableColumn id="21" xr3:uid="{00000000-0010-0000-0000-000015000000}" name="Customer_Senti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DictionaryTable" displayName="DataDictionaryTable" ref="A1:E22">
  <tableColumns count="5">
    <tableColumn id="1" xr3:uid="{00000000-0010-0000-0100-000001000000}" name="Column_Name"/>
    <tableColumn id="2" xr3:uid="{00000000-0010-0000-0100-000002000000}" name="Description"/>
    <tableColumn id="3" xr3:uid="{00000000-0010-0000-0100-000003000000}" name="Data_Type"/>
    <tableColumn id="4" xr3:uid="{00000000-0010-0000-0100-000004000000}" name="Example_Value"/>
    <tableColumn id="5" xr3:uid="{00000000-0010-0000-0100-000005000000}" name="Business_U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leanedDisputeTable" displayName="CleanedDisputeTable" ref="A1:Y751">
  <tableColumns count="25">
    <tableColumn id="1" xr3:uid="{00000000-0010-0000-0200-000001000000}" name="Case_ID"/>
    <tableColumn id="2" xr3:uid="{00000000-0010-0000-0200-000002000000}" name="Customer_ID"/>
    <tableColumn id="3" xr3:uid="{00000000-0010-0000-0200-000003000000}" name="Transaction_ID"/>
    <tableColumn id="4" xr3:uid="{00000000-0010-0000-0200-000004000000}" name="Date_Raised"/>
    <tableColumn id="5" xr3:uid="{00000000-0010-0000-0200-000005000000}" name="Payment_Method"/>
    <tableColumn id="6" xr3:uid="{00000000-0010-0000-0200-000006000000}" name="Dispute_Type"/>
    <tableColumn id="7" xr3:uid="{00000000-0010-0000-0200-000007000000}" name="Transaction_Amount"/>
    <tableColumn id="8" xr3:uid="{00000000-0010-0000-0200-000008000000}" name="Merchant_Category"/>
    <tableColumn id="9" xr3:uid="{00000000-0010-0000-0200-000009000000}" name="Transaction_Status"/>
    <tableColumn id="10" xr3:uid="{00000000-0010-0000-0200-00000A000000}" name="Customer_Claim"/>
    <tableColumn id="11" xr3:uid="{00000000-0010-0000-0200-00000B000000}" name="Evidence_Available"/>
    <tableColumn id="12" xr3:uid="{00000000-0010-0000-0200-00000C000000}" name="Risk_Level"/>
    <tableColumn id="13" xr3:uid="{00000000-0010-0000-0200-00000D000000}" name="Refund_Eligibility"/>
    <tableColumn id="14" xr3:uid="{00000000-0010-0000-0200-00000E000000}" name="Case_Status"/>
    <tableColumn id="15" xr3:uid="{00000000-0010-0000-0200-00000F000000}" name="SLA_Target_Days"/>
    <tableColumn id="16" xr3:uid="{00000000-0010-0000-0200-000010000000}" name="Actual_Resolution_Days"/>
    <tableColumn id="17" xr3:uid="{00000000-0010-0000-0200-000011000000}" name="SLA_Breached"/>
    <tableColumn id="18" xr3:uid="{00000000-0010-0000-0200-000012000000}" name="Assigned_Team"/>
    <tableColumn id="19" xr3:uid="{00000000-0010-0000-0200-000013000000}" name="Refund_Amount"/>
    <tableColumn id="20" xr3:uid="{00000000-0010-0000-0200-000014000000}" name="Root_Cause"/>
    <tableColumn id="21" xr3:uid="{00000000-0010-0000-0200-000015000000}" name="Customer_Sentiment"/>
    <tableColumn id="22" xr3:uid="{00000000-0010-0000-0200-000016000000}" name="Month"/>
    <tableColumn id="23" xr3:uid="{00000000-0010-0000-0200-000017000000}" name="Resolution_Bucket"/>
    <tableColumn id="24" xr3:uid="{00000000-0010-0000-0200-000018000000}" name="Refund_Flag"/>
    <tableColumn id="25" xr3:uid="{00000000-0010-0000-0200-000019000000}" name="AI_Automation_Candi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sputeTypeAnalysisTable" displayName="DisputeTypeAnalysisTable" ref="A3:G11">
  <tableColumns count="7">
    <tableColumn id="1" xr3:uid="{00000000-0010-0000-0300-000001000000}" name="Dispute Type"/>
    <tableColumn id="2" xr3:uid="{00000000-0010-0000-0300-000002000000}" name="Case Count"/>
    <tableColumn id="3" xr3:uid="{00000000-0010-0000-0300-000003000000}" name="% of Total"/>
    <tableColumn id="4" xr3:uid="{00000000-0010-0000-0300-000004000000}" name="SLA Breaches"/>
    <tableColumn id="5" xr3:uid="{00000000-0010-0000-0300-000005000000}" name="SLA Breach %"/>
    <tableColumn id="6" xr3:uid="{00000000-0010-0000-0300-000006000000}" name="Avg Resolution Days"/>
    <tableColumn id="7" xr3:uid="{00000000-0010-0000-0300-000007000000}" name="Refund 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LABreachAnalysisTable" displayName="SLABreachAnalysisTable" ref="A3:C5">
  <tableColumns count="3">
    <tableColumn id="1" xr3:uid="{00000000-0010-0000-0400-000001000000}" name="SLA Breached"/>
    <tableColumn id="2" xr3:uid="{00000000-0010-0000-0400-000002000000}" name="Case Count"/>
    <tableColumn id="3" xr3:uid="{00000000-0010-0000-0400-000003000000}" name="% of Tot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aymentMethodAnalysiTable" displayName="PaymentMethodAnalysiTable" ref="A3:F7">
  <tableColumns count="6">
    <tableColumn id="1" xr3:uid="{00000000-0010-0000-0500-000001000000}" name="Payment Method"/>
    <tableColumn id="2" xr3:uid="{00000000-0010-0000-0500-000002000000}" name="Case Count"/>
    <tableColumn id="3" xr3:uid="{00000000-0010-0000-0500-000003000000}" name="SLA Breaches"/>
    <tableColumn id="4" xr3:uid="{00000000-0010-0000-0500-000004000000}" name="SLA Breach %"/>
    <tableColumn id="5" xr3:uid="{00000000-0010-0000-0500-000005000000}" name="Avg Transaction Amount"/>
    <tableColumn id="6" xr3:uid="{00000000-0010-0000-0500-000006000000}" name="Refund 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ootCauseAnalysisTable" displayName="RootCauseAnalysisTable" ref="A3:E13">
  <tableColumns count="5">
    <tableColumn id="1" xr3:uid="{00000000-0010-0000-0600-000001000000}" name="Root Cause"/>
    <tableColumn id="2" xr3:uid="{00000000-0010-0000-0600-000002000000}" name="Case Count"/>
    <tableColumn id="3" xr3:uid="{00000000-0010-0000-0600-000003000000}" name="% of Total"/>
    <tableColumn id="4" xr3:uid="{00000000-0010-0000-0600-000004000000}" name="SLA Breaches"/>
    <tableColumn id="5" xr3:uid="{00000000-0010-0000-0600-000005000000}" name="Refund Val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RefundEligibilityAnaTable" displayName="RefundEligibilityAnaTable" ref="A3:E5">
  <tableColumns count="5">
    <tableColumn id="1" xr3:uid="{00000000-0010-0000-0700-000001000000}" name="Refund Eligibility"/>
    <tableColumn id="2" xr3:uid="{00000000-0010-0000-0700-000002000000}" name="Case Count"/>
    <tableColumn id="3" xr3:uid="{00000000-0010-0000-0700-000003000000}" name="% of Total"/>
    <tableColumn id="4" xr3:uid="{00000000-0010-0000-0700-000004000000}" name="Total Refund Value"/>
    <tableColumn id="5" xr3:uid="{00000000-0010-0000-0700-000005000000}" name="Avg Refund per Cas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RiskLevelAnalysisTable" displayName="RiskLevelAnalysisTable" ref="A3:F6">
  <tableColumns count="6">
    <tableColumn id="1" xr3:uid="{00000000-0010-0000-0800-000001000000}" name="Risk Level"/>
    <tableColumn id="2" xr3:uid="{00000000-0010-0000-0800-000002000000}" name="Case Count"/>
    <tableColumn id="3" xr3:uid="{00000000-0010-0000-0800-000003000000}" name="% of Total"/>
    <tableColumn id="4" xr3:uid="{00000000-0010-0000-0800-000004000000}" name="Manual Review Cases"/>
    <tableColumn id="5" xr3:uid="{00000000-0010-0000-0800-000005000000}" name="SLA Breaches"/>
    <tableColumn id="6" xr3:uid="{00000000-0010-0000-0800-000006000000}" name="Refund Valu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KeyInsightsTable" displayName="KeyInsightsTable" ref="A3:D11">
  <tableColumns count="4">
    <tableColumn id="1" xr3:uid="{00000000-0010-0000-0900-000001000000}" name="Insight Area"/>
    <tableColumn id="2" xr3:uid="{00000000-0010-0000-0900-000002000000}" name="Finding"/>
    <tableColumn id="3" xr3:uid="{00000000-0010-0000-0900-000003000000}" name="Business Interpretation"/>
    <tableColumn id="4" xr3:uid="{00000000-0010-0000-0900-000004000000}" name="Recommend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51"/>
  <sheetViews>
    <sheetView topLeftCell="A80" workbookViewId="0"/>
  </sheetViews>
  <sheetFormatPr defaultRowHeight="13.8"/>
  <cols>
    <col min="1" max="4" width="12" customWidth="1"/>
    <col min="5" max="5" width="16" customWidth="1"/>
    <col min="6" max="6" width="22" customWidth="1"/>
    <col min="7" max="7" width="14" customWidth="1"/>
    <col min="8" max="8" width="18" customWidth="1"/>
    <col min="9" max="9" width="15" customWidth="1"/>
    <col min="10" max="10" width="38" customWidth="1"/>
    <col min="11" max="11" width="16" customWidth="1"/>
    <col min="12" max="12" width="12" customWidth="1"/>
    <col min="13" max="13" width="18" customWidth="1"/>
    <col min="14" max="14" width="15" customWidth="1"/>
    <col min="15" max="15" width="14" customWidth="1"/>
    <col min="16" max="16" width="17" customWidth="1"/>
    <col min="17" max="17" width="14" customWidth="1"/>
    <col min="18" max="18" width="20" customWidth="1"/>
    <col min="19" max="19" width="14" customWidth="1"/>
    <col min="20" max="20" width="24" customWidth="1"/>
    <col min="21" max="21" width="16" customWidth="1"/>
  </cols>
  <sheetData>
    <row r="1" spans="1:21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7.6">
      <c r="A2" t="s">
        <v>21</v>
      </c>
      <c r="B2" t="s">
        <v>22</v>
      </c>
      <c r="C2" t="s">
        <v>23</v>
      </c>
      <c r="D2" s="2">
        <v>46093</v>
      </c>
      <c r="E2" t="s">
        <v>24</v>
      </c>
      <c r="F2" t="s">
        <v>25</v>
      </c>
      <c r="G2" s="3">
        <v>47.54</v>
      </c>
      <c r="H2" t="s">
        <v>26</v>
      </c>
      <c r="I2" t="s">
        <v>27</v>
      </c>
      <c r="J2" s="4" t="s">
        <v>28</v>
      </c>
      <c r="K2" t="s">
        <v>29</v>
      </c>
      <c r="L2" t="s">
        <v>30</v>
      </c>
      <c r="M2" t="s">
        <v>31</v>
      </c>
      <c r="N2" t="s">
        <v>32</v>
      </c>
      <c r="O2">
        <v>5</v>
      </c>
      <c r="P2">
        <v>2</v>
      </c>
      <c r="Q2" t="s">
        <v>33</v>
      </c>
      <c r="R2" t="s">
        <v>34</v>
      </c>
      <c r="S2" s="3">
        <v>0</v>
      </c>
      <c r="T2" t="s">
        <v>35</v>
      </c>
      <c r="U2" t="s">
        <v>36</v>
      </c>
    </row>
    <row r="3" spans="1:21" ht="27.6">
      <c r="A3" t="s">
        <v>37</v>
      </c>
      <c r="B3" t="s">
        <v>38</v>
      </c>
      <c r="C3" t="s">
        <v>39</v>
      </c>
      <c r="D3" s="2">
        <v>46094</v>
      </c>
      <c r="E3" t="s">
        <v>40</v>
      </c>
      <c r="F3" t="s">
        <v>25</v>
      </c>
      <c r="G3" s="3">
        <v>177.21</v>
      </c>
      <c r="H3" t="s">
        <v>41</v>
      </c>
      <c r="I3" t="s">
        <v>27</v>
      </c>
      <c r="J3" s="4" t="s">
        <v>42</v>
      </c>
      <c r="K3" t="s">
        <v>29</v>
      </c>
      <c r="L3" t="s">
        <v>30</v>
      </c>
      <c r="M3" t="s">
        <v>31</v>
      </c>
      <c r="N3" t="s">
        <v>32</v>
      </c>
      <c r="O3">
        <v>5</v>
      </c>
      <c r="P3">
        <v>3</v>
      </c>
      <c r="Q3" t="s">
        <v>33</v>
      </c>
      <c r="R3" t="s">
        <v>34</v>
      </c>
      <c r="S3" s="3">
        <v>132.91</v>
      </c>
      <c r="T3" t="s">
        <v>43</v>
      </c>
      <c r="U3" t="s">
        <v>36</v>
      </c>
    </row>
    <row r="4" spans="1:21" ht="27.6">
      <c r="A4" t="s">
        <v>44</v>
      </c>
      <c r="B4" t="s">
        <v>45</v>
      </c>
      <c r="C4" t="s">
        <v>46</v>
      </c>
      <c r="D4" s="2">
        <v>46140</v>
      </c>
      <c r="E4" t="s">
        <v>47</v>
      </c>
      <c r="F4" t="s">
        <v>48</v>
      </c>
      <c r="G4" s="3">
        <v>27.24</v>
      </c>
      <c r="H4" t="s">
        <v>49</v>
      </c>
      <c r="I4" t="s">
        <v>50</v>
      </c>
      <c r="J4" s="4" t="s">
        <v>51</v>
      </c>
      <c r="K4" t="s">
        <v>33</v>
      </c>
      <c r="L4" t="s">
        <v>30</v>
      </c>
      <c r="M4" t="s">
        <v>31</v>
      </c>
      <c r="N4" t="s">
        <v>32</v>
      </c>
      <c r="O4">
        <v>10</v>
      </c>
      <c r="P4">
        <v>4</v>
      </c>
      <c r="Q4" t="s">
        <v>33</v>
      </c>
      <c r="R4" t="s">
        <v>34</v>
      </c>
      <c r="S4" s="3">
        <v>20.43</v>
      </c>
      <c r="T4" t="s">
        <v>52</v>
      </c>
      <c r="U4" t="s">
        <v>53</v>
      </c>
    </row>
    <row r="5" spans="1:21" ht="27.6">
      <c r="A5" t="s">
        <v>54</v>
      </c>
      <c r="B5" t="s">
        <v>55</v>
      </c>
      <c r="C5" t="s">
        <v>56</v>
      </c>
      <c r="D5" s="2">
        <v>46094</v>
      </c>
      <c r="E5" t="s">
        <v>47</v>
      </c>
      <c r="F5" t="s">
        <v>57</v>
      </c>
      <c r="G5" s="3">
        <v>18.86</v>
      </c>
      <c r="H5" t="s">
        <v>58</v>
      </c>
      <c r="I5" t="s">
        <v>27</v>
      </c>
      <c r="J5" s="4" t="s">
        <v>59</v>
      </c>
      <c r="K5" t="s">
        <v>33</v>
      </c>
      <c r="L5" t="s">
        <v>60</v>
      </c>
      <c r="M5" t="s">
        <v>31</v>
      </c>
      <c r="N5" t="s">
        <v>32</v>
      </c>
      <c r="O5">
        <v>10</v>
      </c>
      <c r="P5">
        <v>11</v>
      </c>
      <c r="Q5" t="s">
        <v>29</v>
      </c>
      <c r="R5" t="s">
        <v>61</v>
      </c>
      <c r="S5" s="3">
        <v>0</v>
      </c>
      <c r="T5" t="s">
        <v>62</v>
      </c>
      <c r="U5" t="s">
        <v>63</v>
      </c>
    </row>
    <row r="6" spans="1:21" ht="27.6">
      <c r="A6" t="s">
        <v>64</v>
      </c>
      <c r="B6" t="s">
        <v>65</v>
      </c>
      <c r="C6" t="s">
        <v>66</v>
      </c>
      <c r="D6" s="2">
        <v>46120</v>
      </c>
      <c r="E6" t="s">
        <v>24</v>
      </c>
      <c r="F6" t="s">
        <v>48</v>
      </c>
      <c r="G6" s="3">
        <v>57.49</v>
      </c>
      <c r="H6" t="s">
        <v>41</v>
      </c>
      <c r="I6" t="s">
        <v>67</v>
      </c>
      <c r="J6" s="4" t="s">
        <v>68</v>
      </c>
      <c r="K6" t="s">
        <v>33</v>
      </c>
      <c r="L6" t="s">
        <v>30</v>
      </c>
      <c r="M6" t="s">
        <v>31</v>
      </c>
      <c r="N6" t="s">
        <v>32</v>
      </c>
      <c r="O6">
        <v>10</v>
      </c>
      <c r="P6">
        <v>11</v>
      </c>
      <c r="Q6" t="s">
        <v>29</v>
      </c>
      <c r="R6" t="s">
        <v>34</v>
      </c>
      <c r="S6" s="3">
        <v>57.49</v>
      </c>
      <c r="T6" t="s">
        <v>69</v>
      </c>
      <c r="U6" t="s">
        <v>63</v>
      </c>
    </row>
    <row r="7" spans="1:21" ht="27.6">
      <c r="A7" t="s">
        <v>70</v>
      </c>
      <c r="B7" t="s">
        <v>71</v>
      </c>
      <c r="C7" t="s">
        <v>72</v>
      </c>
      <c r="D7" s="2">
        <v>46150</v>
      </c>
      <c r="E7" t="s">
        <v>24</v>
      </c>
      <c r="F7" t="s">
        <v>73</v>
      </c>
      <c r="G7" s="3">
        <v>37.28</v>
      </c>
      <c r="H7" t="s">
        <v>74</v>
      </c>
      <c r="I7" t="s">
        <v>50</v>
      </c>
      <c r="J7" s="4" t="s">
        <v>75</v>
      </c>
      <c r="K7" t="s">
        <v>29</v>
      </c>
      <c r="L7" t="s">
        <v>60</v>
      </c>
      <c r="M7" t="s">
        <v>31</v>
      </c>
      <c r="N7" t="s">
        <v>32</v>
      </c>
      <c r="O7">
        <v>10</v>
      </c>
      <c r="P7">
        <v>6</v>
      </c>
      <c r="Q7" t="s">
        <v>33</v>
      </c>
      <c r="R7" t="s">
        <v>61</v>
      </c>
      <c r="S7" s="3">
        <v>18.64</v>
      </c>
      <c r="T7" t="s">
        <v>62</v>
      </c>
      <c r="U7" t="s">
        <v>63</v>
      </c>
    </row>
    <row r="8" spans="1:21" ht="27.6">
      <c r="A8" t="s">
        <v>76</v>
      </c>
      <c r="B8" t="s">
        <v>77</v>
      </c>
      <c r="C8" t="s">
        <v>78</v>
      </c>
      <c r="D8" s="2">
        <v>46046</v>
      </c>
      <c r="E8" t="s">
        <v>40</v>
      </c>
      <c r="F8" t="s">
        <v>73</v>
      </c>
      <c r="G8" s="3">
        <v>22.14</v>
      </c>
      <c r="H8" t="s">
        <v>58</v>
      </c>
      <c r="I8" t="s">
        <v>27</v>
      </c>
      <c r="J8" s="4" t="s">
        <v>75</v>
      </c>
      <c r="K8" t="s">
        <v>29</v>
      </c>
      <c r="L8" t="s">
        <v>60</v>
      </c>
      <c r="M8" t="s">
        <v>31</v>
      </c>
      <c r="N8" t="s">
        <v>32</v>
      </c>
      <c r="O8">
        <v>10</v>
      </c>
      <c r="P8">
        <v>8</v>
      </c>
      <c r="Q8" t="s">
        <v>33</v>
      </c>
      <c r="R8" t="s">
        <v>61</v>
      </c>
      <c r="S8" s="3">
        <v>0</v>
      </c>
      <c r="T8" t="s">
        <v>52</v>
      </c>
      <c r="U8" t="s">
        <v>63</v>
      </c>
    </row>
    <row r="9" spans="1:21" ht="27.6">
      <c r="A9" t="s">
        <v>79</v>
      </c>
      <c r="B9" t="s">
        <v>80</v>
      </c>
      <c r="C9" t="s">
        <v>81</v>
      </c>
      <c r="D9" s="2">
        <v>46091</v>
      </c>
      <c r="E9" t="s">
        <v>40</v>
      </c>
      <c r="F9" t="s">
        <v>82</v>
      </c>
      <c r="G9" s="3">
        <v>28.28</v>
      </c>
      <c r="H9" t="s">
        <v>26</v>
      </c>
      <c r="I9" t="s">
        <v>67</v>
      </c>
      <c r="J9" s="4" t="s">
        <v>83</v>
      </c>
      <c r="K9" t="s">
        <v>33</v>
      </c>
      <c r="L9" t="s">
        <v>30</v>
      </c>
      <c r="M9" t="s">
        <v>31</v>
      </c>
      <c r="N9" t="s">
        <v>84</v>
      </c>
      <c r="O9">
        <v>7</v>
      </c>
      <c r="P9">
        <v>7</v>
      </c>
      <c r="Q9" t="s">
        <v>33</v>
      </c>
      <c r="R9" t="s">
        <v>85</v>
      </c>
      <c r="S9" s="3">
        <v>0</v>
      </c>
      <c r="T9" t="s">
        <v>69</v>
      </c>
      <c r="U9" t="s">
        <v>53</v>
      </c>
    </row>
    <row r="10" spans="1:21" ht="27.6">
      <c r="A10" t="s">
        <v>86</v>
      </c>
      <c r="B10" t="s">
        <v>87</v>
      </c>
      <c r="C10" t="s">
        <v>88</v>
      </c>
      <c r="D10" s="2">
        <v>46073</v>
      </c>
      <c r="E10" t="s">
        <v>24</v>
      </c>
      <c r="F10" t="s">
        <v>57</v>
      </c>
      <c r="G10" s="3">
        <v>52.43</v>
      </c>
      <c r="H10" t="s">
        <v>89</v>
      </c>
      <c r="I10" t="s">
        <v>67</v>
      </c>
      <c r="J10" s="4" t="s">
        <v>59</v>
      </c>
      <c r="K10" t="s">
        <v>29</v>
      </c>
      <c r="L10" t="s">
        <v>60</v>
      </c>
      <c r="M10" t="s">
        <v>31</v>
      </c>
      <c r="N10" t="s">
        <v>90</v>
      </c>
      <c r="O10">
        <v>10</v>
      </c>
      <c r="P10">
        <v>17</v>
      </c>
      <c r="Q10" t="s">
        <v>29</v>
      </c>
      <c r="R10" t="s">
        <v>61</v>
      </c>
      <c r="S10" s="3">
        <v>0</v>
      </c>
      <c r="T10" t="s">
        <v>52</v>
      </c>
      <c r="U10" t="s">
        <v>63</v>
      </c>
    </row>
    <row r="11" spans="1:21" ht="27.6">
      <c r="A11" t="s">
        <v>91</v>
      </c>
      <c r="B11" t="s">
        <v>92</v>
      </c>
      <c r="C11" t="s">
        <v>93</v>
      </c>
      <c r="D11" s="2">
        <v>46168</v>
      </c>
      <c r="E11" t="s">
        <v>94</v>
      </c>
      <c r="F11" t="s">
        <v>25</v>
      </c>
      <c r="G11" s="3">
        <v>39.57</v>
      </c>
      <c r="H11" t="s">
        <v>49</v>
      </c>
      <c r="I11" t="s">
        <v>50</v>
      </c>
      <c r="J11" s="4" t="s">
        <v>95</v>
      </c>
      <c r="K11" t="s">
        <v>29</v>
      </c>
      <c r="L11" t="s">
        <v>30</v>
      </c>
      <c r="M11" t="s">
        <v>96</v>
      </c>
      <c r="N11" t="s">
        <v>32</v>
      </c>
      <c r="O11">
        <v>5</v>
      </c>
      <c r="P11">
        <v>6</v>
      </c>
      <c r="Q11" t="s">
        <v>29</v>
      </c>
      <c r="R11" t="s">
        <v>34</v>
      </c>
      <c r="S11" s="3">
        <v>39.57</v>
      </c>
      <c r="T11" t="s">
        <v>35</v>
      </c>
      <c r="U11" t="s">
        <v>63</v>
      </c>
    </row>
    <row r="12" spans="1:21" ht="27.6">
      <c r="A12" t="s">
        <v>97</v>
      </c>
      <c r="B12" t="s">
        <v>98</v>
      </c>
      <c r="C12" t="s">
        <v>99</v>
      </c>
      <c r="D12" s="2">
        <v>46131</v>
      </c>
      <c r="E12" t="s">
        <v>94</v>
      </c>
      <c r="F12" t="s">
        <v>48</v>
      </c>
      <c r="G12" s="3">
        <v>134.32</v>
      </c>
      <c r="H12" t="s">
        <v>58</v>
      </c>
      <c r="I12" t="s">
        <v>27</v>
      </c>
      <c r="J12" s="4" t="s">
        <v>51</v>
      </c>
      <c r="K12" t="s">
        <v>33</v>
      </c>
      <c r="L12" t="s">
        <v>30</v>
      </c>
      <c r="M12" t="s">
        <v>31</v>
      </c>
      <c r="N12" t="s">
        <v>32</v>
      </c>
      <c r="O12">
        <v>10</v>
      </c>
      <c r="P12">
        <v>4</v>
      </c>
      <c r="Q12" t="s">
        <v>33</v>
      </c>
      <c r="R12" t="s">
        <v>34</v>
      </c>
      <c r="S12" s="3">
        <v>67.16</v>
      </c>
      <c r="T12" t="s">
        <v>62</v>
      </c>
      <c r="U12" t="s">
        <v>36</v>
      </c>
    </row>
    <row r="13" spans="1:21" ht="27.6">
      <c r="A13" t="s">
        <v>100</v>
      </c>
      <c r="B13" t="s">
        <v>101</v>
      </c>
      <c r="C13" t="s">
        <v>102</v>
      </c>
      <c r="D13" s="2">
        <v>46079</v>
      </c>
      <c r="E13" t="s">
        <v>24</v>
      </c>
      <c r="F13" t="s">
        <v>103</v>
      </c>
      <c r="G13" s="3">
        <v>14.58</v>
      </c>
      <c r="H13" t="s">
        <v>89</v>
      </c>
      <c r="I13" t="s">
        <v>27</v>
      </c>
      <c r="J13" s="4" t="s">
        <v>104</v>
      </c>
      <c r="K13" t="s">
        <v>29</v>
      </c>
      <c r="L13" t="s">
        <v>30</v>
      </c>
      <c r="M13" t="s">
        <v>31</v>
      </c>
      <c r="N13" t="s">
        <v>32</v>
      </c>
      <c r="O13">
        <v>5</v>
      </c>
      <c r="P13">
        <v>10</v>
      </c>
      <c r="Q13" t="s">
        <v>29</v>
      </c>
      <c r="R13" t="s">
        <v>34</v>
      </c>
      <c r="S13" s="3">
        <v>0</v>
      </c>
      <c r="T13" t="s">
        <v>35</v>
      </c>
      <c r="U13" t="s">
        <v>63</v>
      </c>
    </row>
    <row r="14" spans="1:21" ht="27.6">
      <c r="A14" t="s">
        <v>105</v>
      </c>
      <c r="B14" t="s">
        <v>106</v>
      </c>
      <c r="C14" t="s">
        <v>107</v>
      </c>
      <c r="D14" s="2">
        <v>46144</v>
      </c>
      <c r="E14" t="s">
        <v>40</v>
      </c>
      <c r="F14" t="s">
        <v>25</v>
      </c>
      <c r="G14" s="3">
        <v>14.4</v>
      </c>
      <c r="H14" t="s">
        <v>108</v>
      </c>
      <c r="I14" t="s">
        <v>27</v>
      </c>
      <c r="J14" s="4" t="s">
        <v>109</v>
      </c>
      <c r="K14" t="s">
        <v>33</v>
      </c>
      <c r="L14" t="s">
        <v>30</v>
      </c>
      <c r="M14" t="s">
        <v>31</v>
      </c>
      <c r="N14" t="s">
        <v>32</v>
      </c>
      <c r="O14">
        <v>5</v>
      </c>
      <c r="P14">
        <v>4</v>
      </c>
      <c r="Q14" t="s">
        <v>33</v>
      </c>
      <c r="R14" t="s">
        <v>34</v>
      </c>
      <c r="S14" s="3">
        <v>10.8</v>
      </c>
      <c r="T14" t="s">
        <v>110</v>
      </c>
      <c r="U14" t="s">
        <v>53</v>
      </c>
    </row>
    <row r="15" spans="1:21" ht="27.6">
      <c r="A15" t="s">
        <v>111</v>
      </c>
      <c r="B15" t="s">
        <v>112</v>
      </c>
      <c r="C15" t="s">
        <v>113</v>
      </c>
      <c r="D15" s="2">
        <v>46160</v>
      </c>
      <c r="E15" t="s">
        <v>47</v>
      </c>
      <c r="F15" t="s">
        <v>82</v>
      </c>
      <c r="G15" s="3">
        <v>26.3</v>
      </c>
      <c r="H15" t="s">
        <v>26</v>
      </c>
      <c r="I15" t="s">
        <v>27</v>
      </c>
      <c r="J15" s="4" t="s">
        <v>114</v>
      </c>
      <c r="K15" t="s">
        <v>33</v>
      </c>
      <c r="L15" t="s">
        <v>30</v>
      </c>
      <c r="M15" t="s">
        <v>31</v>
      </c>
      <c r="N15" t="s">
        <v>32</v>
      </c>
      <c r="O15">
        <v>7</v>
      </c>
      <c r="P15">
        <v>1</v>
      </c>
      <c r="Q15" t="s">
        <v>33</v>
      </c>
      <c r="R15" t="s">
        <v>85</v>
      </c>
      <c r="S15" s="3">
        <v>0</v>
      </c>
      <c r="T15" t="s">
        <v>62</v>
      </c>
      <c r="U15" t="s">
        <v>53</v>
      </c>
    </row>
    <row r="16" spans="1:21" ht="27.6">
      <c r="A16" t="s">
        <v>115</v>
      </c>
      <c r="B16" t="s">
        <v>116</v>
      </c>
      <c r="C16" t="s">
        <v>117</v>
      </c>
      <c r="D16" s="2">
        <v>46127</v>
      </c>
      <c r="E16" t="s">
        <v>47</v>
      </c>
      <c r="F16" t="s">
        <v>118</v>
      </c>
      <c r="G16" s="3">
        <v>34.700000000000003</v>
      </c>
      <c r="H16" t="s">
        <v>108</v>
      </c>
      <c r="I16" t="s">
        <v>27</v>
      </c>
      <c r="J16" s="4" t="s">
        <v>119</v>
      </c>
      <c r="K16" t="s">
        <v>29</v>
      </c>
      <c r="L16" t="s">
        <v>120</v>
      </c>
      <c r="M16" t="s">
        <v>96</v>
      </c>
      <c r="N16" t="s">
        <v>32</v>
      </c>
      <c r="O16">
        <v>5</v>
      </c>
      <c r="P16">
        <v>7</v>
      </c>
      <c r="Q16" t="s">
        <v>29</v>
      </c>
      <c r="R16" t="s">
        <v>85</v>
      </c>
      <c r="S16" s="3">
        <v>34.700000000000003</v>
      </c>
      <c r="T16" t="s">
        <v>121</v>
      </c>
      <c r="U16" t="s">
        <v>63</v>
      </c>
    </row>
    <row r="17" spans="1:21" ht="27.6">
      <c r="A17" t="s">
        <v>122</v>
      </c>
      <c r="B17" t="s">
        <v>123</v>
      </c>
      <c r="C17" t="s">
        <v>124</v>
      </c>
      <c r="D17" s="2">
        <v>46098</v>
      </c>
      <c r="E17" t="s">
        <v>24</v>
      </c>
      <c r="F17" t="s">
        <v>25</v>
      </c>
      <c r="G17" s="3">
        <v>58.33</v>
      </c>
      <c r="H17" t="s">
        <v>41</v>
      </c>
      <c r="I17" t="s">
        <v>27</v>
      </c>
      <c r="J17" s="4" t="s">
        <v>125</v>
      </c>
      <c r="K17" t="s">
        <v>33</v>
      </c>
      <c r="L17" t="s">
        <v>30</v>
      </c>
      <c r="M17" t="s">
        <v>31</v>
      </c>
      <c r="N17" t="s">
        <v>126</v>
      </c>
      <c r="O17">
        <v>5</v>
      </c>
      <c r="P17">
        <v>3</v>
      </c>
      <c r="Q17" t="s">
        <v>33</v>
      </c>
      <c r="R17" t="s">
        <v>34</v>
      </c>
      <c r="S17" s="3">
        <v>0</v>
      </c>
      <c r="T17" t="s">
        <v>35</v>
      </c>
      <c r="U17" t="s">
        <v>53</v>
      </c>
    </row>
    <row r="18" spans="1:21" ht="27.6">
      <c r="A18" t="s">
        <v>127</v>
      </c>
      <c r="B18" t="s">
        <v>128</v>
      </c>
      <c r="C18" t="s">
        <v>129</v>
      </c>
      <c r="D18" s="2">
        <v>46070</v>
      </c>
      <c r="E18" t="s">
        <v>24</v>
      </c>
      <c r="F18" t="s">
        <v>25</v>
      </c>
      <c r="G18" s="3">
        <v>97.99</v>
      </c>
      <c r="H18" t="s">
        <v>89</v>
      </c>
      <c r="I18" t="s">
        <v>27</v>
      </c>
      <c r="J18" s="4" t="s">
        <v>130</v>
      </c>
      <c r="K18" t="s">
        <v>29</v>
      </c>
      <c r="L18" t="s">
        <v>30</v>
      </c>
      <c r="M18" t="s">
        <v>31</v>
      </c>
      <c r="N18" t="s">
        <v>32</v>
      </c>
      <c r="O18">
        <v>5</v>
      </c>
      <c r="P18">
        <v>9</v>
      </c>
      <c r="Q18" t="s">
        <v>29</v>
      </c>
      <c r="R18" t="s">
        <v>34</v>
      </c>
      <c r="S18" s="3">
        <v>73.489999999999995</v>
      </c>
      <c r="T18" t="s">
        <v>35</v>
      </c>
      <c r="U18" t="s">
        <v>63</v>
      </c>
    </row>
    <row r="19" spans="1:21" ht="27.6">
      <c r="A19" t="s">
        <v>131</v>
      </c>
      <c r="B19" t="s">
        <v>132</v>
      </c>
      <c r="C19" t="s">
        <v>133</v>
      </c>
      <c r="D19" s="2">
        <v>46090</v>
      </c>
      <c r="E19" t="s">
        <v>24</v>
      </c>
      <c r="F19" t="s">
        <v>103</v>
      </c>
      <c r="G19" s="3">
        <v>26.4</v>
      </c>
      <c r="H19" t="s">
        <v>49</v>
      </c>
      <c r="I19" t="s">
        <v>67</v>
      </c>
      <c r="J19" s="4" t="s">
        <v>134</v>
      </c>
      <c r="K19" t="s">
        <v>29</v>
      </c>
      <c r="L19" t="s">
        <v>30</v>
      </c>
      <c r="M19" t="s">
        <v>31</v>
      </c>
      <c r="N19" t="s">
        <v>32</v>
      </c>
      <c r="O19">
        <v>5</v>
      </c>
      <c r="P19">
        <v>8</v>
      </c>
      <c r="Q19" t="s">
        <v>29</v>
      </c>
      <c r="R19" t="s">
        <v>34</v>
      </c>
      <c r="S19" s="3">
        <v>19.8</v>
      </c>
      <c r="T19" t="s">
        <v>35</v>
      </c>
      <c r="U19" t="s">
        <v>63</v>
      </c>
    </row>
    <row r="20" spans="1:21" ht="27.6">
      <c r="A20" t="s">
        <v>135</v>
      </c>
      <c r="B20" t="s">
        <v>136</v>
      </c>
      <c r="C20" t="s">
        <v>137</v>
      </c>
      <c r="D20" s="2">
        <v>46085</v>
      </c>
      <c r="E20" t="s">
        <v>24</v>
      </c>
      <c r="F20" t="s">
        <v>25</v>
      </c>
      <c r="G20" s="3">
        <v>208.84</v>
      </c>
      <c r="H20" t="s">
        <v>89</v>
      </c>
      <c r="I20" t="s">
        <v>67</v>
      </c>
      <c r="J20" s="4" t="s">
        <v>138</v>
      </c>
      <c r="K20" t="s">
        <v>33</v>
      </c>
      <c r="L20" t="s">
        <v>30</v>
      </c>
      <c r="M20" t="s">
        <v>31</v>
      </c>
      <c r="N20" t="s">
        <v>32</v>
      </c>
      <c r="O20">
        <v>5</v>
      </c>
      <c r="P20">
        <v>14</v>
      </c>
      <c r="Q20" t="s">
        <v>29</v>
      </c>
      <c r="R20" t="s">
        <v>34</v>
      </c>
      <c r="S20" s="3">
        <v>0</v>
      </c>
      <c r="T20" t="s">
        <v>35</v>
      </c>
      <c r="U20" t="s">
        <v>63</v>
      </c>
    </row>
    <row r="21" spans="1:21" ht="27.6">
      <c r="A21" t="s">
        <v>139</v>
      </c>
      <c r="B21" t="s">
        <v>140</v>
      </c>
      <c r="C21" t="s">
        <v>141</v>
      </c>
      <c r="D21" s="2">
        <v>46050</v>
      </c>
      <c r="E21" t="s">
        <v>40</v>
      </c>
      <c r="F21" t="s">
        <v>25</v>
      </c>
      <c r="G21" s="3">
        <v>27.03</v>
      </c>
      <c r="H21" t="s">
        <v>41</v>
      </c>
      <c r="I21" t="s">
        <v>27</v>
      </c>
      <c r="J21" s="4" t="s">
        <v>142</v>
      </c>
      <c r="K21" t="s">
        <v>29</v>
      </c>
      <c r="L21" t="s">
        <v>30</v>
      </c>
      <c r="M21" t="s">
        <v>31</v>
      </c>
      <c r="N21" t="s">
        <v>32</v>
      </c>
      <c r="O21">
        <v>5</v>
      </c>
      <c r="P21">
        <v>6</v>
      </c>
      <c r="Q21" t="s">
        <v>29</v>
      </c>
      <c r="R21" t="s">
        <v>34</v>
      </c>
      <c r="S21" s="3">
        <v>13.52</v>
      </c>
      <c r="T21" t="s">
        <v>43</v>
      </c>
      <c r="U21" t="s">
        <v>63</v>
      </c>
    </row>
    <row r="22" spans="1:21" ht="27.6">
      <c r="A22" t="s">
        <v>143</v>
      </c>
      <c r="B22" t="s">
        <v>144</v>
      </c>
      <c r="C22" t="s">
        <v>145</v>
      </c>
      <c r="D22" s="2">
        <v>46093</v>
      </c>
      <c r="E22" t="s">
        <v>24</v>
      </c>
      <c r="F22" t="s">
        <v>82</v>
      </c>
      <c r="G22" s="3">
        <v>16.71</v>
      </c>
      <c r="H22" t="s">
        <v>58</v>
      </c>
      <c r="I22" t="s">
        <v>27</v>
      </c>
      <c r="J22" s="4" t="s">
        <v>114</v>
      </c>
      <c r="K22" t="s">
        <v>29</v>
      </c>
      <c r="L22" t="s">
        <v>30</v>
      </c>
      <c r="M22" t="s">
        <v>31</v>
      </c>
      <c r="N22" t="s">
        <v>32</v>
      </c>
      <c r="O22">
        <v>7</v>
      </c>
      <c r="P22">
        <v>10</v>
      </c>
      <c r="Q22" t="s">
        <v>29</v>
      </c>
      <c r="R22" t="s">
        <v>85</v>
      </c>
      <c r="S22" s="3">
        <v>12.53</v>
      </c>
      <c r="T22" t="s">
        <v>43</v>
      </c>
      <c r="U22" t="s">
        <v>63</v>
      </c>
    </row>
    <row r="23" spans="1:21" ht="27.6">
      <c r="A23" t="s">
        <v>146</v>
      </c>
      <c r="B23" t="s">
        <v>147</v>
      </c>
      <c r="C23" t="s">
        <v>148</v>
      </c>
      <c r="D23" s="2">
        <v>46033</v>
      </c>
      <c r="E23" t="s">
        <v>24</v>
      </c>
      <c r="F23" t="s">
        <v>73</v>
      </c>
      <c r="G23" s="3">
        <v>84.47</v>
      </c>
      <c r="H23" t="s">
        <v>74</v>
      </c>
      <c r="I23" t="s">
        <v>50</v>
      </c>
      <c r="J23" s="4" t="s">
        <v>75</v>
      </c>
      <c r="K23" t="s">
        <v>29</v>
      </c>
      <c r="L23" t="s">
        <v>60</v>
      </c>
      <c r="M23" t="s">
        <v>31</v>
      </c>
      <c r="N23" t="s">
        <v>90</v>
      </c>
      <c r="O23">
        <v>10</v>
      </c>
      <c r="P23">
        <v>9</v>
      </c>
      <c r="Q23" t="s">
        <v>33</v>
      </c>
      <c r="R23" t="s">
        <v>61</v>
      </c>
      <c r="S23" s="3">
        <v>0</v>
      </c>
      <c r="T23" t="s">
        <v>62</v>
      </c>
      <c r="U23" t="s">
        <v>63</v>
      </c>
    </row>
    <row r="24" spans="1:21" ht="27.6">
      <c r="A24" t="s">
        <v>149</v>
      </c>
      <c r="B24" t="s">
        <v>150</v>
      </c>
      <c r="C24" t="s">
        <v>151</v>
      </c>
      <c r="D24" s="2">
        <v>46068</v>
      </c>
      <c r="E24" t="s">
        <v>94</v>
      </c>
      <c r="F24" t="s">
        <v>25</v>
      </c>
      <c r="G24" s="3">
        <v>67.8</v>
      </c>
      <c r="H24" t="s">
        <v>108</v>
      </c>
      <c r="I24" t="s">
        <v>67</v>
      </c>
      <c r="J24" s="4" t="s">
        <v>42</v>
      </c>
      <c r="K24" t="s">
        <v>33</v>
      </c>
      <c r="L24" t="s">
        <v>30</v>
      </c>
      <c r="M24" t="s">
        <v>31</v>
      </c>
      <c r="N24" t="s">
        <v>32</v>
      </c>
      <c r="O24">
        <v>5</v>
      </c>
      <c r="P24">
        <v>8</v>
      </c>
      <c r="Q24" t="s">
        <v>29</v>
      </c>
      <c r="R24" t="s">
        <v>34</v>
      </c>
      <c r="S24" s="3">
        <v>0</v>
      </c>
      <c r="T24" t="s">
        <v>110</v>
      </c>
      <c r="U24" t="s">
        <v>63</v>
      </c>
    </row>
    <row r="25" spans="1:21" ht="27.6">
      <c r="A25" t="s">
        <v>152</v>
      </c>
      <c r="B25" t="s">
        <v>153</v>
      </c>
      <c r="C25" t="s">
        <v>154</v>
      </c>
      <c r="D25" s="2">
        <v>46140</v>
      </c>
      <c r="E25" t="s">
        <v>24</v>
      </c>
      <c r="F25" t="s">
        <v>57</v>
      </c>
      <c r="G25" s="3">
        <v>81.19</v>
      </c>
      <c r="H25" t="s">
        <v>58</v>
      </c>
      <c r="I25" t="s">
        <v>27</v>
      </c>
      <c r="J25" s="4" t="s">
        <v>155</v>
      </c>
      <c r="K25" t="s">
        <v>29</v>
      </c>
      <c r="L25" t="s">
        <v>60</v>
      </c>
      <c r="M25" t="s">
        <v>31</v>
      </c>
      <c r="N25" t="s">
        <v>90</v>
      </c>
      <c r="O25">
        <v>10</v>
      </c>
      <c r="P25">
        <v>16</v>
      </c>
      <c r="Q25" t="s">
        <v>29</v>
      </c>
      <c r="R25" t="s">
        <v>61</v>
      </c>
      <c r="S25" s="3">
        <v>0</v>
      </c>
      <c r="T25" t="s">
        <v>156</v>
      </c>
      <c r="U25" t="s">
        <v>63</v>
      </c>
    </row>
    <row r="26" spans="1:21" ht="27.6">
      <c r="A26" t="s">
        <v>157</v>
      </c>
      <c r="B26" t="s">
        <v>158</v>
      </c>
      <c r="C26" t="s">
        <v>159</v>
      </c>
      <c r="D26" s="2">
        <v>46160</v>
      </c>
      <c r="E26" t="s">
        <v>24</v>
      </c>
      <c r="F26" t="s">
        <v>25</v>
      </c>
      <c r="G26" s="3">
        <v>85.13</v>
      </c>
      <c r="H26" t="s">
        <v>89</v>
      </c>
      <c r="I26" t="s">
        <v>67</v>
      </c>
      <c r="J26" s="4" t="s">
        <v>42</v>
      </c>
      <c r="K26" t="s">
        <v>29</v>
      </c>
      <c r="L26" t="s">
        <v>30</v>
      </c>
      <c r="M26" t="s">
        <v>31</v>
      </c>
      <c r="N26" t="s">
        <v>90</v>
      </c>
      <c r="O26">
        <v>5</v>
      </c>
      <c r="P26">
        <v>3</v>
      </c>
      <c r="Q26" t="s">
        <v>33</v>
      </c>
      <c r="R26" t="s">
        <v>34</v>
      </c>
      <c r="S26" s="3">
        <v>0</v>
      </c>
      <c r="T26" t="s">
        <v>110</v>
      </c>
      <c r="U26" t="s">
        <v>53</v>
      </c>
    </row>
    <row r="27" spans="1:21" ht="27.6">
      <c r="A27" t="s">
        <v>160</v>
      </c>
      <c r="B27" t="s">
        <v>161</v>
      </c>
      <c r="C27" t="s">
        <v>162</v>
      </c>
      <c r="D27" s="2">
        <v>46034</v>
      </c>
      <c r="E27" t="s">
        <v>40</v>
      </c>
      <c r="F27" t="s">
        <v>25</v>
      </c>
      <c r="G27" s="3">
        <v>155.16999999999999</v>
      </c>
      <c r="H27" t="s">
        <v>58</v>
      </c>
      <c r="I27" t="s">
        <v>67</v>
      </c>
      <c r="J27" s="4" t="s">
        <v>42</v>
      </c>
      <c r="K27" t="s">
        <v>33</v>
      </c>
      <c r="L27" t="s">
        <v>30</v>
      </c>
      <c r="M27" t="s">
        <v>31</v>
      </c>
      <c r="N27" t="s">
        <v>32</v>
      </c>
      <c r="O27">
        <v>5</v>
      </c>
      <c r="P27">
        <v>7</v>
      </c>
      <c r="Q27" t="s">
        <v>29</v>
      </c>
      <c r="R27" t="s">
        <v>34</v>
      </c>
      <c r="S27" s="3">
        <v>155.16999999999999</v>
      </c>
      <c r="T27" t="s">
        <v>110</v>
      </c>
      <c r="U27" t="s">
        <v>63</v>
      </c>
    </row>
    <row r="28" spans="1:21" ht="27.6">
      <c r="A28" t="s">
        <v>163</v>
      </c>
      <c r="B28" t="s">
        <v>164</v>
      </c>
      <c r="C28" t="s">
        <v>165</v>
      </c>
      <c r="D28" s="2">
        <v>46054</v>
      </c>
      <c r="E28" t="s">
        <v>40</v>
      </c>
      <c r="F28" t="s">
        <v>118</v>
      </c>
      <c r="G28" s="3">
        <v>25.28</v>
      </c>
      <c r="H28" t="s">
        <v>108</v>
      </c>
      <c r="I28" t="s">
        <v>50</v>
      </c>
      <c r="J28" s="4" t="s">
        <v>119</v>
      </c>
      <c r="K28" t="s">
        <v>29</v>
      </c>
      <c r="L28" t="s">
        <v>120</v>
      </c>
      <c r="M28" t="s">
        <v>96</v>
      </c>
      <c r="N28" t="s">
        <v>32</v>
      </c>
      <c r="O28">
        <v>5</v>
      </c>
      <c r="P28">
        <v>4</v>
      </c>
      <c r="Q28" t="s">
        <v>33</v>
      </c>
      <c r="R28" t="s">
        <v>85</v>
      </c>
      <c r="S28" s="3">
        <v>25.28</v>
      </c>
      <c r="T28" t="s">
        <v>121</v>
      </c>
      <c r="U28" t="s">
        <v>53</v>
      </c>
    </row>
    <row r="29" spans="1:21" ht="27.6">
      <c r="A29" t="s">
        <v>166</v>
      </c>
      <c r="B29" t="s">
        <v>167</v>
      </c>
      <c r="C29" t="s">
        <v>168</v>
      </c>
      <c r="D29" s="2">
        <v>46023</v>
      </c>
      <c r="E29" t="s">
        <v>24</v>
      </c>
      <c r="F29" t="s">
        <v>118</v>
      </c>
      <c r="G29" s="3">
        <v>116.67</v>
      </c>
      <c r="H29" t="s">
        <v>41</v>
      </c>
      <c r="I29" t="s">
        <v>27</v>
      </c>
      <c r="J29" s="4" t="s">
        <v>119</v>
      </c>
      <c r="K29" t="s">
        <v>29</v>
      </c>
      <c r="L29" t="s">
        <v>120</v>
      </c>
      <c r="M29" t="s">
        <v>96</v>
      </c>
      <c r="N29" t="s">
        <v>32</v>
      </c>
      <c r="O29">
        <v>5</v>
      </c>
      <c r="P29">
        <v>7</v>
      </c>
      <c r="Q29" t="s">
        <v>29</v>
      </c>
      <c r="R29" t="s">
        <v>85</v>
      </c>
      <c r="S29" s="3">
        <v>116.67</v>
      </c>
      <c r="T29" t="s">
        <v>121</v>
      </c>
      <c r="U29" t="s">
        <v>63</v>
      </c>
    </row>
    <row r="30" spans="1:21" ht="27.6">
      <c r="A30" t="s">
        <v>169</v>
      </c>
      <c r="B30" t="s">
        <v>170</v>
      </c>
      <c r="C30" t="s">
        <v>171</v>
      </c>
      <c r="D30" s="2">
        <v>46044</v>
      </c>
      <c r="E30" t="s">
        <v>24</v>
      </c>
      <c r="F30" t="s">
        <v>172</v>
      </c>
      <c r="G30" s="3">
        <v>49</v>
      </c>
      <c r="H30" t="s">
        <v>49</v>
      </c>
      <c r="I30" t="s">
        <v>27</v>
      </c>
      <c r="J30" s="4" t="s">
        <v>173</v>
      </c>
      <c r="K30" t="s">
        <v>33</v>
      </c>
      <c r="L30" t="s">
        <v>30</v>
      </c>
      <c r="M30" t="s">
        <v>31</v>
      </c>
      <c r="N30" t="s">
        <v>126</v>
      </c>
      <c r="O30">
        <v>7</v>
      </c>
      <c r="P30">
        <v>8</v>
      </c>
      <c r="Q30" t="s">
        <v>29</v>
      </c>
      <c r="R30" t="s">
        <v>174</v>
      </c>
      <c r="S30" s="3">
        <v>0</v>
      </c>
      <c r="T30" t="s">
        <v>69</v>
      </c>
      <c r="U30" t="s">
        <v>63</v>
      </c>
    </row>
    <row r="31" spans="1:21" ht="27.6">
      <c r="A31" t="s">
        <v>175</v>
      </c>
      <c r="B31" t="s">
        <v>176</v>
      </c>
      <c r="C31" t="s">
        <v>177</v>
      </c>
      <c r="D31" s="2">
        <v>46170</v>
      </c>
      <c r="E31" t="s">
        <v>24</v>
      </c>
      <c r="F31" t="s">
        <v>103</v>
      </c>
      <c r="G31" s="3">
        <v>40.01</v>
      </c>
      <c r="H31" t="s">
        <v>58</v>
      </c>
      <c r="I31" t="s">
        <v>50</v>
      </c>
      <c r="J31" s="4" t="s">
        <v>104</v>
      </c>
      <c r="K31" t="s">
        <v>33</v>
      </c>
      <c r="L31" t="s">
        <v>30</v>
      </c>
      <c r="M31" t="s">
        <v>31</v>
      </c>
      <c r="N31" t="s">
        <v>32</v>
      </c>
      <c r="O31">
        <v>5</v>
      </c>
      <c r="P31">
        <v>9</v>
      </c>
      <c r="Q31" t="s">
        <v>29</v>
      </c>
      <c r="R31" t="s">
        <v>34</v>
      </c>
      <c r="S31" s="3">
        <v>40.01</v>
      </c>
      <c r="T31" t="s">
        <v>35</v>
      </c>
      <c r="U31" t="s">
        <v>63</v>
      </c>
    </row>
    <row r="32" spans="1:21" ht="27.6">
      <c r="A32" t="s">
        <v>178</v>
      </c>
      <c r="B32" t="s">
        <v>179</v>
      </c>
      <c r="C32" t="s">
        <v>180</v>
      </c>
      <c r="D32" s="2">
        <v>46086</v>
      </c>
      <c r="E32" t="s">
        <v>94</v>
      </c>
      <c r="F32" t="s">
        <v>25</v>
      </c>
      <c r="G32" s="3">
        <v>14.9</v>
      </c>
      <c r="H32" t="s">
        <v>89</v>
      </c>
      <c r="I32" t="s">
        <v>67</v>
      </c>
      <c r="J32" s="4" t="s">
        <v>181</v>
      </c>
      <c r="K32" t="s">
        <v>29</v>
      </c>
      <c r="L32" t="s">
        <v>30</v>
      </c>
      <c r="M32" t="s">
        <v>31</v>
      </c>
      <c r="N32" t="s">
        <v>32</v>
      </c>
      <c r="O32">
        <v>5</v>
      </c>
      <c r="P32">
        <v>2</v>
      </c>
      <c r="Q32" t="s">
        <v>33</v>
      </c>
      <c r="R32" t="s">
        <v>34</v>
      </c>
      <c r="S32" s="3">
        <v>0</v>
      </c>
      <c r="T32" t="s">
        <v>43</v>
      </c>
      <c r="U32" t="s">
        <v>36</v>
      </c>
    </row>
    <row r="33" spans="1:21" ht="27.6">
      <c r="A33" t="s">
        <v>182</v>
      </c>
      <c r="B33" t="s">
        <v>183</v>
      </c>
      <c r="C33" t="s">
        <v>184</v>
      </c>
      <c r="D33" s="2">
        <v>46089</v>
      </c>
      <c r="E33" t="s">
        <v>40</v>
      </c>
      <c r="F33" t="s">
        <v>57</v>
      </c>
      <c r="G33" s="3">
        <v>9.39</v>
      </c>
      <c r="H33" t="s">
        <v>108</v>
      </c>
      <c r="I33" t="s">
        <v>50</v>
      </c>
      <c r="J33" s="4" t="s">
        <v>155</v>
      </c>
      <c r="K33" t="s">
        <v>29</v>
      </c>
      <c r="L33" t="s">
        <v>60</v>
      </c>
      <c r="M33" t="s">
        <v>31</v>
      </c>
      <c r="N33" t="s">
        <v>32</v>
      </c>
      <c r="O33">
        <v>10</v>
      </c>
      <c r="P33">
        <v>7</v>
      </c>
      <c r="Q33" t="s">
        <v>33</v>
      </c>
      <c r="R33" t="s">
        <v>61</v>
      </c>
      <c r="S33" s="3">
        <v>7.04</v>
      </c>
      <c r="T33" t="s">
        <v>156</v>
      </c>
      <c r="U33" t="s">
        <v>63</v>
      </c>
    </row>
    <row r="34" spans="1:21" ht="27.6">
      <c r="A34" t="s">
        <v>185</v>
      </c>
      <c r="B34" t="s">
        <v>186</v>
      </c>
      <c r="C34" t="s">
        <v>187</v>
      </c>
      <c r="D34" s="2">
        <v>46058</v>
      </c>
      <c r="E34" t="s">
        <v>24</v>
      </c>
      <c r="F34" t="s">
        <v>82</v>
      </c>
      <c r="G34" s="3">
        <v>21.24</v>
      </c>
      <c r="H34" t="s">
        <v>108</v>
      </c>
      <c r="I34" t="s">
        <v>27</v>
      </c>
      <c r="J34" s="4" t="s">
        <v>114</v>
      </c>
      <c r="K34" t="s">
        <v>29</v>
      </c>
      <c r="L34" t="s">
        <v>30</v>
      </c>
      <c r="M34" t="s">
        <v>31</v>
      </c>
      <c r="N34" t="s">
        <v>32</v>
      </c>
      <c r="O34">
        <v>7</v>
      </c>
      <c r="P34">
        <v>11</v>
      </c>
      <c r="Q34" t="s">
        <v>29</v>
      </c>
      <c r="R34" t="s">
        <v>85</v>
      </c>
      <c r="S34" s="3">
        <v>0</v>
      </c>
      <c r="T34" t="s">
        <v>69</v>
      </c>
      <c r="U34" t="s">
        <v>63</v>
      </c>
    </row>
    <row r="35" spans="1:21" ht="27.6">
      <c r="A35" t="s">
        <v>188</v>
      </c>
      <c r="B35" t="s">
        <v>189</v>
      </c>
      <c r="C35" t="s">
        <v>190</v>
      </c>
      <c r="D35" s="2">
        <v>46024</v>
      </c>
      <c r="E35" t="s">
        <v>94</v>
      </c>
      <c r="F35" t="s">
        <v>118</v>
      </c>
      <c r="G35" s="3">
        <v>9.1999999999999993</v>
      </c>
      <c r="H35" t="s">
        <v>49</v>
      </c>
      <c r="I35" t="s">
        <v>27</v>
      </c>
      <c r="J35" s="4" t="s">
        <v>191</v>
      </c>
      <c r="K35" t="s">
        <v>33</v>
      </c>
      <c r="L35" t="s">
        <v>30</v>
      </c>
      <c r="M35" t="s">
        <v>31</v>
      </c>
      <c r="N35" t="s">
        <v>32</v>
      </c>
      <c r="O35">
        <v>5</v>
      </c>
      <c r="P35">
        <v>11</v>
      </c>
      <c r="Q35" t="s">
        <v>29</v>
      </c>
      <c r="R35" t="s">
        <v>85</v>
      </c>
      <c r="S35" s="3">
        <v>0</v>
      </c>
      <c r="T35" t="s">
        <v>121</v>
      </c>
      <c r="U35" t="s">
        <v>63</v>
      </c>
    </row>
    <row r="36" spans="1:21" ht="27.6">
      <c r="A36" t="s">
        <v>192</v>
      </c>
      <c r="B36" t="s">
        <v>193</v>
      </c>
      <c r="C36" t="s">
        <v>194</v>
      </c>
      <c r="D36" s="2">
        <v>46092</v>
      </c>
      <c r="E36" t="s">
        <v>47</v>
      </c>
      <c r="F36" t="s">
        <v>25</v>
      </c>
      <c r="G36" s="3">
        <v>19.21</v>
      </c>
      <c r="H36" t="s">
        <v>108</v>
      </c>
      <c r="I36" t="s">
        <v>50</v>
      </c>
      <c r="J36" s="4" t="s">
        <v>195</v>
      </c>
      <c r="K36" t="s">
        <v>33</v>
      </c>
      <c r="L36" t="s">
        <v>30</v>
      </c>
      <c r="M36" t="s">
        <v>31</v>
      </c>
      <c r="N36" t="s">
        <v>126</v>
      </c>
      <c r="O36">
        <v>5</v>
      </c>
      <c r="P36">
        <v>12</v>
      </c>
      <c r="Q36" t="s">
        <v>29</v>
      </c>
      <c r="R36" t="s">
        <v>34</v>
      </c>
      <c r="S36" s="3">
        <v>0</v>
      </c>
      <c r="T36" t="s">
        <v>110</v>
      </c>
      <c r="U36" t="s">
        <v>63</v>
      </c>
    </row>
    <row r="37" spans="1:21" ht="27.6">
      <c r="A37" t="s">
        <v>196</v>
      </c>
      <c r="B37" t="s">
        <v>197</v>
      </c>
      <c r="C37" t="s">
        <v>198</v>
      </c>
      <c r="D37" s="2">
        <v>46132</v>
      </c>
      <c r="E37" t="s">
        <v>24</v>
      </c>
      <c r="F37" t="s">
        <v>82</v>
      </c>
      <c r="G37" s="3">
        <v>14.07</v>
      </c>
      <c r="H37" t="s">
        <v>74</v>
      </c>
      <c r="I37" t="s">
        <v>27</v>
      </c>
      <c r="J37" s="4" t="s">
        <v>199</v>
      </c>
      <c r="K37" t="s">
        <v>29</v>
      </c>
      <c r="L37" t="s">
        <v>30</v>
      </c>
      <c r="M37" t="s">
        <v>31</v>
      </c>
      <c r="N37" t="s">
        <v>32</v>
      </c>
      <c r="O37">
        <v>7</v>
      </c>
      <c r="P37">
        <v>5</v>
      </c>
      <c r="Q37" t="s">
        <v>33</v>
      </c>
      <c r="R37" t="s">
        <v>85</v>
      </c>
      <c r="S37" s="3">
        <v>0</v>
      </c>
      <c r="T37" t="s">
        <v>69</v>
      </c>
      <c r="U37" t="s">
        <v>36</v>
      </c>
    </row>
    <row r="38" spans="1:21" ht="27.6">
      <c r="A38" t="s">
        <v>200</v>
      </c>
      <c r="B38" t="s">
        <v>201</v>
      </c>
      <c r="C38" t="s">
        <v>202</v>
      </c>
      <c r="D38" s="2">
        <v>46027</v>
      </c>
      <c r="E38" t="s">
        <v>40</v>
      </c>
      <c r="F38" t="s">
        <v>25</v>
      </c>
      <c r="G38" s="3">
        <v>94.58</v>
      </c>
      <c r="H38" t="s">
        <v>26</v>
      </c>
      <c r="I38" t="s">
        <v>67</v>
      </c>
      <c r="J38" s="4" t="s">
        <v>42</v>
      </c>
      <c r="K38" t="s">
        <v>29</v>
      </c>
      <c r="L38" t="s">
        <v>30</v>
      </c>
      <c r="M38" t="s">
        <v>31</v>
      </c>
      <c r="N38" t="s">
        <v>32</v>
      </c>
      <c r="O38">
        <v>5</v>
      </c>
      <c r="P38">
        <v>7</v>
      </c>
      <c r="Q38" t="s">
        <v>29</v>
      </c>
      <c r="R38" t="s">
        <v>34</v>
      </c>
      <c r="S38" s="3">
        <v>47.29</v>
      </c>
      <c r="T38" t="s">
        <v>110</v>
      </c>
      <c r="U38" t="s">
        <v>63</v>
      </c>
    </row>
    <row r="39" spans="1:21" ht="27.6">
      <c r="A39" t="s">
        <v>203</v>
      </c>
      <c r="B39" t="s">
        <v>204</v>
      </c>
      <c r="C39" t="s">
        <v>205</v>
      </c>
      <c r="D39" s="2">
        <v>46078</v>
      </c>
      <c r="E39" t="s">
        <v>47</v>
      </c>
      <c r="F39" t="s">
        <v>118</v>
      </c>
      <c r="G39" s="3">
        <v>24.9</v>
      </c>
      <c r="H39" t="s">
        <v>58</v>
      </c>
      <c r="I39" t="s">
        <v>50</v>
      </c>
      <c r="J39" s="4" t="s">
        <v>206</v>
      </c>
      <c r="K39" t="s">
        <v>33</v>
      </c>
      <c r="L39" t="s">
        <v>30</v>
      </c>
      <c r="M39" t="s">
        <v>31</v>
      </c>
      <c r="N39" t="s">
        <v>32</v>
      </c>
      <c r="O39">
        <v>5</v>
      </c>
      <c r="P39">
        <v>8</v>
      </c>
      <c r="Q39" t="s">
        <v>29</v>
      </c>
      <c r="R39" t="s">
        <v>85</v>
      </c>
      <c r="S39" s="3">
        <v>24.9</v>
      </c>
      <c r="T39" t="s">
        <v>121</v>
      </c>
      <c r="U39" t="s">
        <v>63</v>
      </c>
    </row>
    <row r="40" spans="1:21" ht="27.6">
      <c r="A40" t="s">
        <v>207</v>
      </c>
      <c r="B40" t="s">
        <v>208</v>
      </c>
      <c r="C40" t="s">
        <v>209</v>
      </c>
      <c r="D40" s="2">
        <v>46119</v>
      </c>
      <c r="E40" t="s">
        <v>24</v>
      </c>
      <c r="F40" t="s">
        <v>103</v>
      </c>
      <c r="G40" s="3">
        <v>49.73</v>
      </c>
      <c r="H40" t="s">
        <v>49</v>
      </c>
      <c r="I40" t="s">
        <v>27</v>
      </c>
      <c r="J40" s="4" t="s">
        <v>104</v>
      </c>
      <c r="K40" t="s">
        <v>29</v>
      </c>
      <c r="L40" t="s">
        <v>30</v>
      </c>
      <c r="M40" t="s">
        <v>31</v>
      </c>
      <c r="N40" t="s">
        <v>32</v>
      </c>
      <c r="O40">
        <v>5</v>
      </c>
      <c r="P40">
        <v>7</v>
      </c>
      <c r="Q40" t="s">
        <v>29</v>
      </c>
      <c r="R40" t="s">
        <v>34</v>
      </c>
      <c r="S40" s="3">
        <v>49.73</v>
      </c>
      <c r="T40" t="s">
        <v>35</v>
      </c>
      <c r="U40" t="s">
        <v>63</v>
      </c>
    </row>
    <row r="41" spans="1:21" ht="27.6">
      <c r="A41" t="s">
        <v>210</v>
      </c>
      <c r="B41" t="s">
        <v>211</v>
      </c>
      <c r="C41" t="s">
        <v>212</v>
      </c>
      <c r="D41" s="2">
        <v>46110</v>
      </c>
      <c r="E41" t="s">
        <v>24</v>
      </c>
      <c r="F41" t="s">
        <v>82</v>
      </c>
      <c r="G41" s="3">
        <v>39.44</v>
      </c>
      <c r="H41" t="s">
        <v>41</v>
      </c>
      <c r="I41" t="s">
        <v>50</v>
      </c>
      <c r="J41" s="4" t="s">
        <v>213</v>
      </c>
      <c r="K41" t="s">
        <v>33</v>
      </c>
      <c r="L41" t="s">
        <v>30</v>
      </c>
      <c r="M41" t="s">
        <v>31</v>
      </c>
      <c r="N41" t="s">
        <v>32</v>
      </c>
      <c r="O41">
        <v>7</v>
      </c>
      <c r="P41">
        <v>5</v>
      </c>
      <c r="Q41" t="s">
        <v>33</v>
      </c>
      <c r="R41" t="s">
        <v>85</v>
      </c>
      <c r="S41" s="3">
        <v>39.44</v>
      </c>
      <c r="T41" t="s">
        <v>62</v>
      </c>
      <c r="U41" t="s">
        <v>36</v>
      </c>
    </row>
    <row r="42" spans="1:21" ht="27.6">
      <c r="A42" t="s">
        <v>214</v>
      </c>
      <c r="B42" t="s">
        <v>215</v>
      </c>
      <c r="C42" t="s">
        <v>216</v>
      </c>
      <c r="D42" s="2">
        <v>46091</v>
      </c>
      <c r="E42" t="s">
        <v>24</v>
      </c>
      <c r="F42" t="s">
        <v>118</v>
      </c>
      <c r="G42" s="3">
        <v>97.41</v>
      </c>
      <c r="H42" t="s">
        <v>108</v>
      </c>
      <c r="I42" t="s">
        <v>27</v>
      </c>
      <c r="J42" s="4" t="s">
        <v>217</v>
      </c>
      <c r="K42" t="s">
        <v>29</v>
      </c>
      <c r="L42" t="s">
        <v>120</v>
      </c>
      <c r="M42" t="s">
        <v>96</v>
      </c>
      <c r="N42" t="s">
        <v>32</v>
      </c>
      <c r="O42">
        <v>5</v>
      </c>
      <c r="P42">
        <v>1</v>
      </c>
      <c r="Q42" t="s">
        <v>33</v>
      </c>
      <c r="R42" t="s">
        <v>85</v>
      </c>
      <c r="S42" s="3">
        <v>97.41</v>
      </c>
      <c r="T42" t="s">
        <v>121</v>
      </c>
      <c r="U42" t="s">
        <v>36</v>
      </c>
    </row>
    <row r="43" spans="1:21" ht="27.6">
      <c r="A43" t="s">
        <v>218</v>
      </c>
      <c r="B43" t="s">
        <v>219</v>
      </c>
      <c r="C43" t="s">
        <v>220</v>
      </c>
      <c r="D43" s="2">
        <v>46113</v>
      </c>
      <c r="E43" t="s">
        <v>40</v>
      </c>
      <c r="F43" t="s">
        <v>82</v>
      </c>
      <c r="G43" s="3">
        <v>258.77</v>
      </c>
      <c r="H43" t="s">
        <v>41</v>
      </c>
      <c r="I43" t="s">
        <v>50</v>
      </c>
      <c r="J43" s="4" t="s">
        <v>114</v>
      </c>
      <c r="K43" t="s">
        <v>29</v>
      </c>
      <c r="L43" t="s">
        <v>30</v>
      </c>
      <c r="M43" t="s">
        <v>31</v>
      </c>
      <c r="N43" t="s">
        <v>32</v>
      </c>
      <c r="O43">
        <v>7</v>
      </c>
      <c r="P43">
        <v>4</v>
      </c>
      <c r="Q43" t="s">
        <v>33</v>
      </c>
      <c r="R43" t="s">
        <v>85</v>
      </c>
      <c r="S43" s="3">
        <v>0</v>
      </c>
      <c r="T43" t="s">
        <v>43</v>
      </c>
      <c r="U43" t="s">
        <v>36</v>
      </c>
    </row>
    <row r="44" spans="1:21" ht="27.6">
      <c r="A44" t="s">
        <v>221</v>
      </c>
      <c r="B44" t="s">
        <v>222</v>
      </c>
      <c r="C44" t="s">
        <v>223</v>
      </c>
      <c r="D44" s="2">
        <v>46148</v>
      </c>
      <c r="E44" t="s">
        <v>47</v>
      </c>
      <c r="F44" t="s">
        <v>25</v>
      </c>
      <c r="G44" s="3">
        <v>24.44</v>
      </c>
      <c r="H44" t="s">
        <v>74</v>
      </c>
      <c r="I44" t="s">
        <v>27</v>
      </c>
      <c r="J44" s="4" t="s">
        <v>42</v>
      </c>
      <c r="K44" t="s">
        <v>33</v>
      </c>
      <c r="L44" t="s">
        <v>30</v>
      </c>
      <c r="M44" t="s">
        <v>31</v>
      </c>
      <c r="N44" t="s">
        <v>126</v>
      </c>
      <c r="O44">
        <v>5</v>
      </c>
      <c r="P44">
        <v>3</v>
      </c>
      <c r="Q44" t="s">
        <v>33</v>
      </c>
      <c r="R44" t="s">
        <v>34</v>
      </c>
      <c r="S44" s="3">
        <v>0</v>
      </c>
      <c r="T44" t="s">
        <v>43</v>
      </c>
      <c r="U44" t="s">
        <v>36</v>
      </c>
    </row>
    <row r="45" spans="1:21" ht="27.6">
      <c r="A45" t="s">
        <v>224</v>
      </c>
      <c r="B45" t="s">
        <v>225</v>
      </c>
      <c r="C45" t="s">
        <v>226</v>
      </c>
      <c r="D45" s="2">
        <v>46101</v>
      </c>
      <c r="E45" t="s">
        <v>24</v>
      </c>
      <c r="F45" t="s">
        <v>25</v>
      </c>
      <c r="G45" s="3">
        <v>24.31</v>
      </c>
      <c r="H45" t="s">
        <v>89</v>
      </c>
      <c r="I45" t="s">
        <v>67</v>
      </c>
      <c r="J45" s="4" t="s">
        <v>227</v>
      </c>
      <c r="K45" t="s">
        <v>29</v>
      </c>
      <c r="L45" t="s">
        <v>30</v>
      </c>
      <c r="M45" t="s">
        <v>31</v>
      </c>
      <c r="N45" t="s">
        <v>32</v>
      </c>
      <c r="O45">
        <v>5</v>
      </c>
      <c r="P45">
        <v>5</v>
      </c>
      <c r="Q45" t="s">
        <v>33</v>
      </c>
      <c r="R45" t="s">
        <v>34</v>
      </c>
      <c r="S45" s="3">
        <v>24.31</v>
      </c>
      <c r="T45" t="s">
        <v>110</v>
      </c>
      <c r="U45" t="s">
        <v>36</v>
      </c>
    </row>
    <row r="46" spans="1:21" ht="27.6">
      <c r="A46" t="s">
        <v>228</v>
      </c>
      <c r="B46" t="s">
        <v>229</v>
      </c>
      <c r="C46" t="s">
        <v>230</v>
      </c>
      <c r="D46" s="2">
        <v>46081</v>
      </c>
      <c r="E46" t="s">
        <v>24</v>
      </c>
      <c r="F46" t="s">
        <v>118</v>
      </c>
      <c r="G46" s="3">
        <v>57.24</v>
      </c>
      <c r="H46" t="s">
        <v>26</v>
      </c>
      <c r="I46" t="s">
        <v>67</v>
      </c>
      <c r="J46" s="4" t="s">
        <v>231</v>
      </c>
      <c r="K46" t="s">
        <v>29</v>
      </c>
      <c r="L46" t="s">
        <v>120</v>
      </c>
      <c r="M46" t="s">
        <v>96</v>
      </c>
      <c r="N46" t="s">
        <v>90</v>
      </c>
      <c r="O46">
        <v>5</v>
      </c>
      <c r="P46">
        <v>2</v>
      </c>
      <c r="Q46" t="s">
        <v>33</v>
      </c>
      <c r="R46" t="s">
        <v>85</v>
      </c>
      <c r="S46" s="3">
        <v>0</v>
      </c>
      <c r="T46" t="s">
        <v>121</v>
      </c>
      <c r="U46" t="s">
        <v>53</v>
      </c>
    </row>
    <row r="47" spans="1:21" ht="27.6">
      <c r="A47" t="s">
        <v>232</v>
      </c>
      <c r="B47" t="s">
        <v>233</v>
      </c>
      <c r="C47" t="s">
        <v>234</v>
      </c>
      <c r="D47" s="2">
        <v>46145</v>
      </c>
      <c r="E47" t="s">
        <v>47</v>
      </c>
      <c r="F47" t="s">
        <v>25</v>
      </c>
      <c r="G47" s="3">
        <v>33.700000000000003</v>
      </c>
      <c r="H47" t="s">
        <v>108</v>
      </c>
      <c r="I47" t="s">
        <v>50</v>
      </c>
      <c r="J47" s="4" t="s">
        <v>42</v>
      </c>
      <c r="K47" t="s">
        <v>29</v>
      </c>
      <c r="L47" t="s">
        <v>30</v>
      </c>
      <c r="M47" t="s">
        <v>96</v>
      </c>
      <c r="N47" t="s">
        <v>32</v>
      </c>
      <c r="O47">
        <v>5</v>
      </c>
      <c r="P47">
        <v>4</v>
      </c>
      <c r="Q47" t="s">
        <v>33</v>
      </c>
      <c r="R47" t="s">
        <v>34</v>
      </c>
      <c r="S47" s="3">
        <v>33.700000000000003</v>
      </c>
      <c r="T47" t="s">
        <v>35</v>
      </c>
      <c r="U47" t="s">
        <v>53</v>
      </c>
    </row>
    <row r="48" spans="1:21" ht="27.6">
      <c r="A48" t="s">
        <v>235</v>
      </c>
      <c r="B48" t="s">
        <v>236</v>
      </c>
      <c r="C48" t="s">
        <v>237</v>
      </c>
      <c r="D48" s="2">
        <v>46053</v>
      </c>
      <c r="E48" t="s">
        <v>47</v>
      </c>
      <c r="F48" t="s">
        <v>82</v>
      </c>
      <c r="G48" s="3">
        <v>58.4</v>
      </c>
      <c r="H48" t="s">
        <v>49</v>
      </c>
      <c r="I48" t="s">
        <v>50</v>
      </c>
      <c r="J48" s="4" t="s">
        <v>114</v>
      </c>
      <c r="K48" t="s">
        <v>29</v>
      </c>
      <c r="L48" t="s">
        <v>30</v>
      </c>
      <c r="M48" t="s">
        <v>31</v>
      </c>
      <c r="N48" t="s">
        <v>32</v>
      </c>
      <c r="O48">
        <v>7</v>
      </c>
      <c r="P48">
        <v>4</v>
      </c>
      <c r="Q48" t="s">
        <v>33</v>
      </c>
      <c r="R48" t="s">
        <v>85</v>
      </c>
      <c r="S48" s="3">
        <v>0</v>
      </c>
      <c r="T48" t="s">
        <v>69</v>
      </c>
      <c r="U48" t="s">
        <v>53</v>
      </c>
    </row>
    <row r="49" spans="1:21" ht="27.6">
      <c r="A49" t="s">
        <v>238</v>
      </c>
      <c r="B49" t="s">
        <v>239</v>
      </c>
      <c r="C49" t="s">
        <v>240</v>
      </c>
      <c r="D49" s="2">
        <v>46077</v>
      </c>
      <c r="E49" t="s">
        <v>24</v>
      </c>
      <c r="F49" t="s">
        <v>25</v>
      </c>
      <c r="G49" s="3">
        <v>17.34</v>
      </c>
      <c r="H49" t="s">
        <v>74</v>
      </c>
      <c r="I49" t="s">
        <v>27</v>
      </c>
      <c r="J49" s="4" t="s">
        <v>42</v>
      </c>
      <c r="K49" t="s">
        <v>29</v>
      </c>
      <c r="L49" t="s">
        <v>30</v>
      </c>
      <c r="M49" t="s">
        <v>31</v>
      </c>
      <c r="N49" t="s">
        <v>32</v>
      </c>
      <c r="O49">
        <v>5</v>
      </c>
      <c r="P49">
        <v>9</v>
      </c>
      <c r="Q49" t="s">
        <v>29</v>
      </c>
      <c r="R49" t="s">
        <v>34</v>
      </c>
      <c r="S49" s="3">
        <v>13</v>
      </c>
      <c r="T49" t="s">
        <v>35</v>
      </c>
      <c r="U49" t="s">
        <v>63</v>
      </c>
    </row>
    <row r="50" spans="1:21" ht="27.6">
      <c r="A50" t="s">
        <v>241</v>
      </c>
      <c r="B50" t="s">
        <v>242</v>
      </c>
      <c r="C50" t="s">
        <v>243</v>
      </c>
      <c r="D50" s="2">
        <v>46082</v>
      </c>
      <c r="E50" t="s">
        <v>94</v>
      </c>
      <c r="F50" t="s">
        <v>57</v>
      </c>
      <c r="G50" s="3">
        <v>69.28</v>
      </c>
      <c r="H50" t="s">
        <v>74</v>
      </c>
      <c r="I50" t="s">
        <v>27</v>
      </c>
      <c r="J50" s="4" t="s">
        <v>155</v>
      </c>
      <c r="K50" t="s">
        <v>29</v>
      </c>
      <c r="L50" t="s">
        <v>60</v>
      </c>
      <c r="M50" t="s">
        <v>31</v>
      </c>
      <c r="N50" t="s">
        <v>32</v>
      </c>
      <c r="O50">
        <v>10</v>
      </c>
      <c r="P50">
        <v>12</v>
      </c>
      <c r="Q50" t="s">
        <v>29</v>
      </c>
      <c r="R50" t="s">
        <v>61</v>
      </c>
      <c r="S50" s="3">
        <v>51.96</v>
      </c>
      <c r="T50" t="s">
        <v>62</v>
      </c>
      <c r="U50" t="s">
        <v>63</v>
      </c>
    </row>
    <row r="51" spans="1:21" ht="27.6">
      <c r="A51" t="s">
        <v>244</v>
      </c>
      <c r="B51" t="s">
        <v>245</v>
      </c>
      <c r="C51" t="s">
        <v>246</v>
      </c>
      <c r="D51" s="2">
        <v>46142</v>
      </c>
      <c r="E51" t="s">
        <v>40</v>
      </c>
      <c r="F51" t="s">
        <v>103</v>
      </c>
      <c r="G51" s="3">
        <v>147.27000000000001</v>
      </c>
      <c r="H51" t="s">
        <v>108</v>
      </c>
      <c r="I51" t="s">
        <v>27</v>
      </c>
      <c r="J51" s="4" t="s">
        <v>134</v>
      </c>
      <c r="K51" t="s">
        <v>29</v>
      </c>
      <c r="L51" t="s">
        <v>30</v>
      </c>
      <c r="M51" t="s">
        <v>31</v>
      </c>
      <c r="N51" t="s">
        <v>32</v>
      </c>
      <c r="O51">
        <v>5</v>
      </c>
      <c r="P51">
        <v>7</v>
      </c>
      <c r="Q51" t="s">
        <v>29</v>
      </c>
      <c r="R51" t="s">
        <v>34</v>
      </c>
      <c r="S51" s="3">
        <v>0</v>
      </c>
      <c r="T51" t="s">
        <v>247</v>
      </c>
      <c r="U51" t="s">
        <v>63</v>
      </c>
    </row>
    <row r="52" spans="1:21" ht="27.6">
      <c r="A52" t="s">
        <v>248</v>
      </c>
      <c r="B52" t="s">
        <v>249</v>
      </c>
      <c r="C52" t="s">
        <v>250</v>
      </c>
      <c r="D52" s="2">
        <v>46170</v>
      </c>
      <c r="E52" t="s">
        <v>47</v>
      </c>
      <c r="F52" t="s">
        <v>25</v>
      </c>
      <c r="G52" s="3">
        <v>351.4</v>
      </c>
      <c r="H52" t="s">
        <v>89</v>
      </c>
      <c r="I52" t="s">
        <v>27</v>
      </c>
      <c r="J52" s="4" t="s">
        <v>42</v>
      </c>
      <c r="K52" t="s">
        <v>33</v>
      </c>
      <c r="L52" t="s">
        <v>30</v>
      </c>
      <c r="M52" t="s">
        <v>31</v>
      </c>
      <c r="N52" t="s">
        <v>32</v>
      </c>
      <c r="O52">
        <v>5</v>
      </c>
      <c r="P52">
        <v>5</v>
      </c>
      <c r="Q52" t="s">
        <v>33</v>
      </c>
      <c r="R52" t="s">
        <v>34</v>
      </c>
      <c r="S52" s="3">
        <v>0</v>
      </c>
      <c r="T52" t="s">
        <v>43</v>
      </c>
      <c r="U52" t="s">
        <v>36</v>
      </c>
    </row>
    <row r="53" spans="1:21" ht="27.6">
      <c r="A53" t="s">
        <v>251</v>
      </c>
      <c r="B53" t="s">
        <v>252</v>
      </c>
      <c r="C53" t="s">
        <v>253</v>
      </c>
      <c r="D53" s="2">
        <v>46112</v>
      </c>
      <c r="E53" t="s">
        <v>24</v>
      </c>
      <c r="F53" t="s">
        <v>118</v>
      </c>
      <c r="G53" s="3">
        <v>20.350000000000001</v>
      </c>
      <c r="H53" t="s">
        <v>108</v>
      </c>
      <c r="I53" t="s">
        <v>50</v>
      </c>
      <c r="J53" s="4" t="s">
        <v>119</v>
      </c>
      <c r="K53" t="s">
        <v>33</v>
      </c>
      <c r="L53" t="s">
        <v>120</v>
      </c>
      <c r="M53" t="s">
        <v>96</v>
      </c>
      <c r="N53" t="s">
        <v>126</v>
      </c>
      <c r="O53">
        <v>5</v>
      </c>
      <c r="P53">
        <v>2</v>
      </c>
      <c r="Q53" t="s">
        <v>33</v>
      </c>
      <c r="R53" t="s">
        <v>85</v>
      </c>
      <c r="S53" s="3">
        <v>0</v>
      </c>
      <c r="T53" t="s">
        <v>121</v>
      </c>
      <c r="U53" t="s">
        <v>53</v>
      </c>
    </row>
    <row r="54" spans="1:21" ht="27.6">
      <c r="A54" t="s">
        <v>254</v>
      </c>
      <c r="B54" t="s">
        <v>255</v>
      </c>
      <c r="C54" t="s">
        <v>256</v>
      </c>
      <c r="D54" s="2">
        <v>46087</v>
      </c>
      <c r="E54" t="s">
        <v>24</v>
      </c>
      <c r="F54" t="s">
        <v>48</v>
      </c>
      <c r="G54" s="3">
        <v>30.33</v>
      </c>
      <c r="H54" t="s">
        <v>26</v>
      </c>
      <c r="I54" t="s">
        <v>50</v>
      </c>
      <c r="J54" s="4" t="s">
        <v>51</v>
      </c>
      <c r="K54" t="s">
        <v>29</v>
      </c>
      <c r="L54" t="s">
        <v>30</v>
      </c>
      <c r="M54" t="s">
        <v>31</v>
      </c>
      <c r="N54" t="s">
        <v>32</v>
      </c>
      <c r="O54">
        <v>10</v>
      </c>
      <c r="P54">
        <v>9</v>
      </c>
      <c r="Q54" t="s">
        <v>33</v>
      </c>
      <c r="R54" t="s">
        <v>34</v>
      </c>
      <c r="S54" s="3">
        <v>22.75</v>
      </c>
      <c r="T54" t="s">
        <v>52</v>
      </c>
      <c r="U54" t="s">
        <v>63</v>
      </c>
    </row>
    <row r="55" spans="1:21" ht="27.6">
      <c r="A55" t="s">
        <v>257</v>
      </c>
      <c r="B55" t="s">
        <v>258</v>
      </c>
      <c r="C55" t="s">
        <v>259</v>
      </c>
      <c r="D55" s="2">
        <v>46163</v>
      </c>
      <c r="E55" t="s">
        <v>24</v>
      </c>
      <c r="F55" t="s">
        <v>118</v>
      </c>
      <c r="G55" s="3">
        <v>118.84</v>
      </c>
      <c r="H55" t="s">
        <v>26</v>
      </c>
      <c r="I55" t="s">
        <v>67</v>
      </c>
      <c r="J55" s="4" t="s">
        <v>119</v>
      </c>
      <c r="K55" t="s">
        <v>29</v>
      </c>
      <c r="L55" t="s">
        <v>120</v>
      </c>
      <c r="M55" t="s">
        <v>96</v>
      </c>
      <c r="N55" t="s">
        <v>32</v>
      </c>
      <c r="O55">
        <v>5</v>
      </c>
      <c r="P55">
        <v>4</v>
      </c>
      <c r="Q55" t="s">
        <v>33</v>
      </c>
      <c r="R55" t="s">
        <v>85</v>
      </c>
      <c r="S55" s="3">
        <v>118.84</v>
      </c>
      <c r="T55" t="s">
        <v>121</v>
      </c>
      <c r="U55" t="s">
        <v>53</v>
      </c>
    </row>
    <row r="56" spans="1:21" ht="27.6">
      <c r="A56" t="s">
        <v>260</v>
      </c>
      <c r="B56" t="s">
        <v>261</v>
      </c>
      <c r="C56" t="s">
        <v>262</v>
      </c>
      <c r="D56" s="2">
        <v>46127</v>
      </c>
      <c r="E56" t="s">
        <v>24</v>
      </c>
      <c r="F56" t="s">
        <v>48</v>
      </c>
      <c r="G56" s="3">
        <v>123.72</v>
      </c>
      <c r="H56" t="s">
        <v>26</v>
      </c>
      <c r="I56" t="s">
        <v>50</v>
      </c>
      <c r="J56" s="4" t="s">
        <v>68</v>
      </c>
      <c r="K56" t="s">
        <v>29</v>
      </c>
      <c r="L56" t="s">
        <v>30</v>
      </c>
      <c r="M56" t="s">
        <v>31</v>
      </c>
      <c r="N56" t="s">
        <v>32</v>
      </c>
      <c r="O56">
        <v>10</v>
      </c>
      <c r="P56">
        <v>4</v>
      </c>
      <c r="Q56" t="s">
        <v>33</v>
      </c>
      <c r="R56" t="s">
        <v>34</v>
      </c>
      <c r="S56" s="3">
        <v>92.79</v>
      </c>
      <c r="T56" t="s">
        <v>62</v>
      </c>
      <c r="U56" t="s">
        <v>53</v>
      </c>
    </row>
    <row r="57" spans="1:21" ht="27.6">
      <c r="A57" t="s">
        <v>263</v>
      </c>
      <c r="B57" t="s">
        <v>264</v>
      </c>
      <c r="C57" t="s">
        <v>265</v>
      </c>
      <c r="D57" s="2">
        <v>46071</v>
      </c>
      <c r="E57" t="s">
        <v>94</v>
      </c>
      <c r="F57" t="s">
        <v>82</v>
      </c>
      <c r="G57" s="3">
        <v>8.5500000000000007</v>
      </c>
      <c r="H57" t="s">
        <v>108</v>
      </c>
      <c r="I57" t="s">
        <v>27</v>
      </c>
      <c r="J57" s="4" t="s">
        <v>266</v>
      </c>
      <c r="K57" t="s">
        <v>33</v>
      </c>
      <c r="L57" t="s">
        <v>30</v>
      </c>
      <c r="M57" t="s">
        <v>31</v>
      </c>
      <c r="N57" t="s">
        <v>90</v>
      </c>
      <c r="O57">
        <v>7</v>
      </c>
      <c r="P57">
        <v>13</v>
      </c>
      <c r="Q57" t="s">
        <v>29</v>
      </c>
      <c r="R57" t="s">
        <v>85</v>
      </c>
      <c r="S57" s="3">
        <v>0</v>
      </c>
      <c r="T57" t="s">
        <v>69</v>
      </c>
      <c r="U57" t="s">
        <v>63</v>
      </c>
    </row>
    <row r="58" spans="1:21" ht="27.6">
      <c r="A58" t="s">
        <v>267</v>
      </c>
      <c r="B58" t="s">
        <v>268</v>
      </c>
      <c r="C58" t="s">
        <v>269</v>
      </c>
      <c r="D58" s="2">
        <v>46137</v>
      </c>
      <c r="E58" t="s">
        <v>47</v>
      </c>
      <c r="F58" t="s">
        <v>82</v>
      </c>
      <c r="G58" s="3">
        <v>47.74</v>
      </c>
      <c r="H58" t="s">
        <v>108</v>
      </c>
      <c r="I58" t="s">
        <v>67</v>
      </c>
      <c r="J58" s="4" t="s">
        <v>114</v>
      </c>
      <c r="K58" t="s">
        <v>33</v>
      </c>
      <c r="L58" t="s">
        <v>30</v>
      </c>
      <c r="M58" t="s">
        <v>31</v>
      </c>
      <c r="N58" t="s">
        <v>90</v>
      </c>
      <c r="O58">
        <v>7</v>
      </c>
      <c r="P58">
        <v>9</v>
      </c>
      <c r="Q58" t="s">
        <v>29</v>
      </c>
      <c r="R58" t="s">
        <v>85</v>
      </c>
      <c r="S58" s="3">
        <v>0</v>
      </c>
      <c r="T58" t="s">
        <v>62</v>
      </c>
      <c r="U58" t="s">
        <v>63</v>
      </c>
    </row>
    <row r="59" spans="1:21" ht="27.6">
      <c r="A59" t="s">
        <v>270</v>
      </c>
      <c r="B59" t="s">
        <v>271</v>
      </c>
      <c r="C59" t="s">
        <v>272</v>
      </c>
      <c r="D59" s="2">
        <v>46144</v>
      </c>
      <c r="E59" t="s">
        <v>40</v>
      </c>
      <c r="F59" t="s">
        <v>57</v>
      </c>
      <c r="G59" s="3">
        <v>24.68</v>
      </c>
      <c r="H59" t="s">
        <v>49</v>
      </c>
      <c r="I59" t="s">
        <v>50</v>
      </c>
      <c r="J59" s="4" t="s">
        <v>155</v>
      </c>
      <c r="K59" t="s">
        <v>29</v>
      </c>
      <c r="L59" t="s">
        <v>60</v>
      </c>
      <c r="M59" t="s">
        <v>31</v>
      </c>
      <c r="N59" t="s">
        <v>32</v>
      </c>
      <c r="O59">
        <v>10</v>
      </c>
      <c r="P59">
        <v>13</v>
      </c>
      <c r="Q59" t="s">
        <v>29</v>
      </c>
      <c r="R59" t="s">
        <v>61</v>
      </c>
      <c r="S59" s="3">
        <v>12.34</v>
      </c>
      <c r="T59" t="s">
        <v>156</v>
      </c>
      <c r="U59" t="s">
        <v>63</v>
      </c>
    </row>
    <row r="60" spans="1:21" ht="27.6">
      <c r="A60" t="s">
        <v>273</v>
      </c>
      <c r="B60" t="s">
        <v>274</v>
      </c>
      <c r="C60" t="s">
        <v>275</v>
      </c>
      <c r="D60" s="2">
        <v>46139</v>
      </c>
      <c r="E60" t="s">
        <v>24</v>
      </c>
      <c r="F60" t="s">
        <v>25</v>
      </c>
      <c r="G60" s="3">
        <v>16.29</v>
      </c>
      <c r="H60" t="s">
        <v>108</v>
      </c>
      <c r="I60" t="s">
        <v>50</v>
      </c>
      <c r="J60" s="4" t="s">
        <v>42</v>
      </c>
      <c r="K60" t="s">
        <v>33</v>
      </c>
      <c r="L60" t="s">
        <v>30</v>
      </c>
      <c r="M60" t="s">
        <v>31</v>
      </c>
      <c r="N60" t="s">
        <v>32</v>
      </c>
      <c r="O60">
        <v>5</v>
      </c>
      <c r="P60">
        <v>10</v>
      </c>
      <c r="Q60" t="s">
        <v>29</v>
      </c>
      <c r="R60" t="s">
        <v>34</v>
      </c>
      <c r="S60" s="3">
        <v>0</v>
      </c>
      <c r="T60" t="s">
        <v>35</v>
      </c>
      <c r="U60" t="s">
        <v>63</v>
      </c>
    </row>
    <row r="61" spans="1:21" ht="27.6">
      <c r="A61" t="s">
        <v>276</v>
      </c>
      <c r="B61" t="s">
        <v>277</v>
      </c>
      <c r="C61" t="s">
        <v>278</v>
      </c>
      <c r="D61" s="2">
        <v>46040</v>
      </c>
      <c r="E61" t="s">
        <v>24</v>
      </c>
      <c r="F61" t="s">
        <v>103</v>
      </c>
      <c r="G61" s="3">
        <v>27.08</v>
      </c>
      <c r="H61" t="s">
        <v>26</v>
      </c>
      <c r="I61" t="s">
        <v>27</v>
      </c>
      <c r="J61" s="4" t="s">
        <v>134</v>
      </c>
      <c r="K61" t="s">
        <v>29</v>
      </c>
      <c r="L61" t="s">
        <v>30</v>
      </c>
      <c r="M61" t="s">
        <v>31</v>
      </c>
      <c r="N61" t="s">
        <v>32</v>
      </c>
      <c r="O61">
        <v>5</v>
      </c>
      <c r="P61">
        <v>3</v>
      </c>
      <c r="Q61" t="s">
        <v>33</v>
      </c>
      <c r="R61" t="s">
        <v>34</v>
      </c>
      <c r="S61" s="3">
        <v>0</v>
      </c>
      <c r="T61" t="s">
        <v>35</v>
      </c>
      <c r="U61" t="s">
        <v>53</v>
      </c>
    </row>
    <row r="62" spans="1:21" ht="27.6">
      <c r="A62" t="s">
        <v>279</v>
      </c>
      <c r="B62" t="s">
        <v>280</v>
      </c>
      <c r="C62" t="s">
        <v>281</v>
      </c>
      <c r="D62" s="2">
        <v>46037</v>
      </c>
      <c r="E62" t="s">
        <v>24</v>
      </c>
      <c r="F62" t="s">
        <v>82</v>
      </c>
      <c r="G62" s="3">
        <v>13.43</v>
      </c>
      <c r="H62" t="s">
        <v>89</v>
      </c>
      <c r="I62" t="s">
        <v>50</v>
      </c>
      <c r="J62" s="4" t="s">
        <v>114</v>
      </c>
      <c r="K62" t="s">
        <v>29</v>
      </c>
      <c r="L62" t="s">
        <v>30</v>
      </c>
      <c r="M62" t="s">
        <v>31</v>
      </c>
      <c r="N62" t="s">
        <v>32</v>
      </c>
      <c r="O62">
        <v>7</v>
      </c>
      <c r="P62">
        <v>11</v>
      </c>
      <c r="Q62" t="s">
        <v>29</v>
      </c>
      <c r="R62" t="s">
        <v>85</v>
      </c>
      <c r="S62" s="3">
        <v>13.43</v>
      </c>
      <c r="T62" t="s">
        <v>43</v>
      </c>
      <c r="U62" t="s">
        <v>63</v>
      </c>
    </row>
    <row r="63" spans="1:21" ht="27.6">
      <c r="A63" t="s">
        <v>282</v>
      </c>
      <c r="B63" t="s">
        <v>283</v>
      </c>
      <c r="C63" t="s">
        <v>284</v>
      </c>
      <c r="D63" s="2">
        <v>46088</v>
      </c>
      <c r="E63" t="s">
        <v>47</v>
      </c>
      <c r="F63" t="s">
        <v>172</v>
      </c>
      <c r="G63" s="3">
        <v>120.03</v>
      </c>
      <c r="H63" t="s">
        <v>41</v>
      </c>
      <c r="I63" t="s">
        <v>50</v>
      </c>
      <c r="J63" s="4" t="s">
        <v>285</v>
      </c>
      <c r="K63" t="s">
        <v>33</v>
      </c>
      <c r="L63" t="s">
        <v>30</v>
      </c>
      <c r="M63" t="s">
        <v>31</v>
      </c>
      <c r="N63" t="s">
        <v>126</v>
      </c>
      <c r="O63">
        <v>7</v>
      </c>
      <c r="P63">
        <v>10</v>
      </c>
      <c r="Q63" t="s">
        <v>29</v>
      </c>
      <c r="R63" t="s">
        <v>174</v>
      </c>
      <c r="S63" s="3">
        <v>0</v>
      </c>
      <c r="T63" t="s">
        <v>286</v>
      </c>
      <c r="U63" t="s">
        <v>63</v>
      </c>
    </row>
    <row r="64" spans="1:21" ht="27.6">
      <c r="A64" t="s">
        <v>287</v>
      </c>
      <c r="B64" t="s">
        <v>288</v>
      </c>
      <c r="C64" t="s">
        <v>289</v>
      </c>
      <c r="D64" s="2">
        <v>46087</v>
      </c>
      <c r="E64" t="s">
        <v>47</v>
      </c>
      <c r="F64" t="s">
        <v>118</v>
      </c>
      <c r="G64" s="3">
        <v>16</v>
      </c>
      <c r="H64" t="s">
        <v>41</v>
      </c>
      <c r="I64" t="s">
        <v>50</v>
      </c>
      <c r="J64" s="4" t="s">
        <v>290</v>
      </c>
      <c r="K64" t="s">
        <v>33</v>
      </c>
      <c r="L64" t="s">
        <v>30</v>
      </c>
      <c r="M64" t="s">
        <v>31</v>
      </c>
      <c r="N64" t="s">
        <v>32</v>
      </c>
      <c r="O64">
        <v>5</v>
      </c>
      <c r="P64">
        <v>6</v>
      </c>
      <c r="Q64" t="s">
        <v>29</v>
      </c>
      <c r="R64" t="s">
        <v>85</v>
      </c>
      <c r="S64" s="3">
        <v>16</v>
      </c>
      <c r="T64" t="s">
        <v>121</v>
      </c>
      <c r="U64" t="s">
        <v>63</v>
      </c>
    </row>
    <row r="65" spans="1:21" ht="27.6">
      <c r="A65" t="s">
        <v>291</v>
      </c>
      <c r="B65" t="s">
        <v>292</v>
      </c>
      <c r="C65" t="s">
        <v>293</v>
      </c>
      <c r="D65" s="2">
        <v>46096</v>
      </c>
      <c r="E65" t="s">
        <v>40</v>
      </c>
      <c r="F65" t="s">
        <v>118</v>
      </c>
      <c r="G65" s="3">
        <v>71.08</v>
      </c>
      <c r="H65" t="s">
        <v>74</v>
      </c>
      <c r="I65" t="s">
        <v>50</v>
      </c>
      <c r="J65" s="4" t="s">
        <v>294</v>
      </c>
      <c r="K65" t="s">
        <v>29</v>
      </c>
      <c r="L65" t="s">
        <v>120</v>
      </c>
      <c r="M65" t="s">
        <v>96</v>
      </c>
      <c r="N65" t="s">
        <v>32</v>
      </c>
      <c r="O65">
        <v>5</v>
      </c>
      <c r="P65">
        <v>10</v>
      </c>
      <c r="Q65" t="s">
        <v>29</v>
      </c>
      <c r="R65" t="s">
        <v>85</v>
      </c>
      <c r="S65" s="3">
        <v>71.08</v>
      </c>
      <c r="T65" t="s">
        <v>121</v>
      </c>
      <c r="U65" t="s">
        <v>63</v>
      </c>
    </row>
    <row r="66" spans="1:21" ht="27.6">
      <c r="A66" t="s">
        <v>295</v>
      </c>
      <c r="B66" t="s">
        <v>296</v>
      </c>
      <c r="C66" t="s">
        <v>297</v>
      </c>
      <c r="D66" s="2">
        <v>46033</v>
      </c>
      <c r="E66" t="s">
        <v>24</v>
      </c>
      <c r="F66" t="s">
        <v>82</v>
      </c>
      <c r="G66" s="3">
        <v>62.4</v>
      </c>
      <c r="H66" t="s">
        <v>26</v>
      </c>
      <c r="I66" t="s">
        <v>67</v>
      </c>
      <c r="J66" s="4" t="s">
        <v>114</v>
      </c>
      <c r="K66" t="s">
        <v>29</v>
      </c>
      <c r="L66" t="s">
        <v>30</v>
      </c>
      <c r="M66" t="s">
        <v>31</v>
      </c>
      <c r="N66" t="s">
        <v>32</v>
      </c>
      <c r="O66">
        <v>7</v>
      </c>
      <c r="P66">
        <v>6</v>
      </c>
      <c r="Q66" t="s">
        <v>33</v>
      </c>
      <c r="R66" t="s">
        <v>85</v>
      </c>
      <c r="S66" s="3">
        <v>0</v>
      </c>
      <c r="T66" t="s">
        <v>69</v>
      </c>
      <c r="U66" t="s">
        <v>36</v>
      </c>
    </row>
    <row r="67" spans="1:21" ht="27.6">
      <c r="A67" t="s">
        <v>298</v>
      </c>
      <c r="B67" t="s">
        <v>299</v>
      </c>
      <c r="C67" t="s">
        <v>300</v>
      </c>
      <c r="D67" s="2">
        <v>46146</v>
      </c>
      <c r="E67" t="s">
        <v>94</v>
      </c>
      <c r="F67" t="s">
        <v>118</v>
      </c>
      <c r="G67" s="3">
        <v>38.479999999999997</v>
      </c>
      <c r="H67" t="s">
        <v>49</v>
      </c>
      <c r="I67" t="s">
        <v>67</v>
      </c>
      <c r="J67" s="4" t="s">
        <v>119</v>
      </c>
      <c r="K67" t="s">
        <v>33</v>
      </c>
      <c r="L67" t="s">
        <v>30</v>
      </c>
      <c r="M67" t="s">
        <v>31</v>
      </c>
      <c r="N67" t="s">
        <v>32</v>
      </c>
      <c r="O67">
        <v>5</v>
      </c>
      <c r="P67">
        <v>10</v>
      </c>
      <c r="Q67" t="s">
        <v>29</v>
      </c>
      <c r="R67" t="s">
        <v>85</v>
      </c>
      <c r="S67" s="3">
        <v>0</v>
      </c>
      <c r="T67" t="s">
        <v>121</v>
      </c>
      <c r="U67" t="s">
        <v>63</v>
      </c>
    </row>
    <row r="68" spans="1:21" ht="27.6">
      <c r="A68" t="s">
        <v>301</v>
      </c>
      <c r="B68" t="s">
        <v>302</v>
      </c>
      <c r="C68" t="s">
        <v>303</v>
      </c>
      <c r="D68" s="2">
        <v>46124</v>
      </c>
      <c r="E68" t="s">
        <v>24</v>
      </c>
      <c r="F68" t="s">
        <v>172</v>
      </c>
      <c r="G68" s="3">
        <v>33.07</v>
      </c>
      <c r="H68" t="s">
        <v>58</v>
      </c>
      <c r="I68" t="s">
        <v>27</v>
      </c>
      <c r="J68" s="4" t="s">
        <v>285</v>
      </c>
      <c r="K68" t="s">
        <v>29</v>
      </c>
      <c r="L68" t="s">
        <v>30</v>
      </c>
      <c r="M68" t="s">
        <v>31</v>
      </c>
      <c r="N68" t="s">
        <v>32</v>
      </c>
      <c r="O68">
        <v>7</v>
      </c>
      <c r="P68">
        <v>9</v>
      </c>
      <c r="Q68" t="s">
        <v>29</v>
      </c>
      <c r="R68" t="s">
        <v>174</v>
      </c>
      <c r="S68" s="3">
        <v>33.07</v>
      </c>
      <c r="T68" t="s">
        <v>110</v>
      </c>
      <c r="U68" t="s">
        <v>63</v>
      </c>
    </row>
    <row r="69" spans="1:21" ht="27.6">
      <c r="A69" t="s">
        <v>304</v>
      </c>
      <c r="B69" t="s">
        <v>305</v>
      </c>
      <c r="C69" t="s">
        <v>306</v>
      </c>
      <c r="D69" s="2">
        <v>46039</v>
      </c>
      <c r="E69" t="s">
        <v>47</v>
      </c>
      <c r="F69" t="s">
        <v>82</v>
      </c>
      <c r="G69" s="3">
        <v>93.31</v>
      </c>
      <c r="H69" t="s">
        <v>26</v>
      </c>
      <c r="I69" t="s">
        <v>27</v>
      </c>
      <c r="J69" s="4" t="s">
        <v>114</v>
      </c>
      <c r="K69" t="s">
        <v>33</v>
      </c>
      <c r="L69" t="s">
        <v>30</v>
      </c>
      <c r="M69" t="s">
        <v>31</v>
      </c>
      <c r="N69" t="s">
        <v>84</v>
      </c>
      <c r="O69">
        <v>7</v>
      </c>
      <c r="P69">
        <v>8</v>
      </c>
      <c r="Q69" t="s">
        <v>29</v>
      </c>
      <c r="R69" t="s">
        <v>85</v>
      </c>
      <c r="S69" s="3">
        <v>0</v>
      </c>
      <c r="T69" t="s">
        <v>69</v>
      </c>
      <c r="U69" t="s">
        <v>63</v>
      </c>
    </row>
    <row r="70" spans="1:21" ht="27.6">
      <c r="A70" t="s">
        <v>307</v>
      </c>
      <c r="B70" t="s">
        <v>308</v>
      </c>
      <c r="C70" t="s">
        <v>309</v>
      </c>
      <c r="D70" s="2">
        <v>46057</v>
      </c>
      <c r="E70" t="s">
        <v>24</v>
      </c>
      <c r="F70" t="s">
        <v>82</v>
      </c>
      <c r="G70" s="3">
        <v>46.62</v>
      </c>
      <c r="H70" t="s">
        <v>58</v>
      </c>
      <c r="I70" t="s">
        <v>27</v>
      </c>
      <c r="J70" s="4" t="s">
        <v>114</v>
      </c>
      <c r="K70" t="s">
        <v>29</v>
      </c>
      <c r="L70" t="s">
        <v>30</v>
      </c>
      <c r="M70" t="s">
        <v>31</v>
      </c>
      <c r="N70" t="s">
        <v>90</v>
      </c>
      <c r="O70">
        <v>7</v>
      </c>
      <c r="P70">
        <v>8</v>
      </c>
      <c r="Q70" t="s">
        <v>29</v>
      </c>
      <c r="R70" t="s">
        <v>85</v>
      </c>
      <c r="S70" s="3">
        <v>0</v>
      </c>
      <c r="T70" t="s">
        <v>43</v>
      </c>
      <c r="U70" t="s">
        <v>63</v>
      </c>
    </row>
    <row r="71" spans="1:21" ht="27.6">
      <c r="A71" t="s">
        <v>310</v>
      </c>
      <c r="B71" t="s">
        <v>311</v>
      </c>
      <c r="C71" t="s">
        <v>312</v>
      </c>
      <c r="D71" s="2">
        <v>46136</v>
      </c>
      <c r="E71" t="s">
        <v>47</v>
      </c>
      <c r="F71" t="s">
        <v>118</v>
      </c>
      <c r="G71" s="3">
        <v>5.65</v>
      </c>
      <c r="H71" t="s">
        <v>58</v>
      </c>
      <c r="I71" t="s">
        <v>27</v>
      </c>
      <c r="J71" s="4" t="s">
        <v>119</v>
      </c>
      <c r="K71" t="s">
        <v>29</v>
      </c>
      <c r="L71" t="s">
        <v>120</v>
      </c>
      <c r="M71" t="s">
        <v>96</v>
      </c>
      <c r="N71" t="s">
        <v>32</v>
      </c>
      <c r="O71">
        <v>5</v>
      </c>
      <c r="P71">
        <v>1</v>
      </c>
      <c r="Q71" t="s">
        <v>33</v>
      </c>
      <c r="R71" t="s">
        <v>85</v>
      </c>
      <c r="S71" s="3">
        <v>5.65</v>
      </c>
      <c r="T71" t="s">
        <v>121</v>
      </c>
      <c r="U71" t="s">
        <v>53</v>
      </c>
    </row>
    <row r="72" spans="1:21" ht="27.6">
      <c r="A72" t="s">
        <v>313</v>
      </c>
      <c r="B72" t="s">
        <v>314</v>
      </c>
      <c r="C72" t="s">
        <v>315</v>
      </c>
      <c r="D72" s="2">
        <v>46077</v>
      </c>
      <c r="E72" t="s">
        <v>40</v>
      </c>
      <c r="F72" t="s">
        <v>172</v>
      </c>
      <c r="G72" s="3">
        <v>26.37</v>
      </c>
      <c r="H72" t="s">
        <v>89</v>
      </c>
      <c r="I72" t="s">
        <v>27</v>
      </c>
      <c r="J72" s="4" t="s">
        <v>173</v>
      </c>
      <c r="K72" t="s">
        <v>33</v>
      </c>
      <c r="L72" t="s">
        <v>30</v>
      </c>
      <c r="M72" t="s">
        <v>31</v>
      </c>
      <c r="N72" t="s">
        <v>90</v>
      </c>
      <c r="O72">
        <v>7</v>
      </c>
      <c r="P72">
        <v>11</v>
      </c>
      <c r="Q72" t="s">
        <v>29</v>
      </c>
      <c r="R72" t="s">
        <v>174</v>
      </c>
      <c r="S72" s="3">
        <v>0</v>
      </c>
      <c r="T72" t="s">
        <v>110</v>
      </c>
      <c r="U72" t="s">
        <v>63</v>
      </c>
    </row>
    <row r="73" spans="1:21" ht="27.6">
      <c r="A73" t="s">
        <v>316</v>
      </c>
      <c r="B73" t="s">
        <v>317</v>
      </c>
      <c r="C73" t="s">
        <v>318</v>
      </c>
      <c r="D73" s="2">
        <v>46060</v>
      </c>
      <c r="E73" t="s">
        <v>94</v>
      </c>
      <c r="F73" t="s">
        <v>172</v>
      </c>
      <c r="G73" s="3">
        <v>65.959999999999994</v>
      </c>
      <c r="H73" t="s">
        <v>49</v>
      </c>
      <c r="I73" t="s">
        <v>27</v>
      </c>
      <c r="J73" s="4" t="s">
        <v>173</v>
      </c>
      <c r="K73" t="s">
        <v>29</v>
      </c>
      <c r="L73" t="s">
        <v>30</v>
      </c>
      <c r="M73" t="s">
        <v>31</v>
      </c>
      <c r="N73" t="s">
        <v>32</v>
      </c>
      <c r="O73">
        <v>7</v>
      </c>
      <c r="P73">
        <v>10</v>
      </c>
      <c r="Q73" t="s">
        <v>29</v>
      </c>
      <c r="R73" t="s">
        <v>174</v>
      </c>
      <c r="S73" s="3">
        <v>49.47</v>
      </c>
      <c r="T73" t="s">
        <v>69</v>
      </c>
      <c r="U73" t="s">
        <v>63</v>
      </c>
    </row>
    <row r="74" spans="1:21" ht="27.6">
      <c r="A74" t="s">
        <v>319</v>
      </c>
      <c r="B74" t="s">
        <v>320</v>
      </c>
      <c r="C74" t="s">
        <v>321</v>
      </c>
      <c r="D74" s="2">
        <v>46130</v>
      </c>
      <c r="E74" t="s">
        <v>47</v>
      </c>
      <c r="F74" t="s">
        <v>103</v>
      </c>
      <c r="G74" s="3">
        <v>34.6</v>
      </c>
      <c r="H74" t="s">
        <v>89</v>
      </c>
      <c r="I74" t="s">
        <v>50</v>
      </c>
      <c r="J74" s="4" t="s">
        <v>104</v>
      </c>
      <c r="K74" t="s">
        <v>33</v>
      </c>
      <c r="L74" t="s">
        <v>30</v>
      </c>
      <c r="M74" t="s">
        <v>31</v>
      </c>
      <c r="N74" t="s">
        <v>126</v>
      </c>
      <c r="O74">
        <v>5</v>
      </c>
      <c r="P74">
        <v>6</v>
      </c>
      <c r="Q74" t="s">
        <v>29</v>
      </c>
      <c r="R74" t="s">
        <v>34</v>
      </c>
      <c r="S74" s="3">
        <v>0</v>
      </c>
      <c r="T74" t="s">
        <v>35</v>
      </c>
      <c r="U74" t="s">
        <v>63</v>
      </c>
    </row>
    <row r="75" spans="1:21" ht="27.6">
      <c r="A75" t="s">
        <v>322</v>
      </c>
      <c r="B75" t="s">
        <v>323</v>
      </c>
      <c r="C75" t="s">
        <v>324</v>
      </c>
      <c r="D75" s="2">
        <v>46030</v>
      </c>
      <c r="E75" t="s">
        <v>24</v>
      </c>
      <c r="F75" t="s">
        <v>82</v>
      </c>
      <c r="G75" s="3">
        <v>25.61</v>
      </c>
      <c r="H75" t="s">
        <v>108</v>
      </c>
      <c r="I75" t="s">
        <v>50</v>
      </c>
      <c r="J75" s="4" t="s">
        <v>325</v>
      </c>
      <c r="K75" t="s">
        <v>29</v>
      </c>
      <c r="L75" t="s">
        <v>30</v>
      </c>
      <c r="M75" t="s">
        <v>31</v>
      </c>
      <c r="N75" t="s">
        <v>32</v>
      </c>
      <c r="O75">
        <v>7</v>
      </c>
      <c r="P75">
        <v>5</v>
      </c>
      <c r="Q75" t="s">
        <v>33</v>
      </c>
      <c r="R75" t="s">
        <v>85</v>
      </c>
      <c r="S75" s="3">
        <v>12.8</v>
      </c>
      <c r="T75" t="s">
        <v>43</v>
      </c>
      <c r="U75" t="s">
        <v>36</v>
      </c>
    </row>
    <row r="76" spans="1:21" ht="27.6">
      <c r="A76" t="s">
        <v>326</v>
      </c>
      <c r="B76" t="s">
        <v>327</v>
      </c>
      <c r="C76" t="s">
        <v>328</v>
      </c>
      <c r="D76" s="2">
        <v>46158</v>
      </c>
      <c r="E76" t="s">
        <v>24</v>
      </c>
      <c r="F76" t="s">
        <v>82</v>
      </c>
      <c r="G76" s="3">
        <v>24.73</v>
      </c>
      <c r="H76" t="s">
        <v>26</v>
      </c>
      <c r="I76" t="s">
        <v>67</v>
      </c>
      <c r="J76" s="4" t="s">
        <v>329</v>
      </c>
      <c r="K76" t="s">
        <v>29</v>
      </c>
      <c r="L76" t="s">
        <v>30</v>
      </c>
      <c r="M76" t="s">
        <v>31</v>
      </c>
      <c r="N76" t="s">
        <v>32</v>
      </c>
      <c r="O76">
        <v>7</v>
      </c>
      <c r="P76">
        <v>5</v>
      </c>
      <c r="Q76" t="s">
        <v>33</v>
      </c>
      <c r="R76" t="s">
        <v>85</v>
      </c>
      <c r="S76" s="3">
        <v>18.55</v>
      </c>
      <c r="T76" t="s">
        <v>62</v>
      </c>
      <c r="U76" t="s">
        <v>36</v>
      </c>
    </row>
    <row r="77" spans="1:21" ht="27.6">
      <c r="A77" t="s">
        <v>330</v>
      </c>
      <c r="B77" t="s">
        <v>331</v>
      </c>
      <c r="C77" t="s">
        <v>332</v>
      </c>
      <c r="D77" s="2">
        <v>46047</v>
      </c>
      <c r="E77" t="s">
        <v>24</v>
      </c>
      <c r="F77" t="s">
        <v>118</v>
      </c>
      <c r="G77" s="3">
        <v>67.91</v>
      </c>
      <c r="H77" t="s">
        <v>26</v>
      </c>
      <c r="I77" t="s">
        <v>67</v>
      </c>
      <c r="J77" s="4" t="s">
        <v>333</v>
      </c>
      <c r="K77" t="s">
        <v>29</v>
      </c>
      <c r="L77" t="s">
        <v>120</v>
      </c>
      <c r="M77" t="s">
        <v>96</v>
      </c>
      <c r="N77" t="s">
        <v>32</v>
      </c>
      <c r="O77">
        <v>5</v>
      </c>
      <c r="P77">
        <v>1</v>
      </c>
      <c r="Q77" t="s">
        <v>33</v>
      </c>
      <c r="R77" t="s">
        <v>85</v>
      </c>
      <c r="S77" s="3">
        <v>67.91</v>
      </c>
      <c r="T77" t="s">
        <v>121</v>
      </c>
      <c r="U77" t="s">
        <v>36</v>
      </c>
    </row>
    <row r="78" spans="1:21" ht="27.6">
      <c r="A78" t="s">
        <v>334</v>
      </c>
      <c r="B78" t="s">
        <v>335</v>
      </c>
      <c r="C78" t="s">
        <v>336</v>
      </c>
      <c r="D78" s="2">
        <v>46166</v>
      </c>
      <c r="E78" t="s">
        <v>47</v>
      </c>
      <c r="F78" t="s">
        <v>103</v>
      </c>
      <c r="G78" s="3">
        <v>14.45</v>
      </c>
      <c r="H78" t="s">
        <v>49</v>
      </c>
      <c r="I78" t="s">
        <v>27</v>
      </c>
      <c r="J78" s="4" t="s">
        <v>134</v>
      </c>
      <c r="K78" t="s">
        <v>33</v>
      </c>
      <c r="L78" t="s">
        <v>30</v>
      </c>
      <c r="M78" t="s">
        <v>31</v>
      </c>
      <c r="N78" t="s">
        <v>32</v>
      </c>
      <c r="O78">
        <v>5</v>
      </c>
      <c r="P78">
        <v>12</v>
      </c>
      <c r="Q78" t="s">
        <v>29</v>
      </c>
      <c r="R78" t="s">
        <v>34</v>
      </c>
      <c r="S78" s="3">
        <v>0</v>
      </c>
      <c r="T78" t="s">
        <v>35</v>
      </c>
      <c r="U78" t="s">
        <v>63</v>
      </c>
    </row>
    <row r="79" spans="1:21" ht="27.6">
      <c r="A79" t="s">
        <v>337</v>
      </c>
      <c r="B79" t="s">
        <v>338</v>
      </c>
      <c r="C79" t="s">
        <v>339</v>
      </c>
      <c r="D79" s="2">
        <v>46146</v>
      </c>
      <c r="E79" t="s">
        <v>24</v>
      </c>
      <c r="F79" t="s">
        <v>25</v>
      </c>
      <c r="G79" s="3">
        <v>89.69</v>
      </c>
      <c r="H79" t="s">
        <v>49</v>
      </c>
      <c r="I79" t="s">
        <v>27</v>
      </c>
      <c r="J79" s="4" t="s">
        <v>42</v>
      </c>
      <c r="K79" t="s">
        <v>33</v>
      </c>
      <c r="L79" t="s">
        <v>30</v>
      </c>
      <c r="M79" t="s">
        <v>31</v>
      </c>
      <c r="N79" t="s">
        <v>126</v>
      </c>
      <c r="O79">
        <v>5</v>
      </c>
      <c r="P79">
        <v>5</v>
      </c>
      <c r="Q79" t="s">
        <v>33</v>
      </c>
      <c r="R79" t="s">
        <v>34</v>
      </c>
      <c r="S79" s="3">
        <v>0</v>
      </c>
      <c r="T79" t="s">
        <v>43</v>
      </c>
      <c r="U79" t="s">
        <v>53</v>
      </c>
    </row>
    <row r="80" spans="1:21" ht="27.6">
      <c r="A80" t="s">
        <v>340</v>
      </c>
      <c r="B80" t="s">
        <v>341</v>
      </c>
      <c r="C80" t="s">
        <v>342</v>
      </c>
      <c r="D80" s="2">
        <v>46092</v>
      </c>
      <c r="E80" t="s">
        <v>40</v>
      </c>
      <c r="F80" t="s">
        <v>118</v>
      </c>
      <c r="G80" s="3">
        <v>140.28</v>
      </c>
      <c r="H80" t="s">
        <v>108</v>
      </c>
      <c r="I80" t="s">
        <v>27</v>
      </c>
      <c r="J80" s="4" t="s">
        <v>119</v>
      </c>
      <c r="K80" t="s">
        <v>33</v>
      </c>
      <c r="L80" t="s">
        <v>30</v>
      </c>
      <c r="M80" t="s">
        <v>31</v>
      </c>
      <c r="N80" t="s">
        <v>32</v>
      </c>
      <c r="O80">
        <v>5</v>
      </c>
      <c r="P80">
        <v>10</v>
      </c>
      <c r="Q80" t="s">
        <v>29</v>
      </c>
      <c r="R80" t="s">
        <v>85</v>
      </c>
      <c r="S80" s="3">
        <v>105.21</v>
      </c>
      <c r="T80" t="s">
        <v>121</v>
      </c>
      <c r="U80" t="s">
        <v>63</v>
      </c>
    </row>
    <row r="81" spans="1:21" ht="27.6">
      <c r="A81" t="s">
        <v>343</v>
      </c>
      <c r="B81" t="s">
        <v>344</v>
      </c>
      <c r="C81" t="s">
        <v>345</v>
      </c>
      <c r="D81" s="2">
        <v>46102</v>
      </c>
      <c r="E81" t="s">
        <v>40</v>
      </c>
      <c r="F81" t="s">
        <v>57</v>
      </c>
      <c r="G81" s="3">
        <v>45.05</v>
      </c>
      <c r="H81" t="s">
        <v>26</v>
      </c>
      <c r="I81" t="s">
        <v>27</v>
      </c>
      <c r="J81" s="4" t="s">
        <v>155</v>
      </c>
      <c r="K81" t="s">
        <v>33</v>
      </c>
      <c r="L81" t="s">
        <v>60</v>
      </c>
      <c r="M81" t="s">
        <v>31</v>
      </c>
      <c r="N81" t="s">
        <v>32</v>
      </c>
      <c r="O81">
        <v>10</v>
      </c>
      <c r="P81">
        <v>13</v>
      </c>
      <c r="Q81" t="s">
        <v>29</v>
      </c>
      <c r="R81" t="s">
        <v>61</v>
      </c>
      <c r="S81" s="3">
        <v>45.05</v>
      </c>
      <c r="T81" t="s">
        <v>156</v>
      </c>
      <c r="U81" t="s">
        <v>63</v>
      </c>
    </row>
    <row r="82" spans="1:21" ht="27.6">
      <c r="A82" t="s">
        <v>346</v>
      </c>
      <c r="B82" t="s">
        <v>347</v>
      </c>
      <c r="C82" t="s">
        <v>348</v>
      </c>
      <c r="D82" s="2">
        <v>46136</v>
      </c>
      <c r="E82" t="s">
        <v>24</v>
      </c>
      <c r="F82" t="s">
        <v>118</v>
      </c>
      <c r="G82" s="3">
        <v>41.57</v>
      </c>
      <c r="H82" t="s">
        <v>26</v>
      </c>
      <c r="I82" t="s">
        <v>27</v>
      </c>
      <c r="J82" s="4" t="s">
        <v>349</v>
      </c>
      <c r="K82" t="s">
        <v>29</v>
      </c>
      <c r="L82" t="s">
        <v>120</v>
      </c>
      <c r="M82" t="s">
        <v>96</v>
      </c>
      <c r="N82" t="s">
        <v>32</v>
      </c>
      <c r="O82">
        <v>5</v>
      </c>
      <c r="P82">
        <v>1</v>
      </c>
      <c r="Q82" t="s">
        <v>33</v>
      </c>
      <c r="R82" t="s">
        <v>85</v>
      </c>
      <c r="S82" s="3">
        <v>41.57</v>
      </c>
      <c r="T82" t="s">
        <v>121</v>
      </c>
      <c r="U82" t="s">
        <v>36</v>
      </c>
    </row>
    <row r="83" spans="1:21" ht="27.6">
      <c r="A83" t="s">
        <v>350</v>
      </c>
      <c r="B83" t="s">
        <v>351</v>
      </c>
      <c r="C83" t="s">
        <v>352</v>
      </c>
      <c r="D83" s="2">
        <v>46100</v>
      </c>
      <c r="E83" t="s">
        <v>94</v>
      </c>
      <c r="F83" t="s">
        <v>57</v>
      </c>
      <c r="G83" s="3">
        <v>69.55</v>
      </c>
      <c r="H83" t="s">
        <v>26</v>
      </c>
      <c r="I83" t="s">
        <v>27</v>
      </c>
      <c r="J83" s="4" t="s">
        <v>155</v>
      </c>
      <c r="K83" t="s">
        <v>33</v>
      </c>
      <c r="L83" t="s">
        <v>60</v>
      </c>
      <c r="M83" t="s">
        <v>31</v>
      </c>
      <c r="N83" t="s">
        <v>32</v>
      </c>
      <c r="O83">
        <v>10</v>
      </c>
      <c r="P83">
        <v>14</v>
      </c>
      <c r="Q83" t="s">
        <v>29</v>
      </c>
      <c r="R83" t="s">
        <v>61</v>
      </c>
      <c r="S83" s="3">
        <v>34.770000000000003</v>
      </c>
      <c r="T83" t="s">
        <v>156</v>
      </c>
      <c r="U83" t="s">
        <v>63</v>
      </c>
    </row>
    <row r="84" spans="1:21" ht="27.6">
      <c r="A84" t="s">
        <v>353</v>
      </c>
      <c r="B84" t="s">
        <v>354</v>
      </c>
      <c r="C84" t="s">
        <v>355</v>
      </c>
      <c r="D84" s="2">
        <v>46033</v>
      </c>
      <c r="E84" t="s">
        <v>47</v>
      </c>
      <c r="F84" t="s">
        <v>82</v>
      </c>
      <c r="G84" s="3">
        <v>16.510000000000002</v>
      </c>
      <c r="H84" t="s">
        <v>108</v>
      </c>
      <c r="I84" t="s">
        <v>50</v>
      </c>
      <c r="J84" s="4" t="s">
        <v>356</v>
      </c>
      <c r="K84" t="s">
        <v>29</v>
      </c>
      <c r="L84" t="s">
        <v>30</v>
      </c>
      <c r="M84" t="s">
        <v>31</v>
      </c>
      <c r="N84" t="s">
        <v>84</v>
      </c>
      <c r="O84">
        <v>7</v>
      </c>
      <c r="P84">
        <v>5</v>
      </c>
      <c r="Q84" t="s">
        <v>33</v>
      </c>
      <c r="R84" t="s">
        <v>85</v>
      </c>
      <c r="S84" s="3">
        <v>0</v>
      </c>
      <c r="T84" t="s">
        <v>69</v>
      </c>
      <c r="U84" t="s">
        <v>36</v>
      </c>
    </row>
    <row r="85" spans="1:21" ht="27.6">
      <c r="A85" t="s">
        <v>357</v>
      </c>
      <c r="B85" t="s">
        <v>358</v>
      </c>
      <c r="C85" t="s">
        <v>359</v>
      </c>
      <c r="D85" s="2">
        <v>46050</v>
      </c>
      <c r="E85" t="s">
        <v>24</v>
      </c>
      <c r="F85" t="s">
        <v>172</v>
      </c>
      <c r="G85" s="3">
        <v>42.86</v>
      </c>
      <c r="H85" t="s">
        <v>41</v>
      </c>
      <c r="I85" t="s">
        <v>50</v>
      </c>
      <c r="J85" s="4" t="s">
        <v>173</v>
      </c>
      <c r="K85" t="s">
        <v>29</v>
      </c>
      <c r="L85" t="s">
        <v>30</v>
      </c>
      <c r="M85" t="s">
        <v>31</v>
      </c>
      <c r="N85" t="s">
        <v>32</v>
      </c>
      <c r="O85">
        <v>7</v>
      </c>
      <c r="P85">
        <v>10</v>
      </c>
      <c r="Q85" t="s">
        <v>29</v>
      </c>
      <c r="R85" t="s">
        <v>174</v>
      </c>
      <c r="S85" s="3">
        <v>0</v>
      </c>
      <c r="T85" t="s">
        <v>69</v>
      </c>
      <c r="U85" t="s">
        <v>63</v>
      </c>
    </row>
    <row r="86" spans="1:21" ht="27.6">
      <c r="A86" t="s">
        <v>360</v>
      </c>
      <c r="B86" t="s">
        <v>361</v>
      </c>
      <c r="C86" t="s">
        <v>362</v>
      </c>
      <c r="D86" s="2">
        <v>46060</v>
      </c>
      <c r="E86" t="s">
        <v>24</v>
      </c>
      <c r="F86" t="s">
        <v>25</v>
      </c>
      <c r="G86" s="3">
        <v>13.33</v>
      </c>
      <c r="H86" t="s">
        <v>49</v>
      </c>
      <c r="I86" t="s">
        <v>50</v>
      </c>
      <c r="J86" s="4" t="s">
        <v>42</v>
      </c>
      <c r="K86" t="s">
        <v>29</v>
      </c>
      <c r="L86" t="s">
        <v>30</v>
      </c>
      <c r="M86" t="s">
        <v>96</v>
      </c>
      <c r="N86" t="s">
        <v>32</v>
      </c>
      <c r="O86">
        <v>5</v>
      </c>
      <c r="P86">
        <v>1</v>
      </c>
      <c r="Q86" t="s">
        <v>33</v>
      </c>
      <c r="R86" t="s">
        <v>34</v>
      </c>
      <c r="S86" s="3">
        <v>13.33</v>
      </c>
      <c r="T86" t="s">
        <v>35</v>
      </c>
      <c r="U86" t="s">
        <v>36</v>
      </c>
    </row>
    <row r="87" spans="1:21" ht="27.6">
      <c r="A87" t="s">
        <v>363</v>
      </c>
      <c r="B87" t="s">
        <v>364</v>
      </c>
      <c r="C87" t="s">
        <v>365</v>
      </c>
      <c r="D87" s="2">
        <v>46135</v>
      </c>
      <c r="E87" t="s">
        <v>24</v>
      </c>
      <c r="F87" t="s">
        <v>82</v>
      </c>
      <c r="G87" s="3">
        <v>27.21</v>
      </c>
      <c r="H87" t="s">
        <v>26</v>
      </c>
      <c r="I87" t="s">
        <v>27</v>
      </c>
      <c r="J87" s="4" t="s">
        <v>114</v>
      </c>
      <c r="K87" t="s">
        <v>29</v>
      </c>
      <c r="L87" t="s">
        <v>30</v>
      </c>
      <c r="M87" t="s">
        <v>31</v>
      </c>
      <c r="N87" t="s">
        <v>32</v>
      </c>
      <c r="O87">
        <v>7</v>
      </c>
      <c r="P87">
        <v>6</v>
      </c>
      <c r="Q87" t="s">
        <v>33</v>
      </c>
      <c r="R87" t="s">
        <v>85</v>
      </c>
      <c r="S87" s="3">
        <v>20.41</v>
      </c>
      <c r="T87" t="s">
        <v>69</v>
      </c>
      <c r="U87" t="s">
        <v>53</v>
      </c>
    </row>
    <row r="88" spans="1:21" ht="27.6">
      <c r="A88" t="s">
        <v>366</v>
      </c>
      <c r="B88" t="s">
        <v>367</v>
      </c>
      <c r="C88" t="s">
        <v>368</v>
      </c>
      <c r="D88" s="2">
        <v>46141</v>
      </c>
      <c r="E88" t="s">
        <v>47</v>
      </c>
      <c r="F88" t="s">
        <v>48</v>
      </c>
      <c r="G88" s="3">
        <v>162.80000000000001</v>
      </c>
      <c r="H88" t="s">
        <v>74</v>
      </c>
      <c r="I88" t="s">
        <v>27</v>
      </c>
      <c r="J88" s="4" t="s">
        <v>51</v>
      </c>
      <c r="K88" t="s">
        <v>29</v>
      </c>
      <c r="L88" t="s">
        <v>30</v>
      </c>
      <c r="M88" t="s">
        <v>31</v>
      </c>
      <c r="N88" t="s">
        <v>90</v>
      </c>
      <c r="O88">
        <v>10</v>
      </c>
      <c r="P88">
        <v>9</v>
      </c>
      <c r="Q88" t="s">
        <v>33</v>
      </c>
      <c r="R88" t="s">
        <v>34</v>
      </c>
      <c r="S88" s="3">
        <v>0</v>
      </c>
      <c r="T88" t="s">
        <v>69</v>
      </c>
      <c r="U88" t="s">
        <v>63</v>
      </c>
    </row>
    <row r="89" spans="1:21" ht="27.6">
      <c r="A89" t="s">
        <v>369</v>
      </c>
      <c r="B89" t="s">
        <v>370</v>
      </c>
      <c r="C89" t="s">
        <v>371</v>
      </c>
      <c r="D89" s="2">
        <v>46067</v>
      </c>
      <c r="E89" t="s">
        <v>24</v>
      </c>
      <c r="F89" t="s">
        <v>103</v>
      </c>
      <c r="G89" s="3">
        <v>52.02</v>
      </c>
      <c r="H89" t="s">
        <v>41</v>
      </c>
      <c r="I89" t="s">
        <v>27</v>
      </c>
      <c r="J89" s="4" t="s">
        <v>104</v>
      </c>
      <c r="K89" t="s">
        <v>33</v>
      </c>
      <c r="L89" t="s">
        <v>30</v>
      </c>
      <c r="M89" t="s">
        <v>31</v>
      </c>
      <c r="N89" t="s">
        <v>126</v>
      </c>
      <c r="O89">
        <v>5</v>
      </c>
      <c r="P89">
        <v>8</v>
      </c>
      <c r="Q89" t="s">
        <v>29</v>
      </c>
      <c r="R89" t="s">
        <v>34</v>
      </c>
      <c r="S89" s="3">
        <v>0</v>
      </c>
      <c r="T89" t="s">
        <v>35</v>
      </c>
      <c r="U89" t="s">
        <v>63</v>
      </c>
    </row>
    <row r="90" spans="1:21" ht="27.6">
      <c r="A90" t="s">
        <v>372</v>
      </c>
      <c r="B90" t="s">
        <v>373</v>
      </c>
      <c r="C90" t="s">
        <v>374</v>
      </c>
      <c r="D90" s="2">
        <v>46047</v>
      </c>
      <c r="E90" t="s">
        <v>47</v>
      </c>
      <c r="F90" t="s">
        <v>82</v>
      </c>
      <c r="G90" s="3">
        <v>18.09</v>
      </c>
      <c r="H90" t="s">
        <v>58</v>
      </c>
      <c r="I90" t="s">
        <v>27</v>
      </c>
      <c r="J90" s="4" t="s">
        <v>375</v>
      </c>
      <c r="K90" t="s">
        <v>29</v>
      </c>
      <c r="L90" t="s">
        <v>30</v>
      </c>
      <c r="M90" t="s">
        <v>31</v>
      </c>
      <c r="N90" t="s">
        <v>84</v>
      </c>
      <c r="O90">
        <v>7</v>
      </c>
      <c r="P90">
        <v>4</v>
      </c>
      <c r="Q90" t="s">
        <v>33</v>
      </c>
      <c r="R90" t="s">
        <v>85</v>
      </c>
      <c r="S90" s="3">
        <v>0</v>
      </c>
      <c r="T90" t="s">
        <v>43</v>
      </c>
      <c r="U90" t="s">
        <v>53</v>
      </c>
    </row>
    <row r="91" spans="1:21" ht="27.6">
      <c r="A91" t="s">
        <v>376</v>
      </c>
      <c r="B91" t="s">
        <v>377</v>
      </c>
      <c r="C91" t="s">
        <v>378</v>
      </c>
      <c r="D91" s="2">
        <v>46027</v>
      </c>
      <c r="E91" t="s">
        <v>24</v>
      </c>
      <c r="F91" t="s">
        <v>25</v>
      </c>
      <c r="G91" s="3">
        <v>39.409999999999997</v>
      </c>
      <c r="H91" t="s">
        <v>74</v>
      </c>
      <c r="I91" t="s">
        <v>27</v>
      </c>
      <c r="J91" s="4" t="s">
        <v>379</v>
      </c>
      <c r="K91" t="s">
        <v>29</v>
      </c>
      <c r="L91" t="s">
        <v>30</v>
      </c>
      <c r="M91" t="s">
        <v>31</v>
      </c>
      <c r="N91" t="s">
        <v>32</v>
      </c>
      <c r="O91">
        <v>5</v>
      </c>
      <c r="P91">
        <v>8</v>
      </c>
      <c r="Q91" t="s">
        <v>29</v>
      </c>
      <c r="R91" t="s">
        <v>34</v>
      </c>
      <c r="S91" s="3">
        <v>39.409999999999997</v>
      </c>
      <c r="T91" t="s">
        <v>110</v>
      </c>
      <c r="U91" t="s">
        <v>63</v>
      </c>
    </row>
    <row r="92" spans="1:21" ht="27.6">
      <c r="A92" t="s">
        <v>380</v>
      </c>
      <c r="B92" t="s">
        <v>381</v>
      </c>
      <c r="C92" t="s">
        <v>382</v>
      </c>
      <c r="D92" s="2">
        <v>46056</v>
      </c>
      <c r="E92" t="s">
        <v>47</v>
      </c>
      <c r="F92" t="s">
        <v>25</v>
      </c>
      <c r="G92" s="3">
        <v>8.89</v>
      </c>
      <c r="H92" t="s">
        <v>89</v>
      </c>
      <c r="I92" t="s">
        <v>67</v>
      </c>
      <c r="J92" s="4" t="s">
        <v>42</v>
      </c>
      <c r="K92" t="s">
        <v>29</v>
      </c>
      <c r="L92" t="s">
        <v>30</v>
      </c>
      <c r="M92" t="s">
        <v>31</v>
      </c>
      <c r="N92" t="s">
        <v>32</v>
      </c>
      <c r="O92">
        <v>5</v>
      </c>
      <c r="P92">
        <v>8</v>
      </c>
      <c r="Q92" t="s">
        <v>29</v>
      </c>
      <c r="R92" t="s">
        <v>34</v>
      </c>
      <c r="S92" s="3">
        <v>0</v>
      </c>
      <c r="T92" t="s">
        <v>43</v>
      </c>
      <c r="U92" t="s">
        <v>63</v>
      </c>
    </row>
    <row r="93" spans="1:21" ht="27.6">
      <c r="A93" t="s">
        <v>383</v>
      </c>
      <c r="B93" t="s">
        <v>384</v>
      </c>
      <c r="C93" t="s">
        <v>385</v>
      </c>
      <c r="D93" s="2">
        <v>46159</v>
      </c>
      <c r="E93" t="s">
        <v>24</v>
      </c>
      <c r="F93" t="s">
        <v>48</v>
      </c>
      <c r="G93" s="3">
        <v>10.1</v>
      </c>
      <c r="H93" t="s">
        <v>89</v>
      </c>
      <c r="I93" t="s">
        <v>67</v>
      </c>
      <c r="J93" s="4" t="s">
        <v>51</v>
      </c>
      <c r="K93" t="s">
        <v>29</v>
      </c>
      <c r="L93" t="s">
        <v>30</v>
      </c>
      <c r="M93" t="s">
        <v>31</v>
      </c>
      <c r="N93" t="s">
        <v>32</v>
      </c>
      <c r="O93">
        <v>10</v>
      </c>
      <c r="P93">
        <v>6</v>
      </c>
      <c r="Q93" t="s">
        <v>33</v>
      </c>
      <c r="R93" t="s">
        <v>34</v>
      </c>
      <c r="S93" s="3">
        <v>7.57</v>
      </c>
      <c r="T93" t="s">
        <v>52</v>
      </c>
      <c r="U93" t="s">
        <v>53</v>
      </c>
    </row>
    <row r="94" spans="1:21" ht="27.6">
      <c r="A94" t="s">
        <v>386</v>
      </c>
      <c r="B94" t="s">
        <v>387</v>
      </c>
      <c r="C94" t="s">
        <v>388</v>
      </c>
      <c r="D94" s="2">
        <v>46036</v>
      </c>
      <c r="E94" t="s">
        <v>40</v>
      </c>
      <c r="F94" t="s">
        <v>73</v>
      </c>
      <c r="G94" s="3">
        <v>44.2</v>
      </c>
      <c r="H94" t="s">
        <v>49</v>
      </c>
      <c r="I94" t="s">
        <v>50</v>
      </c>
      <c r="J94" s="4" t="s">
        <v>389</v>
      </c>
      <c r="K94" t="s">
        <v>29</v>
      </c>
      <c r="L94" t="s">
        <v>60</v>
      </c>
      <c r="M94" t="s">
        <v>31</v>
      </c>
      <c r="N94" t="s">
        <v>84</v>
      </c>
      <c r="O94">
        <v>10</v>
      </c>
      <c r="P94">
        <v>11</v>
      </c>
      <c r="Q94" t="s">
        <v>29</v>
      </c>
      <c r="R94" t="s">
        <v>61</v>
      </c>
      <c r="S94" s="3">
        <v>0</v>
      </c>
      <c r="T94" t="s">
        <v>156</v>
      </c>
      <c r="U94" t="s">
        <v>63</v>
      </c>
    </row>
    <row r="95" spans="1:21" ht="27.6">
      <c r="A95" t="s">
        <v>390</v>
      </c>
      <c r="B95" t="s">
        <v>391</v>
      </c>
      <c r="C95" t="s">
        <v>392</v>
      </c>
      <c r="D95" s="2">
        <v>46138</v>
      </c>
      <c r="E95" t="s">
        <v>94</v>
      </c>
      <c r="F95" t="s">
        <v>48</v>
      </c>
      <c r="G95" s="3">
        <v>32.93</v>
      </c>
      <c r="H95" t="s">
        <v>41</v>
      </c>
      <c r="I95" t="s">
        <v>27</v>
      </c>
      <c r="J95" s="4" t="s">
        <v>51</v>
      </c>
      <c r="K95" t="s">
        <v>33</v>
      </c>
      <c r="L95" t="s">
        <v>30</v>
      </c>
      <c r="M95" t="s">
        <v>31</v>
      </c>
      <c r="N95" t="s">
        <v>32</v>
      </c>
      <c r="O95">
        <v>10</v>
      </c>
      <c r="P95">
        <v>6</v>
      </c>
      <c r="Q95" t="s">
        <v>33</v>
      </c>
      <c r="R95" t="s">
        <v>34</v>
      </c>
      <c r="S95" s="3">
        <v>16.46</v>
      </c>
      <c r="T95" t="s">
        <v>52</v>
      </c>
      <c r="U95" t="s">
        <v>36</v>
      </c>
    </row>
    <row r="96" spans="1:21" ht="27.6">
      <c r="A96" t="s">
        <v>393</v>
      </c>
      <c r="B96" t="s">
        <v>394</v>
      </c>
      <c r="C96" t="s">
        <v>395</v>
      </c>
      <c r="D96" s="2">
        <v>46096</v>
      </c>
      <c r="E96" t="s">
        <v>94</v>
      </c>
      <c r="F96" t="s">
        <v>82</v>
      </c>
      <c r="G96" s="3">
        <v>299.5</v>
      </c>
      <c r="H96" t="s">
        <v>108</v>
      </c>
      <c r="I96" t="s">
        <v>27</v>
      </c>
      <c r="J96" s="4" t="s">
        <v>396</v>
      </c>
      <c r="K96" t="s">
        <v>29</v>
      </c>
      <c r="L96" t="s">
        <v>30</v>
      </c>
      <c r="M96" t="s">
        <v>31</v>
      </c>
      <c r="N96" t="s">
        <v>32</v>
      </c>
      <c r="O96">
        <v>7</v>
      </c>
      <c r="P96">
        <v>8</v>
      </c>
      <c r="Q96" t="s">
        <v>29</v>
      </c>
      <c r="R96" t="s">
        <v>85</v>
      </c>
      <c r="S96" s="3">
        <v>0</v>
      </c>
      <c r="T96" t="s">
        <v>43</v>
      </c>
      <c r="U96" t="s">
        <v>63</v>
      </c>
    </row>
    <row r="97" spans="1:21" ht="27.6">
      <c r="A97" t="s">
        <v>397</v>
      </c>
      <c r="B97" t="s">
        <v>398</v>
      </c>
      <c r="C97" t="s">
        <v>399</v>
      </c>
      <c r="D97" s="2">
        <v>46096</v>
      </c>
      <c r="E97" t="s">
        <v>24</v>
      </c>
      <c r="F97" t="s">
        <v>25</v>
      </c>
      <c r="G97" s="3">
        <v>14.06</v>
      </c>
      <c r="H97" t="s">
        <v>89</v>
      </c>
      <c r="I97" t="s">
        <v>27</v>
      </c>
      <c r="J97" s="4" t="s">
        <v>400</v>
      </c>
      <c r="K97" t="s">
        <v>29</v>
      </c>
      <c r="L97" t="s">
        <v>30</v>
      </c>
      <c r="M97" t="s">
        <v>31</v>
      </c>
      <c r="N97" t="s">
        <v>32</v>
      </c>
      <c r="O97">
        <v>5</v>
      </c>
      <c r="P97">
        <v>6</v>
      </c>
      <c r="Q97" t="s">
        <v>29</v>
      </c>
      <c r="R97" t="s">
        <v>34</v>
      </c>
      <c r="S97" s="3">
        <v>14.06</v>
      </c>
      <c r="T97" t="s">
        <v>43</v>
      </c>
      <c r="U97" t="s">
        <v>63</v>
      </c>
    </row>
    <row r="98" spans="1:21" ht="27.6">
      <c r="A98" t="s">
        <v>401</v>
      </c>
      <c r="B98" t="s">
        <v>402</v>
      </c>
      <c r="C98" t="s">
        <v>403</v>
      </c>
      <c r="D98" s="2">
        <v>46132</v>
      </c>
      <c r="E98" t="s">
        <v>24</v>
      </c>
      <c r="F98" t="s">
        <v>82</v>
      </c>
      <c r="G98" s="3">
        <v>45.91</v>
      </c>
      <c r="H98" t="s">
        <v>58</v>
      </c>
      <c r="I98" t="s">
        <v>27</v>
      </c>
      <c r="J98" s="4" t="s">
        <v>114</v>
      </c>
      <c r="K98" t="s">
        <v>33</v>
      </c>
      <c r="L98" t="s">
        <v>30</v>
      </c>
      <c r="M98" t="s">
        <v>31</v>
      </c>
      <c r="N98" t="s">
        <v>126</v>
      </c>
      <c r="O98">
        <v>7</v>
      </c>
      <c r="P98">
        <v>12</v>
      </c>
      <c r="Q98" t="s">
        <v>29</v>
      </c>
      <c r="R98" t="s">
        <v>85</v>
      </c>
      <c r="S98" s="3">
        <v>0</v>
      </c>
      <c r="T98" t="s">
        <v>43</v>
      </c>
      <c r="U98" t="s">
        <v>63</v>
      </c>
    </row>
    <row r="99" spans="1:21" ht="27.6">
      <c r="A99" t="s">
        <v>404</v>
      </c>
      <c r="B99" t="s">
        <v>405</v>
      </c>
      <c r="C99" t="s">
        <v>406</v>
      </c>
      <c r="D99" s="2">
        <v>46034</v>
      </c>
      <c r="E99" t="s">
        <v>47</v>
      </c>
      <c r="F99" t="s">
        <v>48</v>
      </c>
      <c r="G99" s="3">
        <v>76.87</v>
      </c>
      <c r="H99" t="s">
        <v>58</v>
      </c>
      <c r="I99" t="s">
        <v>50</v>
      </c>
      <c r="J99" s="4" t="s">
        <v>68</v>
      </c>
      <c r="K99" t="s">
        <v>29</v>
      </c>
      <c r="L99" t="s">
        <v>30</v>
      </c>
      <c r="M99" t="s">
        <v>31</v>
      </c>
      <c r="N99" t="s">
        <v>32</v>
      </c>
      <c r="O99">
        <v>10</v>
      </c>
      <c r="P99">
        <v>4</v>
      </c>
      <c r="Q99" t="s">
        <v>33</v>
      </c>
      <c r="R99" t="s">
        <v>34</v>
      </c>
      <c r="S99" s="3">
        <v>38.44</v>
      </c>
      <c r="T99" t="s">
        <v>62</v>
      </c>
      <c r="U99" t="s">
        <v>36</v>
      </c>
    </row>
    <row r="100" spans="1:21" ht="27.6">
      <c r="A100" t="s">
        <v>407</v>
      </c>
      <c r="B100" t="s">
        <v>408</v>
      </c>
      <c r="C100" t="s">
        <v>409</v>
      </c>
      <c r="D100" s="2">
        <v>46141</v>
      </c>
      <c r="E100" t="s">
        <v>94</v>
      </c>
      <c r="F100" t="s">
        <v>82</v>
      </c>
      <c r="G100" s="3">
        <v>23.68</v>
      </c>
      <c r="H100" t="s">
        <v>58</v>
      </c>
      <c r="I100" t="s">
        <v>50</v>
      </c>
      <c r="J100" s="4" t="s">
        <v>410</v>
      </c>
      <c r="K100" t="s">
        <v>29</v>
      </c>
      <c r="L100" t="s">
        <v>30</v>
      </c>
      <c r="M100" t="s">
        <v>31</v>
      </c>
      <c r="N100" t="s">
        <v>90</v>
      </c>
      <c r="O100">
        <v>7</v>
      </c>
      <c r="P100">
        <v>7</v>
      </c>
      <c r="Q100" t="s">
        <v>33</v>
      </c>
      <c r="R100" t="s">
        <v>85</v>
      </c>
      <c r="S100" s="3">
        <v>0</v>
      </c>
      <c r="T100" t="s">
        <v>69</v>
      </c>
      <c r="U100" t="s">
        <v>36</v>
      </c>
    </row>
    <row r="101" spans="1:21" ht="27.6">
      <c r="A101" t="s">
        <v>411</v>
      </c>
      <c r="B101" t="s">
        <v>412</v>
      </c>
      <c r="C101" t="s">
        <v>413</v>
      </c>
      <c r="D101" s="2">
        <v>46087</v>
      </c>
      <c r="E101" t="s">
        <v>24</v>
      </c>
      <c r="F101" t="s">
        <v>172</v>
      </c>
      <c r="G101" s="3">
        <v>5</v>
      </c>
      <c r="H101" t="s">
        <v>26</v>
      </c>
      <c r="I101" t="s">
        <v>67</v>
      </c>
      <c r="J101" s="4" t="s">
        <v>285</v>
      </c>
      <c r="K101" t="s">
        <v>29</v>
      </c>
      <c r="L101" t="s">
        <v>30</v>
      </c>
      <c r="M101" t="s">
        <v>31</v>
      </c>
      <c r="N101" t="s">
        <v>90</v>
      </c>
      <c r="O101">
        <v>7</v>
      </c>
      <c r="P101">
        <v>13</v>
      </c>
      <c r="Q101" t="s">
        <v>29</v>
      </c>
      <c r="R101" t="s">
        <v>174</v>
      </c>
      <c r="S101" s="3">
        <v>0</v>
      </c>
      <c r="T101" t="s">
        <v>69</v>
      </c>
      <c r="U101" t="s">
        <v>63</v>
      </c>
    </row>
    <row r="102" spans="1:21" ht="27.6">
      <c r="A102" t="s">
        <v>414</v>
      </c>
      <c r="B102" t="s">
        <v>415</v>
      </c>
      <c r="C102" t="s">
        <v>416</v>
      </c>
      <c r="D102" s="2">
        <v>46109</v>
      </c>
      <c r="E102" t="s">
        <v>94</v>
      </c>
      <c r="F102" t="s">
        <v>82</v>
      </c>
      <c r="G102" s="3">
        <v>38.56</v>
      </c>
      <c r="H102" t="s">
        <v>89</v>
      </c>
      <c r="I102" t="s">
        <v>27</v>
      </c>
      <c r="J102" s="4" t="s">
        <v>417</v>
      </c>
      <c r="K102" t="s">
        <v>33</v>
      </c>
      <c r="L102" t="s">
        <v>30</v>
      </c>
      <c r="M102" t="s">
        <v>31</v>
      </c>
      <c r="N102" t="s">
        <v>126</v>
      </c>
      <c r="O102">
        <v>7</v>
      </c>
      <c r="P102">
        <v>9</v>
      </c>
      <c r="Q102" t="s">
        <v>29</v>
      </c>
      <c r="R102" t="s">
        <v>85</v>
      </c>
      <c r="S102" s="3">
        <v>0</v>
      </c>
      <c r="T102" t="s">
        <v>69</v>
      </c>
      <c r="U102" t="s">
        <v>63</v>
      </c>
    </row>
    <row r="103" spans="1:21" ht="27.6">
      <c r="A103" t="s">
        <v>418</v>
      </c>
      <c r="B103" t="s">
        <v>419</v>
      </c>
      <c r="C103" t="s">
        <v>420</v>
      </c>
      <c r="D103" s="2">
        <v>46043</v>
      </c>
      <c r="E103" t="s">
        <v>24</v>
      </c>
      <c r="F103" t="s">
        <v>118</v>
      </c>
      <c r="G103" s="3">
        <v>30.59</v>
      </c>
      <c r="H103" t="s">
        <v>74</v>
      </c>
      <c r="I103" t="s">
        <v>50</v>
      </c>
      <c r="J103" s="4" t="s">
        <v>119</v>
      </c>
      <c r="K103" t="s">
        <v>29</v>
      </c>
      <c r="L103" t="s">
        <v>120</v>
      </c>
      <c r="M103" t="s">
        <v>96</v>
      </c>
      <c r="N103" t="s">
        <v>32</v>
      </c>
      <c r="O103">
        <v>5</v>
      </c>
      <c r="P103">
        <v>4</v>
      </c>
      <c r="Q103" t="s">
        <v>33</v>
      </c>
      <c r="R103" t="s">
        <v>85</v>
      </c>
      <c r="S103" s="3">
        <v>30.59</v>
      </c>
      <c r="T103" t="s">
        <v>121</v>
      </c>
      <c r="U103" t="s">
        <v>36</v>
      </c>
    </row>
    <row r="104" spans="1:21" ht="27.6">
      <c r="A104" t="s">
        <v>421</v>
      </c>
      <c r="B104" t="s">
        <v>422</v>
      </c>
      <c r="C104" t="s">
        <v>423</v>
      </c>
      <c r="D104" s="2">
        <v>46037</v>
      </c>
      <c r="E104" t="s">
        <v>24</v>
      </c>
      <c r="F104" t="s">
        <v>172</v>
      </c>
      <c r="G104" s="3">
        <v>14.85</v>
      </c>
      <c r="H104" t="s">
        <v>58</v>
      </c>
      <c r="I104" t="s">
        <v>27</v>
      </c>
      <c r="J104" s="4" t="s">
        <v>285</v>
      </c>
      <c r="K104" t="s">
        <v>29</v>
      </c>
      <c r="L104" t="s">
        <v>30</v>
      </c>
      <c r="M104" t="s">
        <v>31</v>
      </c>
      <c r="N104" t="s">
        <v>32</v>
      </c>
      <c r="O104">
        <v>7</v>
      </c>
      <c r="P104">
        <v>6</v>
      </c>
      <c r="Q104" t="s">
        <v>33</v>
      </c>
      <c r="R104" t="s">
        <v>174</v>
      </c>
      <c r="S104" s="3">
        <v>14.85</v>
      </c>
      <c r="T104" t="s">
        <v>110</v>
      </c>
      <c r="U104" t="s">
        <v>36</v>
      </c>
    </row>
    <row r="105" spans="1:21" ht="27.6">
      <c r="A105" t="s">
        <v>424</v>
      </c>
      <c r="B105" t="s">
        <v>425</v>
      </c>
      <c r="C105" t="s">
        <v>426</v>
      </c>
      <c r="D105" s="2">
        <v>46031</v>
      </c>
      <c r="E105" t="s">
        <v>47</v>
      </c>
      <c r="F105" t="s">
        <v>103</v>
      </c>
      <c r="G105" s="3">
        <v>114.68</v>
      </c>
      <c r="H105" t="s">
        <v>49</v>
      </c>
      <c r="I105" t="s">
        <v>27</v>
      </c>
      <c r="J105" s="4" t="s">
        <v>134</v>
      </c>
      <c r="K105" t="s">
        <v>29</v>
      </c>
      <c r="L105" t="s">
        <v>30</v>
      </c>
      <c r="M105" t="s">
        <v>31</v>
      </c>
      <c r="N105" t="s">
        <v>32</v>
      </c>
      <c r="O105">
        <v>5</v>
      </c>
      <c r="P105">
        <v>3</v>
      </c>
      <c r="Q105" t="s">
        <v>33</v>
      </c>
      <c r="R105" t="s">
        <v>34</v>
      </c>
      <c r="S105" s="3">
        <v>0</v>
      </c>
      <c r="T105" t="s">
        <v>247</v>
      </c>
      <c r="U105" t="s">
        <v>53</v>
      </c>
    </row>
    <row r="106" spans="1:21" ht="27.6">
      <c r="A106" t="s">
        <v>427</v>
      </c>
      <c r="B106" t="s">
        <v>428</v>
      </c>
      <c r="C106" t="s">
        <v>429</v>
      </c>
      <c r="D106" s="2">
        <v>46070</v>
      </c>
      <c r="E106" t="s">
        <v>47</v>
      </c>
      <c r="F106" t="s">
        <v>82</v>
      </c>
      <c r="G106" s="3">
        <v>45.69</v>
      </c>
      <c r="H106" t="s">
        <v>41</v>
      </c>
      <c r="I106" t="s">
        <v>50</v>
      </c>
      <c r="J106" s="4" t="s">
        <v>114</v>
      </c>
      <c r="K106" t="s">
        <v>29</v>
      </c>
      <c r="L106" t="s">
        <v>30</v>
      </c>
      <c r="M106" t="s">
        <v>31</v>
      </c>
      <c r="N106" t="s">
        <v>32</v>
      </c>
      <c r="O106">
        <v>7</v>
      </c>
      <c r="P106">
        <v>4</v>
      </c>
      <c r="Q106" t="s">
        <v>33</v>
      </c>
      <c r="R106" t="s">
        <v>85</v>
      </c>
      <c r="S106" s="3">
        <v>22.84</v>
      </c>
      <c r="T106" t="s">
        <v>62</v>
      </c>
      <c r="U106" t="s">
        <v>36</v>
      </c>
    </row>
    <row r="107" spans="1:21" ht="27.6">
      <c r="A107" t="s">
        <v>430</v>
      </c>
      <c r="B107" t="s">
        <v>431</v>
      </c>
      <c r="C107" t="s">
        <v>432</v>
      </c>
      <c r="D107" s="2">
        <v>46104</v>
      </c>
      <c r="E107" t="s">
        <v>40</v>
      </c>
      <c r="F107" t="s">
        <v>103</v>
      </c>
      <c r="G107" s="3">
        <v>44.82</v>
      </c>
      <c r="H107" t="s">
        <v>41</v>
      </c>
      <c r="I107" t="s">
        <v>67</v>
      </c>
      <c r="J107" s="4" t="s">
        <v>134</v>
      </c>
      <c r="K107" t="s">
        <v>33</v>
      </c>
      <c r="L107" t="s">
        <v>30</v>
      </c>
      <c r="M107" t="s">
        <v>31</v>
      </c>
      <c r="N107" t="s">
        <v>126</v>
      </c>
      <c r="O107">
        <v>5</v>
      </c>
      <c r="P107">
        <v>12</v>
      </c>
      <c r="Q107" t="s">
        <v>29</v>
      </c>
      <c r="R107" t="s">
        <v>34</v>
      </c>
      <c r="S107" s="3">
        <v>0</v>
      </c>
      <c r="T107" t="s">
        <v>35</v>
      </c>
      <c r="U107" t="s">
        <v>63</v>
      </c>
    </row>
    <row r="108" spans="1:21" ht="27.6">
      <c r="A108" t="s">
        <v>433</v>
      </c>
      <c r="B108" t="s">
        <v>434</v>
      </c>
      <c r="C108" t="s">
        <v>435</v>
      </c>
      <c r="D108" s="2">
        <v>46058</v>
      </c>
      <c r="E108" t="s">
        <v>24</v>
      </c>
      <c r="F108" t="s">
        <v>82</v>
      </c>
      <c r="G108" s="3">
        <v>25.17</v>
      </c>
      <c r="H108" t="s">
        <v>108</v>
      </c>
      <c r="I108" t="s">
        <v>67</v>
      </c>
      <c r="J108" s="4" t="s">
        <v>436</v>
      </c>
      <c r="K108" t="s">
        <v>29</v>
      </c>
      <c r="L108" t="s">
        <v>30</v>
      </c>
      <c r="M108" t="s">
        <v>31</v>
      </c>
      <c r="N108" t="s">
        <v>32</v>
      </c>
      <c r="O108">
        <v>7</v>
      </c>
      <c r="P108">
        <v>6</v>
      </c>
      <c r="Q108" t="s">
        <v>33</v>
      </c>
      <c r="R108" t="s">
        <v>85</v>
      </c>
      <c r="S108" s="3">
        <v>0</v>
      </c>
      <c r="T108" t="s">
        <v>62</v>
      </c>
      <c r="U108" t="s">
        <v>36</v>
      </c>
    </row>
    <row r="109" spans="1:21" ht="27.6">
      <c r="A109" t="s">
        <v>437</v>
      </c>
      <c r="B109" t="s">
        <v>438</v>
      </c>
      <c r="C109" t="s">
        <v>439</v>
      </c>
      <c r="D109" s="2">
        <v>46170</v>
      </c>
      <c r="E109" t="s">
        <v>24</v>
      </c>
      <c r="F109" t="s">
        <v>48</v>
      </c>
      <c r="G109" s="3">
        <v>58.99</v>
      </c>
      <c r="H109" t="s">
        <v>58</v>
      </c>
      <c r="I109" t="s">
        <v>50</v>
      </c>
      <c r="J109" s="4" t="s">
        <v>51</v>
      </c>
      <c r="K109" t="s">
        <v>29</v>
      </c>
      <c r="L109" t="s">
        <v>30</v>
      </c>
      <c r="M109" t="s">
        <v>31</v>
      </c>
      <c r="N109" t="s">
        <v>32</v>
      </c>
      <c r="O109">
        <v>10</v>
      </c>
      <c r="P109">
        <v>5</v>
      </c>
      <c r="Q109" t="s">
        <v>33</v>
      </c>
      <c r="R109" t="s">
        <v>34</v>
      </c>
      <c r="S109" s="3">
        <v>29.5</v>
      </c>
      <c r="T109" t="s">
        <v>62</v>
      </c>
      <c r="U109" t="s">
        <v>36</v>
      </c>
    </row>
    <row r="110" spans="1:21" ht="27.6">
      <c r="A110" t="s">
        <v>440</v>
      </c>
      <c r="B110" t="s">
        <v>441</v>
      </c>
      <c r="C110" t="s">
        <v>442</v>
      </c>
      <c r="D110" s="2">
        <v>46062</v>
      </c>
      <c r="E110" t="s">
        <v>24</v>
      </c>
      <c r="F110" t="s">
        <v>25</v>
      </c>
      <c r="G110" s="3">
        <v>91.7</v>
      </c>
      <c r="H110" t="s">
        <v>89</v>
      </c>
      <c r="I110" t="s">
        <v>67</v>
      </c>
      <c r="J110" s="4" t="s">
        <v>443</v>
      </c>
      <c r="K110" t="s">
        <v>33</v>
      </c>
      <c r="L110" t="s">
        <v>30</v>
      </c>
      <c r="M110" t="s">
        <v>31</v>
      </c>
      <c r="N110" t="s">
        <v>32</v>
      </c>
      <c r="O110">
        <v>5</v>
      </c>
      <c r="P110">
        <v>11</v>
      </c>
      <c r="Q110" t="s">
        <v>29</v>
      </c>
      <c r="R110" t="s">
        <v>34</v>
      </c>
      <c r="S110" s="3">
        <v>0</v>
      </c>
      <c r="T110" t="s">
        <v>43</v>
      </c>
      <c r="U110" t="s">
        <v>63</v>
      </c>
    </row>
    <row r="111" spans="1:21" ht="27.6">
      <c r="A111" t="s">
        <v>444</v>
      </c>
      <c r="B111" t="s">
        <v>445</v>
      </c>
      <c r="C111" t="s">
        <v>446</v>
      </c>
      <c r="D111" s="2">
        <v>46066</v>
      </c>
      <c r="E111" t="s">
        <v>47</v>
      </c>
      <c r="F111" t="s">
        <v>172</v>
      </c>
      <c r="G111" s="3">
        <v>11.28</v>
      </c>
      <c r="H111" t="s">
        <v>89</v>
      </c>
      <c r="I111" t="s">
        <v>27</v>
      </c>
      <c r="J111" s="4" t="s">
        <v>173</v>
      </c>
      <c r="K111" t="s">
        <v>33</v>
      </c>
      <c r="L111" t="s">
        <v>30</v>
      </c>
      <c r="M111" t="s">
        <v>31</v>
      </c>
      <c r="N111" t="s">
        <v>84</v>
      </c>
      <c r="O111">
        <v>7</v>
      </c>
      <c r="P111">
        <v>18</v>
      </c>
      <c r="Q111" t="s">
        <v>29</v>
      </c>
      <c r="R111" t="s">
        <v>174</v>
      </c>
      <c r="S111" s="3">
        <v>0</v>
      </c>
      <c r="T111" t="s">
        <v>69</v>
      </c>
      <c r="U111" t="s">
        <v>63</v>
      </c>
    </row>
    <row r="112" spans="1:21" ht="27.6">
      <c r="A112" t="s">
        <v>447</v>
      </c>
      <c r="B112" t="s">
        <v>448</v>
      </c>
      <c r="C112" t="s">
        <v>449</v>
      </c>
      <c r="D112" s="2">
        <v>46170</v>
      </c>
      <c r="E112" t="s">
        <v>24</v>
      </c>
      <c r="F112" t="s">
        <v>118</v>
      </c>
      <c r="G112" s="3">
        <v>53.27</v>
      </c>
      <c r="H112" t="s">
        <v>26</v>
      </c>
      <c r="I112" t="s">
        <v>50</v>
      </c>
      <c r="J112" s="4" t="s">
        <v>119</v>
      </c>
      <c r="K112" t="s">
        <v>29</v>
      </c>
      <c r="L112" t="s">
        <v>120</v>
      </c>
      <c r="M112" t="s">
        <v>96</v>
      </c>
      <c r="N112" t="s">
        <v>32</v>
      </c>
      <c r="O112">
        <v>5</v>
      </c>
      <c r="P112">
        <v>1</v>
      </c>
      <c r="Q112" t="s">
        <v>33</v>
      </c>
      <c r="R112" t="s">
        <v>85</v>
      </c>
      <c r="S112" s="3">
        <v>53.27</v>
      </c>
      <c r="T112" t="s">
        <v>121</v>
      </c>
      <c r="U112" t="s">
        <v>36</v>
      </c>
    </row>
    <row r="113" spans="1:21" ht="27.6">
      <c r="A113" t="s">
        <v>450</v>
      </c>
      <c r="B113" t="s">
        <v>451</v>
      </c>
      <c r="C113" t="s">
        <v>452</v>
      </c>
      <c r="D113" s="2">
        <v>46038</v>
      </c>
      <c r="E113" t="s">
        <v>24</v>
      </c>
      <c r="F113" t="s">
        <v>82</v>
      </c>
      <c r="G113" s="3">
        <v>37.39</v>
      </c>
      <c r="H113" t="s">
        <v>74</v>
      </c>
      <c r="I113" t="s">
        <v>27</v>
      </c>
      <c r="J113" s="4" t="s">
        <v>453</v>
      </c>
      <c r="K113" t="s">
        <v>29</v>
      </c>
      <c r="L113" t="s">
        <v>30</v>
      </c>
      <c r="M113" t="s">
        <v>31</v>
      </c>
      <c r="N113" t="s">
        <v>90</v>
      </c>
      <c r="O113">
        <v>7</v>
      </c>
      <c r="P113">
        <v>13</v>
      </c>
      <c r="Q113" t="s">
        <v>29</v>
      </c>
      <c r="R113" t="s">
        <v>85</v>
      </c>
      <c r="S113" s="3">
        <v>0</v>
      </c>
      <c r="T113" t="s">
        <v>62</v>
      </c>
      <c r="U113" t="s">
        <v>63</v>
      </c>
    </row>
    <row r="114" spans="1:21" ht="27.6">
      <c r="A114" t="s">
        <v>454</v>
      </c>
      <c r="B114" t="s">
        <v>455</v>
      </c>
      <c r="C114" t="s">
        <v>456</v>
      </c>
      <c r="D114" s="2">
        <v>46117</v>
      </c>
      <c r="E114" t="s">
        <v>47</v>
      </c>
      <c r="F114" t="s">
        <v>25</v>
      </c>
      <c r="G114" s="3">
        <v>26.33</v>
      </c>
      <c r="H114" t="s">
        <v>108</v>
      </c>
      <c r="I114" t="s">
        <v>27</v>
      </c>
      <c r="J114" s="4" t="s">
        <v>457</v>
      </c>
      <c r="K114" t="s">
        <v>29</v>
      </c>
      <c r="L114" t="s">
        <v>30</v>
      </c>
      <c r="M114" t="s">
        <v>31</v>
      </c>
      <c r="N114" t="s">
        <v>32</v>
      </c>
      <c r="O114">
        <v>5</v>
      </c>
      <c r="P114">
        <v>11</v>
      </c>
      <c r="Q114" t="s">
        <v>29</v>
      </c>
      <c r="R114" t="s">
        <v>34</v>
      </c>
      <c r="S114" s="3">
        <v>0</v>
      </c>
      <c r="T114" t="s">
        <v>43</v>
      </c>
      <c r="U114" t="s">
        <v>63</v>
      </c>
    </row>
    <row r="115" spans="1:21" ht="27.6">
      <c r="A115" t="s">
        <v>458</v>
      </c>
      <c r="B115" t="s">
        <v>459</v>
      </c>
      <c r="C115" t="s">
        <v>460</v>
      </c>
      <c r="D115" s="2">
        <v>46103</v>
      </c>
      <c r="E115" t="s">
        <v>24</v>
      </c>
      <c r="F115" t="s">
        <v>25</v>
      </c>
      <c r="G115" s="3">
        <v>121.48</v>
      </c>
      <c r="H115" t="s">
        <v>26</v>
      </c>
      <c r="I115" t="s">
        <v>67</v>
      </c>
      <c r="J115" s="4" t="s">
        <v>42</v>
      </c>
      <c r="K115" t="s">
        <v>29</v>
      </c>
      <c r="L115" t="s">
        <v>30</v>
      </c>
      <c r="M115" t="s">
        <v>31</v>
      </c>
      <c r="N115" t="s">
        <v>32</v>
      </c>
      <c r="O115">
        <v>5</v>
      </c>
      <c r="P115">
        <v>3</v>
      </c>
      <c r="Q115" t="s">
        <v>33</v>
      </c>
      <c r="R115" t="s">
        <v>34</v>
      </c>
      <c r="S115" s="3">
        <v>60.74</v>
      </c>
      <c r="T115" t="s">
        <v>110</v>
      </c>
      <c r="U115" t="s">
        <v>36</v>
      </c>
    </row>
    <row r="116" spans="1:21" ht="27.6">
      <c r="A116" t="s">
        <v>461</v>
      </c>
      <c r="B116" t="s">
        <v>462</v>
      </c>
      <c r="C116" t="s">
        <v>463</v>
      </c>
      <c r="D116" s="2">
        <v>46160</v>
      </c>
      <c r="E116" t="s">
        <v>24</v>
      </c>
      <c r="F116" t="s">
        <v>25</v>
      </c>
      <c r="G116" s="3">
        <v>19.579999999999998</v>
      </c>
      <c r="H116" t="s">
        <v>41</v>
      </c>
      <c r="I116" t="s">
        <v>50</v>
      </c>
      <c r="J116" s="4" t="s">
        <v>42</v>
      </c>
      <c r="K116" t="s">
        <v>29</v>
      </c>
      <c r="L116" t="s">
        <v>30</v>
      </c>
      <c r="M116" t="s">
        <v>96</v>
      </c>
      <c r="N116" t="s">
        <v>32</v>
      </c>
      <c r="O116">
        <v>5</v>
      </c>
      <c r="P116">
        <v>9</v>
      </c>
      <c r="Q116" t="s">
        <v>29</v>
      </c>
      <c r="R116" t="s">
        <v>34</v>
      </c>
      <c r="S116" s="3">
        <v>19.579999999999998</v>
      </c>
      <c r="T116" t="s">
        <v>43</v>
      </c>
      <c r="U116" t="s">
        <v>63</v>
      </c>
    </row>
    <row r="117" spans="1:21" ht="27.6">
      <c r="A117" t="s">
        <v>464</v>
      </c>
      <c r="B117" t="s">
        <v>465</v>
      </c>
      <c r="C117" t="s">
        <v>466</v>
      </c>
      <c r="D117" s="2">
        <v>46152</v>
      </c>
      <c r="E117" t="s">
        <v>47</v>
      </c>
      <c r="F117" t="s">
        <v>172</v>
      </c>
      <c r="G117" s="3">
        <v>142.46</v>
      </c>
      <c r="H117" t="s">
        <v>89</v>
      </c>
      <c r="I117" t="s">
        <v>27</v>
      </c>
      <c r="J117" s="4" t="s">
        <v>285</v>
      </c>
      <c r="K117" t="s">
        <v>33</v>
      </c>
      <c r="L117" t="s">
        <v>30</v>
      </c>
      <c r="M117" t="s">
        <v>31</v>
      </c>
      <c r="N117" t="s">
        <v>32</v>
      </c>
      <c r="O117">
        <v>7</v>
      </c>
      <c r="P117">
        <v>12</v>
      </c>
      <c r="Q117" t="s">
        <v>29</v>
      </c>
      <c r="R117" t="s">
        <v>174</v>
      </c>
      <c r="S117" s="3">
        <v>0</v>
      </c>
      <c r="T117" t="s">
        <v>286</v>
      </c>
      <c r="U117" t="s">
        <v>63</v>
      </c>
    </row>
    <row r="118" spans="1:21" ht="27.6">
      <c r="A118" t="s">
        <v>467</v>
      </c>
      <c r="B118" t="s">
        <v>468</v>
      </c>
      <c r="C118" t="s">
        <v>469</v>
      </c>
      <c r="D118" s="2">
        <v>46153</v>
      </c>
      <c r="E118" t="s">
        <v>24</v>
      </c>
      <c r="F118" t="s">
        <v>25</v>
      </c>
      <c r="G118" s="3">
        <v>101.71</v>
      </c>
      <c r="H118" t="s">
        <v>74</v>
      </c>
      <c r="I118" t="s">
        <v>50</v>
      </c>
      <c r="J118" s="4" t="s">
        <v>42</v>
      </c>
      <c r="K118" t="s">
        <v>29</v>
      </c>
      <c r="L118" t="s">
        <v>30</v>
      </c>
      <c r="M118" t="s">
        <v>96</v>
      </c>
      <c r="N118" t="s">
        <v>32</v>
      </c>
      <c r="O118">
        <v>5</v>
      </c>
      <c r="P118">
        <v>8</v>
      </c>
      <c r="Q118" t="s">
        <v>29</v>
      </c>
      <c r="R118" t="s">
        <v>34</v>
      </c>
      <c r="S118" s="3">
        <v>101.71</v>
      </c>
      <c r="T118" t="s">
        <v>43</v>
      </c>
      <c r="U118" t="s">
        <v>63</v>
      </c>
    </row>
    <row r="119" spans="1:21" ht="27.6">
      <c r="A119" t="s">
        <v>470</v>
      </c>
      <c r="B119" t="s">
        <v>471</v>
      </c>
      <c r="C119" t="s">
        <v>472</v>
      </c>
      <c r="D119" s="2">
        <v>46153</v>
      </c>
      <c r="E119" t="s">
        <v>47</v>
      </c>
      <c r="F119" t="s">
        <v>103</v>
      </c>
      <c r="G119" s="3">
        <v>8.2899999999999991</v>
      </c>
      <c r="H119" t="s">
        <v>41</v>
      </c>
      <c r="I119" t="s">
        <v>27</v>
      </c>
      <c r="J119" s="4" t="s">
        <v>104</v>
      </c>
      <c r="K119" t="s">
        <v>29</v>
      </c>
      <c r="L119" t="s">
        <v>30</v>
      </c>
      <c r="M119" t="s">
        <v>31</v>
      </c>
      <c r="N119" t="s">
        <v>32</v>
      </c>
      <c r="O119">
        <v>5</v>
      </c>
      <c r="P119">
        <v>4</v>
      </c>
      <c r="Q119" t="s">
        <v>33</v>
      </c>
      <c r="R119" t="s">
        <v>34</v>
      </c>
      <c r="S119" s="3">
        <v>0</v>
      </c>
      <c r="T119" t="s">
        <v>247</v>
      </c>
      <c r="U119" t="s">
        <v>53</v>
      </c>
    </row>
    <row r="120" spans="1:21" ht="27.6">
      <c r="A120" t="s">
        <v>473</v>
      </c>
      <c r="B120" t="s">
        <v>474</v>
      </c>
      <c r="C120" t="s">
        <v>475</v>
      </c>
      <c r="D120" s="2">
        <v>46171</v>
      </c>
      <c r="E120" t="s">
        <v>47</v>
      </c>
      <c r="F120" t="s">
        <v>103</v>
      </c>
      <c r="G120" s="3">
        <v>46.84</v>
      </c>
      <c r="H120" t="s">
        <v>58</v>
      </c>
      <c r="I120" t="s">
        <v>50</v>
      </c>
      <c r="J120" s="4" t="s">
        <v>134</v>
      </c>
      <c r="K120" t="s">
        <v>33</v>
      </c>
      <c r="L120" t="s">
        <v>30</v>
      </c>
      <c r="M120" t="s">
        <v>31</v>
      </c>
      <c r="N120" t="s">
        <v>32</v>
      </c>
      <c r="O120">
        <v>5</v>
      </c>
      <c r="P120">
        <v>11</v>
      </c>
      <c r="Q120" t="s">
        <v>29</v>
      </c>
      <c r="R120" t="s">
        <v>34</v>
      </c>
      <c r="S120" s="3">
        <v>0</v>
      </c>
      <c r="T120" t="s">
        <v>247</v>
      </c>
      <c r="U120" t="s">
        <v>63</v>
      </c>
    </row>
    <row r="121" spans="1:21" ht="27.6">
      <c r="A121" t="s">
        <v>476</v>
      </c>
      <c r="B121" t="s">
        <v>477</v>
      </c>
      <c r="C121" t="s">
        <v>478</v>
      </c>
      <c r="D121" s="2">
        <v>46135</v>
      </c>
      <c r="E121" t="s">
        <v>24</v>
      </c>
      <c r="F121" t="s">
        <v>25</v>
      </c>
      <c r="G121" s="3">
        <v>64.790000000000006</v>
      </c>
      <c r="H121" t="s">
        <v>49</v>
      </c>
      <c r="I121" t="s">
        <v>50</v>
      </c>
      <c r="J121" s="4" t="s">
        <v>479</v>
      </c>
      <c r="K121" t="s">
        <v>29</v>
      </c>
      <c r="L121" t="s">
        <v>30</v>
      </c>
      <c r="M121" t="s">
        <v>96</v>
      </c>
      <c r="N121" t="s">
        <v>32</v>
      </c>
      <c r="O121">
        <v>5</v>
      </c>
      <c r="P121">
        <v>9</v>
      </c>
      <c r="Q121" t="s">
        <v>29</v>
      </c>
      <c r="R121" t="s">
        <v>34</v>
      </c>
      <c r="S121" s="3">
        <v>64.790000000000006</v>
      </c>
      <c r="T121" t="s">
        <v>35</v>
      </c>
      <c r="U121" t="s">
        <v>63</v>
      </c>
    </row>
    <row r="122" spans="1:21" ht="27.6">
      <c r="A122" t="s">
        <v>480</v>
      </c>
      <c r="B122" t="s">
        <v>481</v>
      </c>
      <c r="C122" t="s">
        <v>482</v>
      </c>
      <c r="D122" s="2">
        <v>46166</v>
      </c>
      <c r="E122" t="s">
        <v>24</v>
      </c>
      <c r="F122" t="s">
        <v>172</v>
      </c>
      <c r="G122" s="3">
        <v>42.7</v>
      </c>
      <c r="H122" t="s">
        <v>74</v>
      </c>
      <c r="I122" t="s">
        <v>27</v>
      </c>
      <c r="J122" s="4" t="s">
        <v>285</v>
      </c>
      <c r="K122" t="s">
        <v>29</v>
      </c>
      <c r="L122" t="s">
        <v>30</v>
      </c>
      <c r="M122" t="s">
        <v>31</v>
      </c>
      <c r="N122" t="s">
        <v>32</v>
      </c>
      <c r="O122">
        <v>7</v>
      </c>
      <c r="P122">
        <v>4</v>
      </c>
      <c r="Q122" t="s">
        <v>33</v>
      </c>
      <c r="R122" t="s">
        <v>174</v>
      </c>
      <c r="S122" s="3">
        <v>0</v>
      </c>
      <c r="T122" t="s">
        <v>110</v>
      </c>
      <c r="U122" t="s">
        <v>36</v>
      </c>
    </row>
    <row r="123" spans="1:21" ht="27.6">
      <c r="A123" t="s">
        <v>483</v>
      </c>
      <c r="B123" t="s">
        <v>484</v>
      </c>
      <c r="C123" t="s">
        <v>485</v>
      </c>
      <c r="D123" s="2">
        <v>46094</v>
      </c>
      <c r="E123" t="s">
        <v>47</v>
      </c>
      <c r="F123" t="s">
        <v>118</v>
      </c>
      <c r="G123" s="3">
        <v>107.96</v>
      </c>
      <c r="H123" t="s">
        <v>41</v>
      </c>
      <c r="I123" t="s">
        <v>50</v>
      </c>
      <c r="J123" s="4" t="s">
        <v>119</v>
      </c>
      <c r="K123" t="s">
        <v>29</v>
      </c>
      <c r="L123" t="s">
        <v>120</v>
      </c>
      <c r="M123" t="s">
        <v>96</v>
      </c>
      <c r="N123" t="s">
        <v>32</v>
      </c>
      <c r="O123">
        <v>5</v>
      </c>
      <c r="P123">
        <v>7</v>
      </c>
      <c r="Q123" t="s">
        <v>29</v>
      </c>
      <c r="R123" t="s">
        <v>85</v>
      </c>
      <c r="S123" s="3">
        <v>107.96</v>
      </c>
      <c r="T123" t="s">
        <v>121</v>
      </c>
      <c r="U123" t="s">
        <v>63</v>
      </c>
    </row>
    <row r="124" spans="1:21" ht="27.6">
      <c r="A124" t="s">
        <v>486</v>
      </c>
      <c r="B124" t="s">
        <v>487</v>
      </c>
      <c r="C124" t="s">
        <v>488</v>
      </c>
      <c r="D124" s="2">
        <v>46093</v>
      </c>
      <c r="E124" t="s">
        <v>24</v>
      </c>
      <c r="F124" t="s">
        <v>172</v>
      </c>
      <c r="G124" s="3">
        <v>74.010000000000005</v>
      </c>
      <c r="H124" t="s">
        <v>108</v>
      </c>
      <c r="I124" t="s">
        <v>67</v>
      </c>
      <c r="J124" s="4" t="s">
        <v>285</v>
      </c>
      <c r="K124" t="s">
        <v>33</v>
      </c>
      <c r="L124" t="s">
        <v>30</v>
      </c>
      <c r="M124" t="s">
        <v>31</v>
      </c>
      <c r="N124" t="s">
        <v>32</v>
      </c>
      <c r="O124">
        <v>7</v>
      </c>
      <c r="P124">
        <v>10</v>
      </c>
      <c r="Q124" t="s">
        <v>29</v>
      </c>
      <c r="R124" t="s">
        <v>174</v>
      </c>
      <c r="S124" s="3">
        <v>55.51</v>
      </c>
      <c r="T124" t="s">
        <v>69</v>
      </c>
      <c r="U124" t="s">
        <v>63</v>
      </c>
    </row>
    <row r="125" spans="1:21" ht="27.6">
      <c r="A125" t="s">
        <v>489</v>
      </c>
      <c r="B125" t="s">
        <v>490</v>
      </c>
      <c r="C125" t="s">
        <v>491</v>
      </c>
      <c r="D125" s="2">
        <v>46074</v>
      </c>
      <c r="E125" t="s">
        <v>40</v>
      </c>
      <c r="F125" t="s">
        <v>118</v>
      </c>
      <c r="G125" s="3">
        <v>45.79</v>
      </c>
      <c r="H125" t="s">
        <v>26</v>
      </c>
      <c r="I125" t="s">
        <v>50</v>
      </c>
      <c r="J125" s="4" t="s">
        <v>492</v>
      </c>
      <c r="K125" t="s">
        <v>29</v>
      </c>
      <c r="L125" t="s">
        <v>120</v>
      </c>
      <c r="M125" t="s">
        <v>96</v>
      </c>
      <c r="N125" t="s">
        <v>32</v>
      </c>
      <c r="O125">
        <v>5</v>
      </c>
      <c r="P125">
        <v>5</v>
      </c>
      <c r="Q125" t="s">
        <v>33</v>
      </c>
      <c r="R125" t="s">
        <v>85</v>
      </c>
      <c r="S125" s="3">
        <v>45.79</v>
      </c>
      <c r="T125" t="s">
        <v>121</v>
      </c>
      <c r="U125" t="s">
        <v>53</v>
      </c>
    </row>
    <row r="126" spans="1:21" ht="27.6">
      <c r="A126" t="s">
        <v>493</v>
      </c>
      <c r="B126" t="s">
        <v>494</v>
      </c>
      <c r="C126" t="s">
        <v>495</v>
      </c>
      <c r="D126" s="2">
        <v>46128</v>
      </c>
      <c r="E126" t="s">
        <v>24</v>
      </c>
      <c r="F126" t="s">
        <v>82</v>
      </c>
      <c r="G126" s="3">
        <v>54.94</v>
      </c>
      <c r="H126" t="s">
        <v>89</v>
      </c>
      <c r="I126" t="s">
        <v>67</v>
      </c>
      <c r="J126" s="4" t="s">
        <v>496</v>
      </c>
      <c r="K126" t="s">
        <v>29</v>
      </c>
      <c r="L126" t="s">
        <v>30</v>
      </c>
      <c r="M126" t="s">
        <v>31</v>
      </c>
      <c r="N126" t="s">
        <v>32</v>
      </c>
      <c r="O126">
        <v>7</v>
      </c>
      <c r="P126">
        <v>11</v>
      </c>
      <c r="Q126" t="s">
        <v>29</v>
      </c>
      <c r="R126" t="s">
        <v>85</v>
      </c>
      <c r="S126" s="3">
        <v>41.2</v>
      </c>
      <c r="T126" t="s">
        <v>62</v>
      </c>
      <c r="U126" t="s">
        <v>63</v>
      </c>
    </row>
    <row r="127" spans="1:21" ht="27.6">
      <c r="A127" t="s">
        <v>497</v>
      </c>
      <c r="B127" t="s">
        <v>498</v>
      </c>
      <c r="C127" t="s">
        <v>499</v>
      </c>
      <c r="D127" s="2">
        <v>46038</v>
      </c>
      <c r="E127" t="s">
        <v>94</v>
      </c>
      <c r="F127" t="s">
        <v>25</v>
      </c>
      <c r="G127" s="3">
        <v>51.04</v>
      </c>
      <c r="H127" t="s">
        <v>58</v>
      </c>
      <c r="I127" t="s">
        <v>67</v>
      </c>
      <c r="J127" s="4" t="s">
        <v>42</v>
      </c>
      <c r="K127" t="s">
        <v>29</v>
      </c>
      <c r="L127" t="s">
        <v>30</v>
      </c>
      <c r="M127" t="s">
        <v>31</v>
      </c>
      <c r="N127" t="s">
        <v>32</v>
      </c>
      <c r="O127">
        <v>5</v>
      </c>
      <c r="P127">
        <v>3</v>
      </c>
      <c r="Q127" t="s">
        <v>33</v>
      </c>
      <c r="R127" t="s">
        <v>34</v>
      </c>
      <c r="S127" s="3">
        <v>0</v>
      </c>
      <c r="T127" t="s">
        <v>110</v>
      </c>
      <c r="U127" t="s">
        <v>53</v>
      </c>
    </row>
    <row r="128" spans="1:21" ht="27.6">
      <c r="A128" t="s">
        <v>500</v>
      </c>
      <c r="B128" t="s">
        <v>501</v>
      </c>
      <c r="C128" t="s">
        <v>502</v>
      </c>
      <c r="D128" s="2">
        <v>46097</v>
      </c>
      <c r="E128" t="s">
        <v>94</v>
      </c>
      <c r="F128" t="s">
        <v>25</v>
      </c>
      <c r="G128" s="3">
        <v>45.2</v>
      </c>
      <c r="H128" t="s">
        <v>41</v>
      </c>
      <c r="I128" t="s">
        <v>27</v>
      </c>
      <c r="J128" s="4" t="s">
        <v>503</v>
      </c>
      <c r="K128" t="s">
        <v>33</v>
      </c>
      <c r="L128" t="s">
        <v>30</v>
      </c>
      <c r="M128" t="s">
        <v>31</v>
      </c>
      <c r="N128" t="s">
        <v>32</v>
      </c>
      <c r="O128">
        <v>5</v>
      </c>
      <c r="P128">
        <v>2</v>
      </c>
      <c r="Q128" t="s">
        <v>33</v>
      </c>
      <c r="R128" t="s">
        <v>34</v>
      </c>
      <c r="S128" s="3">
        <v>33.9</v>
      </c>
      <c r="T128" t="s">
        <v>35</v>
      </c>
      <c r="U128" t="s">
        <v>53</v>
      </c>
    </row>
    <row r="129" spans="1:21" ht="27.6">
      <c r="A129" t="s">
        <v>504</v>
      </c>
      <c r="B129" t="s">
        <v>505</v>
      </c>
      <c r="C129" t="s">
        <v>506</v>
      </c>
      <c r="D129" s="2">
        <v>46140</v>
      </c>
      <c r="E129" t="s">
        <v>40</v>
      </c>
      <c r="F129" t="s">
        <v>103</v>
      </c>
      <c r="G129" s="3">
        <v>13.89</v>
      </c>
      <c r="H129" t="s">
        <v>41</v>
      </c>
      <c r="I129" t="s">
        <v>50</v>
      </c>
      <c r="J129" s="4" t="s">
        <v>104</v>
      </c>
      <c r="K129" t="s">
        <v>33</v>
      </c>
      <c r="L129" t="s">
        <v>30</v>
      </c>
      <c r="M129" t="s">
        <v>31</v>
      </c>
      <c r="N129" t="s">
        <v>32</v>
      </c>
      <c r="O129">
        <v>5</v>
      </c>
      <c r="P129">
        <v>8</v>
      </c>
      <c r="Q129" t="s">
        <v>29</v>
      </c>
      <c r="R129" t="s">
        <v>34</v>
      </c>
      <c r="S129" s="3">
        <v>0</v>
      </c>
      <c r="T129" t="s">
        <v>35</v>
      </c>
      <c r="U129" t="s">
        <v>63</v>
      </c>
    </row>
    <row r="130" spans="1:21" ht="27.6">
      <c r="A130" t="s">
        <v>507</v>
      </c>
      <c r="B130" t="s">
        <v>508</v>
      </c>
      <c r="C130" t="s">
        <v>509</v>
      </c>
      <c r="D130" s="2">
        <v>46106</v>
      </c>
      <c r="E130" t="s">
        <v>24</v>
      </c>
      <c r="F130" t="s">
        <v>172</v>
      </c>
      <c r="G130" s="3">
        <v>23.69</v>
      </c>
      <c r="H130" t="s">
        <v>41</v>
      </c>
      <c r="I130" t="s">
        <v>67</v>
      </c>
      <c r="J130" s="4" t="s">
        <v>173</v>
      </c>
      <c r="K130" t="s">
        <v>29</v>
      </c>
      <c r="L130" t="s">
        <v>30</v>
      </c>
      <c r="M130" t="s">
        <v>31</v>
      </c>
      <c r="N130" t="s">
        <v>90</v>
      </c>
      <c r="O130">
        <v>7</v>
      </c>
      <c r="P130">
        <v>8</v>
      </c>
      <c r="Q130" t="s">
        <v>29</v>
      </c>
      <c r="R130" t="s">
        <v>174</v>
      </c>
      <c r="S130" s="3">
        <v>0</v>
      </c>
      <c r="T130" t="s">
        <v>286</v>
      </c>
      <c r="U130" t="s">
        <v>63</v>
      </c>
    </row>
    <row r="131" spans="1:21" ht="27.6">
      <c r="A131" t="s">
        <v>510</v>
      </c>
      <c r="B131" t="s">
        <v>511</v>
      </c>
      <c r="C131" t="s">
        <v>512</v>
      </c>
      <c r="D131" s="2">
        <v>46115</v>
      </c>
      <c r="E131" t="s">
        <v>40</v>
      </c>
      <c r="F131" t="s">
        <v>25</v>
      </c>
      <c r="G131" s="3">
        <v>18.12</v>
      </c>
      <c r="H131" t="s">
        <v>108</v>
      </c>
      <c r="I131" t="s">
        <v>50</v>
      </c>
      <c r="J131" s="4" t="s">
        <v>42</v>
      </c>
      <c r="K131" t="s">
        <v>33</v>
      </c>
      <c r="L131" t="s">
        <v>30</v>
      </c>
      <c r="M131" t="s">
        <v>31</v>
      </c>
      <c r="N131" t="s">
        <v>32</v>
      </c>
      <c r="O131">
        <v>5</v>
      </c>
      <c r="P131">
        <v>14</v>
      </c>
      <c r="Q131" t="s">
        <v>29</v>
      </c>
      <c r="R131" t="s">
        <v>34</v>
      </c>
      <c r="S131" s="3">
        <v>0</v>
      </c>
      <c r="T131" t="s">
        <v>35</v>
      </c>
      <c r="U131" t="s">
        <v>63</v>
      </c>
    </row>
    <row r="132" spans="1:21" ht="27.6">
      <c r="A132" t="s">
        <v>513</v>
      </c>
      <c r="B132" t="s">
        <v>514</v>
      </c>
      <c r="C132" t="s">
        <v>515</v>
      </c>
      <c r="D132" s="2">
        <v>46079</v>
      </c>
      <c r="E132" t="s">
        <v>24</v>
      </c>
      <c r="F132" t="s">
        <v>25</v>
      </c>
      <c r="G132" s="3">
        <v>52.67</v>
      </c>
      <c r="H132" t="s">
        <v>89</v>
      </c>
      <c r="I132" t="s">
        <v>67</v>
      </c>
      <c r="J132" s="4" t="s">
        <v>516</v>
      </c>
      <c r="K132" t="s">
        <v>33</v>
      </c>
      <c r="L132" t="s">
        <v>30</v>
      </c>
      <c r="M132" t="s">
        <v>31</v>
      </c>
      <c r="N132" t="s">
        <v>32</v>
      </c>
      <c r="O132">
        <v>5</v>
      </c>
      <c r="P132">
        <v>11</v>
      </c>
      <c r="Q132" t="s">
        <v>29</v>
      </c>
      <c r="R132" t="s">
        <v>34</v>
      </c>
      <c r="S132" s="3">
        <v>0</v>
      </c>
      <c r="T132" t="s">
        <v>35</v>
      </c>
      <c r="U132" t="s">
        <v>63</v>
      </c>
    </row>
    <row r="133" spans="1:21" ht="27.6">
      <c r="A133" t="s">
        <v>517</v>
      </c>
      <c r="B133" t="s">
        <v>518</v>
      </c>
      <c r="C133" t="s">
        <v>519</v>
      </c>
      <c r="D133" s="2">
        <v>46158</v>
      </c>
      <c r="E133" t="s">
        <v>40</v>
      </c>
      <c r="F133" t="s">
        <v>25</v>
      </c>
      <c r="G133" s="3">
        <v>44.69</v>
      </c>
      <c r="H133" t="s">
        <v>89</v>
      </c>
      <c r="I133" t="s">
        <v>67</v>
      </c>
      <c r="J133" s="4" t="s">
        <v>520</v>
      </c>
      <c r="K133" t="s">
        <v>29</v>
      </c>
      <c r="L133" t="s">
        <v>30</v>
      </c>
      <c r="M133" t="s">
        <v>31</v>
      </c>
      <c r="N133" t="s">
        <v>32</v>
      </c>
      <c r="O133">
        <v>5</v>
      </c>
      <c r="P133">
        <v>1</v>
      </c>
      <c r="Q133" t="s">
        <v>33</v>
      </c>
      <c r="R133" t="s">
        <v>34</v>
      </c>
      <c r="S133" s="3">
        <v>44.69</v>
      </c>
      <c r="T133" t="s">
        <v>35</v>
      </c>
      <c r="U133" t="s">
        <v>36</v>
      </c>
    </row>
    <row r="134" spans="1:21" ht="27.6">
      <c r="A134" t="s">
        <v>521</v>
      </c>
      <c r="B134" t="s">
        <v>522</v>
      </c>
      <c r="C134" t="s">
        <v>523</v>
      </c>
      <c r="D134" s="2">
        <v>46172</v>
      </c>
      <c r="E134" t="s">
        <v>47</v>
      </c>
      <c r="F134" t="s">
        <v>73</v>
      </c>
      <c r="G134" s="3">
        <v>37.18</v>
      </c>
      <c r="H134" t="s">
        <v>74</v>
      </c>
      <c r="I134" t="s">
        <v>50</v>
      </c>
      <c r="J134" s="4" t="s">
        <v>75</v>
      </c>
      <c r="K134" t="s">
        <v>29</v>
      </c>
      <c r="L134" t="s">
        <v>60</v>
      </c>
      <c r="M134" t="s">
        <v>31</v>
      </c>
      <c r="N134" t="s">
        <v>32</v>
      </c>
      <c r="O134">
        <v>10</v>
      </c>
      <c r="P134">
        <v>6</v>
      </c>
      <c r="Q134" t="s">
        <v>33</v>
      </c>
      <c r="R134" t="s">
        <v>61</v>
      </c>
      <c r="S134" s="3">
        <v>27.88</v>
      </c>
      <c r="T134" t="s">
        <v>156</v>
      </c>
      <c r="U134" t="s">
        <v>63</v>
      </c>
    </row>
    <row r="135" spans="1:21" ht="27.6">
      <c r="A135" t="s">
        <v>524</v>
      </c>
      <c r="B135" t="s">
        <v>525</v>
      </c>
      <c r="C135" t="s">
        <v>526</v>
      </c>
      <c r="D135" s="2">
        <v>46041</v>
      </c>
      <c r="E135" t="s">
        <v>24</v>
      </c>
      <c r="F135" t="s">
        <v>82</v>
      </c>
      <c r="G135" s="3">
        <v>22.76</v>
      </c>
      <c r="H135" t="s">
        <v>49</v>
      </c>
      <c r="I135" t="s">
        <v>50</v>
      </c>
      <c r="J135" s="4" t="s">
        <v>527</v>
      </c>
      <c r="K135" t="s">
        <v>33</v>
      </c>
      <c r="L135" t="s">
        <v>30</v>
      </c>
      <c r="M135" t="s">
        <v>31</v>
      </c>
      <c r="N135" t="s">
        <v>32</v>
      </c>
      <c r="O135">
        <v>7</v>
      </c>
      <c r="P135">
        <v>7</v>
      </c>
      <c r="Q135" t="s">
        <v>33</v>
      </c>
      <c r="R135" t="s">
        <v>85</v>
      </c>
      <c r="S135" s="3">
        <v>0</v>
      </c>
      <c r="T135" t="s">
        <v>69</v>
      </c>
      <c r="U135" t="s">
        <v>36</v>
      </c>
    </row>
    <row r="136" spans="1:21" ht="27.6">
      <c r="A136" t="s">
        <v>528</v>
      </c>
      <c r="B136" t="s">
        <v>529</v>
      </c>
      <c r="C136" t="s">
        <v>530</v>
      </c>
      <c r="D136" s="2">
        <v>46161</v>
      </c>
      <c r="E136" t="s">
        <v>24</v>
      </c>
      <c r="F136" t="s">
        <v>73</v>
      </c>
      <c r="G136" s="3">
        <v>33.83</v>
      </c>
      <c r="H136" t="s">
        <v>74</v>
      </c>
      <c r="I136" t="s">
        <v>67</v>
      </c>
      <c r="J136" s="4" t="s">
        <v>75</v>
      </c>
      <c r="K136" t="s">
        <v>33</v>
      </c>
      <c r="L136" t="s">
        <v>60</v>
      </c>
      <c r="M136" t="s">
        <v>31</v>
      </c>
      <c r="N136" t="s">
        <v>32</v>
      </c>
      <c r="O136">
        <v>10</v>
      </c>
      <c r="P136">
        <v>9</v>
      </c>
      <c r="Q136" t="s">
        <v>33</v>
      </c>
      <c r="R136" t="s">
        <v>61</v>
      </c>
      <c r="S136" s="3">
        <v>16.91</v>
      </c>
      <c r="T136" t="s">
        <v>52</v>
      </c>
      <c r="U136" t="s">
        <v>63</v>
      </c>
    </row>
    <row r="137" spans="1:21" ht="27.6">
      <c r="A137" t="s">
        <v>531</v>
      </c>
      <c r="B137" t="s">
        <v>532</v>
      </c>
      <c r="C137" t="s">
        <v>533</v>
      </c>
      <c r="D137" s="2">
        <v>46062</v>
      </c>
      <c r="E137" t="s">
        <v>24</v>
      </c>
      <c r="F137" t="s">
        <v>48</v>
      </c>
      <c r="G137" s="3">
        <v>58.55</v>
      </c>
      <c r="H137" t="s">
        <v>49</v>
      </c>
      <c r="I137" t="s">
        <v>50</v>
      </c>
      <c r="J137" s="4" t="s">
        <v>68</v>
      </c>
      <c r="K137" t="s">
        <v>29</v>
      </c>
      <c r="L137" t="s">
        <v>30</v>
      </c>
      <c r="M137" t="s">
        <v>31</v>
      </c>
      <c r="N137" t="s">
        <v>32</v>
      </c>
      <c r="O137">
        <v>10</v>
      </c>
      <c r="P137">
        <v>7</v>
      </c>
      <c r="Q137" t="s">
        <v>33</v>
      </c>
      <c r="R137" t="s">
        <v>34</v>
      </c>
      <c r="S137" s="3">
        <v>58.55</v>
      </c>
      <c r="T137" t="s">
        <v>69</v>
      </c>
      <c r="U137" t="s">
        <v>53</v>
      </c>
    </row>
    <row r="138" spans="1:21" ht="27.6">
      <c r="A138" t="s">
        <v>534</v>
      </c>
      <c r="B138" t="s">
        <v>535</v>
      </c>
      <c r="C138" t="s">
        <v>536</v>
      </c>
      <c r="D138" s="2">
        <v>46034</v>
      </c>
      <c r="E138" t="s">
        <v>24</v>
      </c>
      <c r="F138" t="s">
        <v>118</v>
      </c>
      <c r="G138" s="3">
        <v>10.98</v>
      </c>
      <c r="H138" t="s">
        <v>41</v>
      </c>
      <c r="I138" t="s">
        <v>27</v>
      </c>
      <c r="J138" s="4" t="s">
        <v>119</v>
      </c>
      <c r="K138" t="s">
        <v>33</v>
      </c>
      <c r="L138" t="s">
        <v>30</v>
      </c>
      <c r="M138" t="s">
        <v>31</v>
      </c>
      <c r="N138" t="s">
        <v>32</v>
      </c>
      <c r="O138">
        <v>5</v>
      </c>
      <c r="P138">
        <v>5</v>
      </c>
      <c r="Q138" t="s">
        <v>33</v>
      </c>
      <c r="R138" t="s">
        <v>85</v>
      </c>
      <c r="S138" s="3">
        <v>0</v>
      </c>
      <c r="T138" t="s">
        <v>121</v>
      </c>
      <c r="U138" t="s">
        <v>53</v>
      </c>
    </row>
    <row r="139" spans="1:21" ht="27.6">
      <c r="A139" t="s">
        <v>537</v>
      </c>
      <c r="B139" t="s">
        <v>538</v>
      </c>
      <c r="C139" t="s">
        <v>539</v>
      </c>
      <c r="D139" s="2">
        <v>46156</v>
      </c>
      <c r="E139" t="s">
        <v>24</v>
      </c>
      <c r="F139" t="s">
        <v>118</v>
      </c>
      <c r="G139" s="3">
        <v>55.74</v>
      </c>
      <c r="H139" t="s">
        <v>108</v>
      </c>
      <c r="I139" t="s">
        <v>27</v>
      </c>
      <c r="J139" s="4" t="s">
        <v>119</v>
      </c>
      <c r="K139" t="s">
        <v>29</v>
      </c>
      <c r="L139" t="s">
        <v>120</v>
      </c>
      <c r="M139" t="s">
        <v>96</v>
      </c>
      <c r="N139" t="s">
        <v>32</v>
      </c>
      <c r="O139">
        <v>5</v>
      </c>
      <c r="P139">
        <v>1</v>
      </c>
      <c r="Q139" t="s">
        <v>33</v>
      </c>
      <c r="R139" t="s">
        <v>85</v>
      </c>
      <c r="S139" s="3">
        <v>55.74</v>
      </c>
      <c r="T139" t="s">
        <v>121</v>
      </c>
      <c r="U139" t="s">
        <v>36</v>
      </c>
    </row>
    <row r="140" spans="1:21" ht="27.6">
      <c r="A140" t="s">
        <v>540</v>
      </c>
      <c r="B140" t="s">
        <v>541</v>
      </c>
      <c r="C140" t="s">
        <v>542</v>
      </c>
      <c r="D140" s="2">
        <v>46061</v>
      </c>
      <c r="E140" t="s">
        <v>24</v>
      </c>
      <c r="F140" t="s">
        <v>25</v>
      </c>
      <c r="G140" s="3">
        <v>43.5</v>
      </c>
      <c r="H140" t="s">
        <v>74</v>
      </c>
      <c r="I140" t="s">
        <v>27</v>
      </c>
      <c r="J140" s="4" t="s">
        <v>543</v>
      </c>
      <c r="K140" t="s">
        <v>33</v>
      </c>
      <c r="L140" t="s">
        <v>30</v>
      </c>
      <c r="M140" t="s">
        <v>31</v>
      </c>
      <c r="N140" t="s">
        <v>126</v>
      </c>
      <c r="O140">
        <v>5</v>
      </c>
      <c r="P140">
        <v>9</v>
      </c>
      <c r="Q140" t="s">
        <v>29</v>
      </c>
      <c r="R140" t="s">
        <v>34</v>
      </c>
      <c r="S140" s="3">
        <v>0</v>
      </c>
      <c r="T140" t="s">
        <v>43</v>
      </c>
      <c r="U140" t="s">
        <v>63</v>
      </c>
    </row>
    <row r="141" spans="1:21" ht="27.6">
      <c r="A141" t="s">
        <v>544</v>
      </c>
      <c r="B141" t="s">
        <v>545</v>
      </c>
      <c r="C141" t="s">
        <v>546</v>
      </c>
      <c r="D141" s="2">
        <v>46088</v>
      </c>
      <c r="E141" t="s">
        <v>24</v>
      </c>
      <c r="F141" t="s">
        <v>172</v>
      </c>
      <c r="G141" s="3">
        <v>21.82</v>
      </c>
      <c r="H141" t="s">
        <v>58</v>
      </c>
      <c r="I141" t="s">
        <v>50</v>
      </c>
      <c r="J141" s="4" t="s">
        <v>285</v>
      </c>
      <c r="K141" t="s">
        <v>29</v>
      </c>
      <c r="L141" t="s">
        <v>30</v>
      </c>
      <c r="M141" t="s">
        <v>31</v>
      </c>
      <c r="N141" t="s">
        <v>32</v>
      </c>
      <c r="O141">
        <v>7</v>
      </c>
      <c r="P141">
        <v>6</v>
      </c>
      <c r="Q141" t="s">
        <v>33</v>
      </c>
      <c r="R141" t="s">
        <v>174</v>
      </c>
      <c r="S141" s="3">
        <v>0</v>
      </c>
      <c r="T141" t="s">
        <v>69</v>
      </c>
      <c r="U141" t="s">
        <v>53</v>
      </c>
    </row>
    <row r="142" spans="1:21" ht="27.6">
      <c r="A142" t="s">
        <v>547</v>
      </c>
      <c r="B142" t="s">
        <v>548</v>
      </c>
      <c r="C142" t="s">
        <v>549</v>
      </c>
      <c r="D142" s="2">
        <v>46100</v>
      </c>
      <c r="E142" t="s">
        <v>94</v>
      </c>
      <c r="F142" t="s">
        <v>25</v>
      </c>
      <c r="G142" s="3">
        <v>38.840000000000003</v>
      </c>
      <c r="H142" t="s">
        <v>89</v>
      </c>
      <c r="I142" t="s">
        <v>50</v>
      </c>
      <c r="J142" s="4" t="s">
        <v>42</v>
      </c>
      <c r="K142" t="s">
        <v>29</v>
      </c>
      <c r="L142" t="s">
        <v>30</v>
      </c>
      <c r="M142" t="s">
        <v>96</v>
      </c>
      <c r="N142" t="s">
        <v>32</v>
      </c>
      <c r="O142">
        <v>5</v>
      </c>
      <c r="P142">
        <v>1</v>
      </c>
      <c r="Q142" t="s">
        <v>33</v>
      </c>
      <c r="R142" t="s">
        <v>34</v>
      </c>
      <c r="S142" s="3">
        <v>38.840000000000003</v>
      </c>
      <c r="T142" t="s">
        <v>110</v>
      </c>
      <c r="U142" t="s">
        <v>36</v>
      </c>
    </row>
    <row r="143" spans="1:21" ht="27.6">
      <c r="A143" t="s">
        <v>550</v>
      </c>
      <c r="B143" t="s">
        <v>511</v>
      </c>
      <c r="C143" t="s">
        <v>551</v>
      </c>
      <c r="D143" s="2">
        <v>46154</v>
      </c>
      <c r="E143" t="s">
        <v>94</v>
      </c>
      <c r="F143" t="s">
        <v>82</v>
      </c>
      <c r="G143" s="3">
        <v>198.49</v>
      </c>
      <c r="H143" t="s">
        <v>49</v>
      </c>
      <c r="I143" t="s">
        <v>67</v>
      </c>
      <c r="J143" s="4" t="s">
        <v>114</v>
      </c>
      <c r="K143" t="s">
        <v>33</v>
      </c>
      <c r="L143" t="s">
        <v>30</v>
      </c>
      <c r="M143" t="s">
        <v>31</v>
      </c>
      <c r="N143" t="s">
        <v>32</v>
      </c>
      <c r="O143">
        <v>7</v>
      </c>
      <c r="P143">
        <v>7</v>
      </c>
      <c r="Q143" t="s">
        <v>33</v>
      </c>
      <c r="R143" t="s">
        <v>85</v>
      </c>
      <c r="S143" s="3">
        <v>99.25</v>
      </c>
      <c r="T143" t="s">
        <v>69</v>
      </c>
      <c r="U143" t="s">
        <v>53</v>
      </c>
    </row>
    <row r="144" spans="1:21" ht="27.6">
      <c r="A144" t="s">
        <v>552</v>
      </c>
      <c r="B144" t="s">
        <v>553</v>
      </c>
      <c r="C144" t="s">
        <v>554</v>
      </c>
      <c r="D144" s="2">
        <v>46172</v>
      </c>
      <c r="E144" t="s">
        <v>47</v>
      </c>
      <c r="F144" t="s">
        <v>82</v>
      </c>
      <c r="G144" s="3">
        <v>18.989999999999998</v>
      </c>
      <c r="H144" t="s">
        <v>108</v>
      </c>
      <c r="I144" t="s">
        <v>50</v>
      </c>
      <c r="J144" s="4" t="s">
        <v>555</v>
      </c>
      <c r="K144" t="s">
        <v>29</v>
      </c>
      <c r="L144" t="s">
        <v>30</v>
      </c>
      <c r="M144" t="s">
        <v>31</v>
      </c>
      <c r="N144" t="s">
        <v>32</v>
      </c>
      <c r="O144">
        <v>7</v>
      </c>
      <c r="P144">
        <v>3</v>
      </c>
      <c r="Q144" t="s">
        <v>33</v>
      </c>
      <c r="R144" t="s">
        <v>85</v>
      </c>
      <c r="S144" s="3">
        <v>0</v>
      </c>
      <c r="T144" t="s">
        <v>62</v>
      </c>
      <c r="U144" t="s">
        <v>36</v>
      </c>
    </row>
    <row r="145" spans="1:21" ht="27.6">
      <c r="A145" t="s">
        <v>556</v>
      </c>
      <c r="B145" t="s">
        <v>557</v>
      </c>
      <c r="C145" t="s">
        <v>558</v>
      </c>
      <c r="D145" s="2">
        <v>46113</v>
      </c>
      <c r="E145" t="s">
        <v>24</v>
      </c>
      <c r="F145" t="s">
        <v>103</v>
      </c>
      <c r="G145" s="3">
        <v>32.950000000000003</v>
      </c>
      <c r="H145" t="s">
        <v>89</v>
      </c>
      <c r="I145" t="s">
        <v>67</v>
      </c>
      <c r="J145" s="4" t="s">
        <v>134</v>
      </c>
      <c r="K145" t="s">
        <v>33</v>
      </c>
      <c r="L145" t="s">
        <v>30</v>
      </c>
      <c r="M145" t="s">
        <v>31</v>
      </c>
      <c r="N145" t="s">
        <v>84</v>
      </c>
      <c r="O145">
        <v>5</v>
      </c>
      <c r="P145">
        <v>5</v>
      </c>
      <c r="Q145" t="s">
        <v>33</v>
      </c>
      <c r="R145" t="s">
        <v>34</v>
      </c>
      <c r="S145" s="3">
        <v>0</v>
      </c>
      <c r="T145" t="s">
        <v>35</v>
      </c>
      <c r="U145" t="s">
        <v>53</v>
      </c>
    </row>
    <row r="146" spans="1:21" ht="27.6">
      <c r="A146" t="s">
        <v>559</v>
      </c>
      <c r="B146" t="s">
        <v>560</v>
      </c>
      <c r="C146" t="s">
        <v>561</v>
      </c>
      <c r="D146" s="2">
        <v>46082</v>
      </c>
      <c r="E146" t="s">
        <v>24</v>
      </c>
      <c r="F146" t="s">
        <v>25</v>
      </c>
      <c r="G146" s="3">
        <v>19.03</v>
      </c>
      <c r="H146" t="s">
        <v>26</v>
      </c>
      <c r="I146" t="s">
        <v>50</v>
      </c>
      <c r="J146" s="4" t="s">
        <v>42</v>
      </c>
      <c r="K146" t="s">
        <v>29</v>
      </c>
      <c r="L146" t="s">
        <v>30</v>
      </c>
      <c r="M146" t="s">
        <v>96</v>
      </c>
      <c r="N146" t="s">
        <v>32</v>
      </c>
      <c r="O146">
        <v>5</v>
      </c>
      <c r="P146">
        <v>9</v>
      </c>
      <c r="Q146" t="s">
        <v>29</v>
      </c>
      <c r="R146" t="s">
        <v>34</v>
      </c>
      <c r="S146" s="3">
        <v>19.03</v>
      </c>
      <c r="T146" t="s">
        <v>35</v>
      </c>
      <c r="U146" t="s">
        <v>63</v>
      </c>
    </row>
    <row r="147" spans="1:21" ht="27.6">
      <c r="A147" t="s">
        <v>562</v>
      </c>
      <c r="B147" t="s">
        <v>563</v>
      </c>
      <c r="C147" t="s">
        <v>564</v>
      </c>
      <c r="D147" s="2">
        <v>46158</v>
      </c>
      <c r="E147" t="s">
        <v>40</v>
      </c>
      <c r="F147" t="s">
        <v>172</v>
      </c>
      <c r="G147" s="3">
        <v>21.65</v>
      </c>
      <c r="H147" t="s">
        <v>58</v>
      </c>
      <c r="I147" t="s">
        <v>50</v>
      </c>
      <c r="J147" s="4" t="s">
        <v>173</v>
      </c>
      <c r="K147" t="s">
        <v>33</v>
      </c>
      <c r="L147" t="s">
        <v>30</v>
      </c>
      <c r="M147" t="s">
        <v>31</v>
      </c>
      <c r="N147" t="s">
        <v>32</v>
      </c>
      <c r="O147">
        <v>7</v>
      </c>
      <c r="P147">
        <v>8</v>
      </c>
      <c r="Q147" t="s">
        <v>29</v>
      </c>
      <c r="R147" t="s">
        <v>174</v>
      </c>
      <c r="S147" s="3">
        <v>10.82</v>
      </c>
      <c r="T147" t="s">
        <v>69</v>
      </c>
      <c r="U147" t="s">
        <v>63</v>
      </c>
    </row>
    <row r="148" spans="1:21" ht="27.6">
      <c r="A148" t="s">
        <v>565</v>
      </c>
      <c r="B148" t="s">
        <v>566</v>
      </c>
      <c r="C148" t="s">
        <v>567</v>
      </c>
      <c r="D148" s="2">
        <v>46157</v>
      </c>
      <c r="E148" t="s">
        <v>24</v>
      </c>
      <c r="F148" t="s">
        <v>82</v>
      </c>
      <c r="G148" s="3">
        <v>64.52</v>
      </c>
      <c r="H148" t="s">
        <v>108</v>
      </c>
      <c r="I148" t="s">
        <v>27</v>
      </c>
      <c r="J148" s="4" t="s">
        <v>114</v>
      </c>
      <c r="K148" t="s">
        <v>33</v>
      </c>
      <c r="L148" t="s">
        <v>30</v>
      </c>
      <c r="M148" t="s">
        <v>31</v>
      </c>
      <c r="N148" t="s">
        <v>126</v>
      </c>
      <c r="O148">
        <v>7</v>
      </c>
      <c r="P148">
        <v>6</v>
      </c>
      <c r="Q148" t="s">
        <v>33</v>
      </c>
      <c r="R148" t="s">
        <v>85</v>
      </c>
      <c r="S148" s="3">
        <v>0</v>
      </c>
      <c r="T148" t="s">
        <v>62</v>
      </c>
      <c r="U148" t="s">
        <v>53</v>
      </c>
    </row>
    <row r="149" spans="1:21" ht="27.6">
      <c r="A149" t="s">
        <v>568</v>
      </c>
      <c r="B149" t="s">
        <v>569</v>
      </c>
      <c r="C149" t="s">
        <v>570</v>
      </c>
      <c r="D149" s="2">
        <v>46119</v>
      </c>
      <c r="E149" t="s">
        <v>47</v>
      </c>
      <c r="F149" t="s">
        <v>25</v>
      </c>
      <c r="G149" s="3">
        <v>40.43</v>
      </c>
      <c r="H149" t="s">
        <v>49</v>
      </c>
      <c r="I149" t="s">
        <v>27</v>
      </c>
      <c r="J149" s="4" t="s">
        <v>571</v>
      </c>
      <c r="K149" t="s">
        <v>33</v>
      </c>
      <c r="L149" t="s">
        <v>30</v>
      </c>
      <c r="M149" t="s">
        <v>31</v>
      </c>
      <c r="N149" t="s">
        <v>84</v>
      </c>
      <c r="O149">
        <v>5</v>
      </c>
      <c r="P149">
        <v>13</v>
      </c>
      <c r="Q149" t="s">
        <v>29</v>
      </c>
      <c r="R149" t="s">
        <v>34</v>
      </c>
      <c r="S149" s="3">
        <v>0</v>
      </c>
      <c r="T149" t="s">
        <v>110</v>
      </c>
      <c r="U149" t="s">
        <v>63</v>
      </c>
    </row>
    <row r="150" spans="1:21" ht="27.6">
      <c r="A150" t="s">
        <v>572</v>
      </c>
      <c r="B150" t="s">
        <v>573</v>
      </c>
      <c r="C150" t="s">
        <v>574</v>
      </c>
      <c r="D150" s="2">
        <v>46168</v>
      </c>
      <c r="E150" t="s">
        <v>47</v>
      </c>
      <c r="F150" t="s">
        <v>25</v>
      </c>
      <c r="G150" s="3">
        <v>153.55000000000001</v>
      </c>
      <c r="H150" t="s">
        <v>26</v>
      </c>
      <c r="I150" t="s">
        <v>27</v>
      </c>
      <c r="J150" s="4" t="s">
        <v>42</v>
      </c>
      <c r="K150" t="s">
        <v>33</v>
      </c>
      <c r="L150" t="s">
        <v>30</v>
      </c>
      <c r="M150" t="s">
        <v>31</v>
      </c>
      <c r="N150" t="s">
        <v>32</v>
      </c>
      <c r="O150">
        <v>5</v>
      </c>
      <c r="P150">
        <v>12</v>
      </c>
      <c r="Q150" t="s">
        <v>29</v>
      </c>
      <c r="R150" t="s">
        <v>34</v>
      </c>
      <c r="S150" s="3">
        <v>0</v>
      </c>
      <c r="T150" t="s">
        <v>110</v>
      </c>
      <c r="U150" t="s">
        <v>63</v>
      </c>
    </row>
    <row r="151" spans="1:21" ht="27.6">
      <c r="A151" t="s">
        <v>575</v>
      </c>
      <c r="B151" t="s">
        <v>576</v>
      </c>
      <c r="C151" t="s">
        <v>577</v>
      </c>
      <c r="D151" s="2">
        <v>46064</v>
      </c>
      <c r="E151" t="s">
        <v>47</v>
      </c>
      <c r="F151" t="s">
        <v>172</v>
      </c>
      <c r="G151" s="3">
        <v>195.93</v>
      </c>
      <c r="H151" t="s">
        <v>89</v>
      </c>
      <c r="I151" t="s">
        <v>27</v>
      </c>
      <c r="J151" s="4" t="s">
        <v>173</v>
      </c>
      <c r="K151" t="s">
        <v>33</v>
      </c>
      <c r="L151" t="s">
        <v>30</v>
      </c>
      <c r="M151" t="s">
        <v>31</v>
      </c>
      <c r="N151" t="s">
        <v>126</v>
      </c>
      <c r="O151">
        <v>7</v>
      </c>
      <c r="P151">
        <v>10</v>
      </c>
      <c r="Q151" t="s">
        <v>29</v>
      </c>
      <c r="R151" t="s">
        <v>174</v>
      </c>
      <c r="S151" s="3">
        <v>0</v>
      </c>
      <c r="T151" t="s">
        <v>69</v>
      </c>
      <c r="U151" t="s">
        <v>63</v>
      </c>
    </row>
    <row r="152" spans="1:21" ht="27.6">
      <c r="A152" t="s">
        <v>578</v>
      </c>
      <c r="B152" t="s">
        <v>579</v>
      </c>
      <c r="C152" t="s">
        <v>580</v>
      </c>
      <c r="D152" s="2">
        <v>46111</v>
      </c>
      <c r="E152" t="s">
        <v>24</v>
      </c>
      <c r="F152" t="s">
        <v>82</v>
      </c>
      <c r="G152" s="3">
        <v>85.54</v>
      </c>
      <c r="H152" t="s">
        <v>49</v>
      </c>
      <c r="I152" t="s">
        <v>50</v>
      </c>
      <c r="J152" s="4" t="s">
        <v>114</v>
      </c>
      <c r="K152" t="s">
        <v>29</v>
      </c>
      <c r="L152" t="s">
        <v>30</v>
      </c>
      <c r="M152" t="s">
        <v>31</v>
      </c>
      <c r="N152" t="s">
        <v>90</v>
      </c>
      <c r="O152">
        <v>7</v>
      </c>
      <c r="P152">
        <v>8</v>
      </c>
      <c r="Q152" t="s">
        <v>29</v>
      </c>
      <c r="R152" t="s">
        <v>85</v>
      </c>
      <c r="S152" s="3">
        <v>0</v>
      </c>
      <c r="T152" t="s">
        <v>69</v>
      </c>
      <c r="U152" t="s">
        <v>63</v>
      </c>
    </row>
    <row r="153" spans="1:21" ht="27.6">
      <c r="A153" t="s">
        <v>581</v>
      </c>
      <c r="B153" t="s">
        <v>582</v>
      </c>
      <c r="C153" t="s">
        <v>583</v>
      </c>
      <c r="D153" s="2">
        <v>46119</v>
      </c>
      <c r="E153" t="s">
        <v>47</v>
      </c>
      <c r="F153" t="s">
        <v>103</v>
      </c>
      <c r="G153" s="3">
        <v>52.26</v>
      </c>
      <c r="H153" t="s">
        <v>89</v>
      </c>
      <c r="I153" t="s">
        <v>27</v>
      </c>
      <c r="J153" s="4" t="s">
        <v>134</v>
      </c>
      <c r="K153" t="s">
        <v>29</v>
      </c>
      <c r="L153" t="s">
        <v>30</v>
      </c>
      <c r="M153" t="s">
        <v>31</v>
      </c>
      <c r="N153" t="s">
        <v>32</v>
      </c>
      <c r="O153">
        <v>5</v>
      </c>
      <c r="P153">
        <v>6</v>
      </c>
      <c r="Q153" t="s">
        <v>29</v>
      </c>
      <c r="R153" t="s">
        <v>34</v>
      </c>
      <c r="S153" s="3">
        <v>52.26</v>
      </c>
      <c r="T153" t="s">
        <v>35</v>
      </c>
      <c r="U153" t="s">
        <v>63</v>
      </c>
    </row>
    <row r="154" spans="1:21" ht="27.6">
      <c r="A154" t="s">
        <v>584</v>
      </c>
      <c r="B154" t="s">
        <v>585</v>
      </c>
      <c r="C154" t="s">
        <v>586</v>
      </c>
      <c r="D154" s="2">
        <v>46115</v>
      </c>
      <c r="E154" t="s">
        <v>24</v>
      </c>
      <c r="F154" t="s">
        <v>25</v>
      </c>
      <c r="G154" s="3">
        <v>26.13</v>
      </c>
      <c r="H154" t="s">
        <v>41</v>
      </c>
      <c r="I154" t="s">
        <v>27</v>
      </c>
      <c r="J154" s="4" t="s">
        <v>42</v>
      </c>
      <c r="K154" t="s">
        <v>29</v>
      </c>
      <c r="L154" t="s">
        <v>30</v>
      </c>
      <c r="M154" t="s">
        <v>31</v>
      </c>
      <c r="N154" t="s">
        <v>32</v>
      </c>
      <c r="O154">
        <v>5</v>
      </c>
      <c r="P154">
        <v>2</v>
      </c>
      <c r="Q154" t="s">
        <v>33</v>
      </c>
      <c r="R154" t="s">
        <v>34</v>
      </c>
      <c r="S154" s="3">
        <v>19.600000000000001</v>
      </c>
      <c r="T154" t="s">
        <v>43</v>
      </c>
      <c r="U154" t="s">
        <v>53</v>
      </c>
    </row>
    <row r="155" spans="1:21" ht="27.6">
      <c r="A155" t="s">
        <v>587</v>
      </c>
      <c r="B155" t="s">
        <v>588</v>
      </c>
      <c r="C155" t="s">
        <v>589</v>
      </c>
      <c r="D155" s="2">
        <v>46097</v>
      </c>
      <c r="E155" t="s">
        <v>24</v>
      </c>
      <c r="F155" t="s">
        <v>57</v>
      </c>
      <c r="G155" s="3">
        <v>85.15</v>
      </c>
      <c r="H155" t="s">
        <v>74</v>
      </c>
      <c r="I155" t="s">
        <v>50</v>
      </c>
      <c r="J155" s="4" t="s">
        <v>155</v>
      </c>
      <c r="K155" t="s">
        <v>29</v>
      </c>
      <c r="L155" t="s">
        <v>60</v>
      </c>
      <c r="M155" t="s">
        <v>31</v>
      </c>
      <c r="N155" t="s">
        <v>32</v>
      </c>
      <c r="O155">
        <v>10</v>
      </c>
      <c r="P155">
        <v>12</v>
      </c>
      <c r="Q155" t="s">
        <v>29</v>
      </c>
      <c r="R155" t="s">
        <v>61</v>
      </c>
      <c r="S155" s="3">
        <v>63.86</v>
      </c>
      <c r="T155" t="s">
        <v>52</v>
      </c>
      <c r="U155" t="s">
        <v>63</v>
      </c>
    </row>
    <row r="156" spans="1:21" ht="27.6">
      <c r="A156" t="s">
        <v>590</v>
      </c>
      <c r="B156" t="s">
        <v>591</v>
      </c>
      <c r="C156" t="s">
        <v>592</v>
      </c>
      <c r="D156" s="2">
        <v>46065</v>
      </c>
      <c r="E156" t="s">
        <v>47</v>
      </c>
      <c r="F156" t="s">
        <v>82</v>
      </c>
      <c r="G156" s="3">
        <v>39.450000000000003</v>
      </c>
      <c r="H156" t="s">
        <v>41</v>
      </c>
      <c r="I156" t="s">
        <v>67</v>
      </c>
      <c r="J156" s="4" t="s">
        <v>593</v>
      </c>
      <c r="K156" t="s">
        <v>33</v>
      </c>
      <c r="L156" t="s">
        <v>30</v>
      </c>
      <c r="M156" t="s">
        <v>31</v>
      </c>
      <c r="N156" t="s">
        <v>32</v>
      </c>
      <c r="O156">
        <v>7</v>
      </c>
      <c r="P156">
        <v>7</v>
      </c>
      <c r="Q156" t="s">
        <v>33</v>
      </c>
      <c r="R156" t="s">
        <v>85</v>
      </c>
      <c r="S156" s="3">
        <v>29.59</v>
      </c>
      <c r="T156" t="s">
        <v>69</v>
      </c>
      <c r="U156" t="s">
        <v>36</v>
      </c>
    </row>
    <row r="157" spans="1:21" ht="27.6">
      <c r="A157" t="s">
        <v>594</v>
      </c>
      <c r="B157" t="s">
        <v>595</v>
      </c>
      <c r="C157" t="s">
        <v>596</v>
      </c>
      <c r="D157" s="2">
        <v>46108</v>
      </c>
      <c r="E157" t="s">
        <v>47</v>
      </c>
      <c r="F157" t="s">
        <v>57</v>
      </c>
      <c r="G157" s="3">
        <v>69.62</v>
      </c>
      <c r="H157" t="s">
        <v>41</v>
      </c>
      <c r="I157" t="s">
        <v>27</v>
      </c>
      <c r="J157" s="4" t="s">
        <v>155</v>
      </c>
      <c r="K157" t="s">
        <v>33</v>
      </c>
      <c r="L157" t="s">
        <v>60</v>
      </c>
      <c r="M157" t="s">
        <v>31</v>
      </c>
      <c r="N157" t="s">
        <v>32</v>
      </c>
      <c r="O157">
        <v>10</v>
      </c>
      <c r="P157">
        <v>12</v>
      </c>
      <c r="Q157" t="s">
        <v>29</v>
      </c>
      <c r="R157" t="s">
        <v>61</v>
      </c>
      <c r="S157" s="3">
        <v>52.22</v>
      </c>
      <c r="T157" t="s">
        <v>156</v>
      </c>
      <c r="U157" t="s">
        <v>63</v>
      </c>
    </row>
    <row r="158" spans="1:21" ht="27.6">
      <c r="A158" t="s">
        <v>597</v>
      </c>
      <c r="B158" t="s">
        <v>598</v>
      </c>
      <c r="C158" t="s">
        <v>599</v>
      </c>
      <c r="D158" s="2">
        <v>46148</v>
      </c>
      <c r="E158" t="s">
        <v>94</v>
      </c>
      <c r="F158" t="s">
        <v>57</v>
      </c>
      <c r="G158" s="3">
        <v>28.42</v>
      </c>
      <c r="H158" t="s">
        <v>49</v>
      </c>
      <c r="I158" t="s">
        <v>27</v>
      </c>
      <c r="J158" s="4" t="s">
        <v>59</v>
      </c>
      <c r="K158" t="s">
        <v>29</v>
      </c>
      <c r="L158" t="s">
        <v>60</v>
      </c>
      <c r="M158" t="s">
        <v>31</v>
      </c>
      <c r="N158" t="s">
        <v>32</v>
      </c>
      <c r="O158">
        <v>10</v>
      </c>
      <c r="P158">
        <v>14</v>
      </c>
      <c r="Q158" t="s">
        <v>29</v>
      </c>
      <c r="R158" t="s">
        <v>61</v>
      </c>
      <c r="S158" s="3">
        <v>28.42</v>
      </c>
      <c r="T158" t="s">
        <v>62</v>
      </c>
      <c r="U158" t="s">
        <v>63</v>
      </c>
    </row>
    <row r="159" spans="1:21" ht="27.6">
      <c r="A159" t="s">
        <v>600</v>
      </c>
      <c r="B159" t="s">
        <v>601</v>
      </c>
      <c r="C159" t="s">
        <v>602</v>
      </c>
      <c r="D159" s="2">
        <v>46097</v>
      </c>
      <c r="E159" t="s">
        <v>40</v>
      </c>
      <c r="F159" t="s">
        <v>25</v>
      </c>
      <c r="G159" s="3">
        <v>54.22</v>
      </c>
      <c r="H159" t="s">
        <v>41</v>
      </c>
      <c r="I159" t="s">
        <v>27</v>
      </c>
      <c r="J159" s="4" t="s">
        <v>42</v>
      </c>
      <c r="K159" t="s">
        <v>29</v>
      </c>
      <c r="L159" t="s">
        <v>30</v>
      </c>
      <c r="M159" t="s">
        <v>31</v>
      </c>
      <c r="N159" t="s">
        <v>32</v>
      </c>
      <c r="O159">
        <v>5</v>
      </c>
      <c r="P159">
        <v>15</v>
      </c>
      <c r="Q159" t="s">
        <v>29</v>
      </c>
      <c r="R159" t="s">
        <v>34</v>
      </c>
      <c r="S159" s="3">
        <v>40.659999999999997</v>
      </c>
      <c r="T159" t="s">
        <v>35</v>
      </c>
      <c r="U159" t="s">
        <v>63</v>
      </c>
    </row>
    <row r="160" spans="1:21" ht="27.6">
      <c r="A160" t="s">
        <v>603</v>
      </c>
      <c r="B160" t="s">
        <v>604</v>
      </c>
      <c r="C160" t="s">
        <v>605</v>
      </c>
      <c r="D160" s="2">
        <v>46152</v>
      </c>
      <c r="E160" t="s">
        <v>94</v>
      </c>
      <c r="F160" t="s">
        <v>73</v>
      </c>
      <c r="G160" s="3">
        <v>35.74</v>
      </c>
      <c r="H160" t="s">
        <v>41</v>
      </c>
      <c r="I160" t="s">
        <v>50</v>
      </c>
      <c r="J160" s="4" t="s">
        <v>389</v>
      </c>
      <c r="K160" t="s">
        <v>33</v>
      </c>
      <c r="L160" t="s">
        <v>60</v>
      </c>
      <c r="M160" t="s">
        <v>31</v>
      </c>
      <c r="N160" t="s">
        <v>32</v>
      </c>
      <c r="O160">
        <v>10</v>
      </c>
      <c r="P160">
        <v>13</v>
      </c>
      <c r="Q160" t="s">
        <v>29</v>
      </c>
      <c r="R160" t="s">
        <v>61</v>
      </c>
      <c r="S160" s="3">
        <v>17.87</v>
      </c>
      <c r="T160" t="s">
        <v>62</v>
      </c>
      <c r="U160" t="s">
        <v>63</v>
      </c>
    </row>
    <row r="161" spans="1:21" ht="27.6">
      <c r="A161" t="s">
        <v>606</v>
      </c>
      <c r="B161" t="s">
        <v>607</v>
      </c>
      <c r="C161" t="s">
        <v>608</v>
      </c>
      <c r="D161" s="2">
        <v>46133</v>
      </c>
      <c r="E161" t="s">
        <v>24</v>
      </c>
      <c r="F161" t="s">
        <v>25</v>
      </c>
      <c r="G161" s="3">
        <v>8.16</v>
      </c>
      <c r="H161" t="s">
        <v>89</v>
      </c>
      <c r="I161" t="s">
        <v>50</v>
      </c>
      <c r="J161" s="4" t="s">
        <v>609</v>
      </c>
      <c r="K161" t="s">
        <v>29</v>
      </c>
      <c r="L161" t="s">
        <v>30</v>
      </c>
      <c r="M161" t="s">
        <v>96</v>
      </c>
      <c r="N161" t="s">
        <v>32</v>
      </c>
      <c r="O161">
        <v>5</v>
      </c>
      <c r="P161">
        <v>5</v>
      </c>
      <c r="Q161" t="s">
        <v>33</v>
      </c>
      <c r="R161" t="s">
        <v>34</v>
      </c>
      <c r="S161" s="3">
        <v>8.16</v>
      </c>
      <c r="T161" t="s">
        <v>43</v>
      </c>
      <c r="U161" t="s">
        <v>36</v>
      </c>
    </row>
    <row r="162" spans="1:21" ht="27.6">
      <c r="A162" t="s">
        <v>610</v>
      </c>
      <c r="B162" t="s">
        <v>611</v>
      </c>
      <c r="C162" t="s">
        <v>612</v>
      </c>
      <c r="D162" s="2">
        <v>46146</v>
      </c>
      <c r="E162" t="s">
        <v>24</v>
      </c>
      <c r="F162" t="s">
        <v>82</v>
      </c>
      <c r="G162" s="3">
        <v>24.44</v>
      </c>
      <c r="H162" t="s">
        <v>74</v>
      </c>
      <c r="I162" t="s">
        <v>50</v>
      </c>
      <c r="J162" s="4" t="s">
        <v>114</v>
      </c>
      <c r="K162" t="s">
        <v>29</v>
      </c>
      <c r="L162" t="s">
        <v>30</v>
      </c>
      <c r="M162" t="s">
        <v>31</v>
      </c>
      <c r="N162" t="s">
        <v>32</v>
      </c>
      <c r="O162">
        <v>7</v>
      </c>
      <c r="P162">
        <v>1</v>
      </c>
      <c r="Q162" t="s">
        <v>33</v>
      </c>
      <c r="R162" t="s">
        <v>85</v>
      </c>
      <c r="S162" s="3">
        <v>24.44</v>
      </c>
      <c r="T162" t="s">
        <v>43</v>
      </c>
      <c r="U162" t="s">
        <v>53</v>
      </c>
    </row>
    <row r="163" spans="1:21" ht="27.6">
      <c r="A163" t="s">
        <v>613</v>
      </c>
      <c r="B163" t="s">
        <v>614</v>
      </c>
      <c r="C163" t="s">
        <v>615</v>
      </c>
      <c r="D163" s="2">
        <v>46050</v>
      </c>
      <c r="E163" t="s">
        <v>40</v>
      </c>
      <c r="F163" t="s">
        <v>25</v>
      </c>
      <c r="G163" s="3">
        <v>22.98</v>
      </c>
      <c r="H163" t="s">
        <v>89</v>
      </c>
      <c r="I163" t="s">
        <v>27</v>
      </c>
      <c r="J163" s="4" t="s">
        <v>42</v>
      </c>
      <c r="K163" t="s">
        <v>29</v>
      </c>
      <c r="L163" t="s">
        <v>30</v>
      </c>
      <c r="M163" t="s">
        <v>31</v>
      </c>
      <c r="N163" t="s">
        <v>32</v>
      </c>
      <c r="O163">
        <v>5</v>
      </c>
      <c r="P163">
        <v>7</v>
      </c>
      <c r="Q163" t="s">
        <v>29</v>
      </c>
      <c r="R163" t="s">
        <v>34</v>
      </c>
      <c r="S163" s="3">
        <v>22.98</v>
      </c>
      <c r="T163" t="s">
        <v>43</v>
      </c>
      <c r="U163" t="s">
        <v>63</v>
      </c>
    </row>
    <row r="164" spans="1:21" ht="27.6">
      <c r="A164" t="s">
        <v>616</v>
      </c>
      <c r="B164" t="s">
        <v>617</v>
      </c>
      <c r="C164" t="s">
        <v>618</v>
      </c>
      <c r="D164" s="2">
        <v>46073</v>
      </c>
      <c r="E164" t="s">
        <v>47</v>
      </c>
      <c r="F164" t="s">
        <v>82</v>
      </c>
      <c r="G164" s="3">
        <v>13.58</v>
      </c>
      <c r="H164" t="s">
        <v>49</v>
      </c>
      <c r="I164" t="s">
        <v>27</v>
      </c>
      <c r="J164" s="4" t="s">
        <v>619</v>
      </c>
      <c r="K164" t="s">
        <v>29</v>
      </c>
      <c r="L164" t="s">
        <v>30</v>
      </c>
      <c r="M164" t="s">
        <v>31</v>
      </c>
      <c r="N164" t="s">
        <v>32</v>
      </c>
      <c r="O164">
        <v>7</v>
      </c>
      <c r="P164">
        <v>7</v>
      </c>
      <c r="Q164" t="s">
        <v>33</v>
      </c>
      <c r="R164" t="s">
        <v>85</v>
      </c>
      <c r="S164" s="3">
        <v>10.19</v>
      </c>
      <c r="T164" t="s">
        <v>62</v>
      </c>
      <c r="U164" t="s">
        <v>36</v>
      </c>
    </row>
    <row r="165" spans="1:21" ht="27.6">
      <c r="A165" t="s">
        <v>620</v>
      </c>
      <c r="B165" t="s">
        <v>621</v>
      </c>
      <c r="C165" t="s">
        <v>622</v>
      </c>
      <c r="D165" s="2">
        <v>46052</v>
      </c>
      <c r="E165" t="s">
        <v>24</v>
      </c>
      <c r="F165" t="s">
        <v>57</v>
      </c>
      <c r="G165" s="3">
        <v>101.37</v>
      </c>
      <c r="H165" t="s">
        <v>58</v>
      </c>
      <c r="I165" t="s">
        <v>67</v>
      </c>
      <c r="J165" s="4" t="s">
        <v>59</v>
      </c>
      <c r="K165" t="s">
        <v>33</v>
      </c>
      <c r="L165" t="s">
        <v>60</v>
      </c>
      <c r="M165" t="s">
        <v>31</v>
      </c>
      <c r="N165" t="s">
        <v>32</v>
      </c>
      <c r="O165">
        <v>10</v>
      </c>
      <c r="P165">
        <v>16</v>
      </c>
      <c r="Q165" t="s">
        <v>29</v>
      </c>
      <c r="R165" t="s">
        <v>61</v>
      </c>
      <c r="S165" s="3">
        <v>50.69</v>
      </c>
      <c r="T165" t="s">
        <v>62</v>
      </c>
      <c r="U165" t="s">
        <v>63</v>
      </c>
    </row>
    <row r="166" spans="1:21" ht="27.6">
      <c r="A166" t="s">
        <v>623</v>
      </c>
      <c r="B166" t="s">
        <v>624</v>
      </c>
      <c r="C166" t="s">
        <v>625</v>
      </c>
      <c r="D166" s="2">
        <v>46069</v>
      </c>
      <c r="E166" t="s">
        <v>24</v>
      </c>
      <c r="F166" t="s">
        <v>25</v>
      </c>
      <c r="G166" s="3">
        <v>27.03</v>
      </c>
      <c r="H166" t="s">
        <v>89</v>
      </c>
      <c r="I166" t="s">
        <v>27</v>
      </c>
      <c r="J166" s="4" t="s">
        <v>42</v>
      </c>
      <c r="K166" t="s">
        <v>29</v>
      </c>
      <c r="L166" t="s">
        <v>30</v>
      </c>
      <c r="M166" t="s">
        <v>31</v>
      </c>
      <c r="N166" t="s">
        <v>84</v>
      </c>
      <c r="O166">
        <v>5</v>
      </c>
      <c r="P166">
        <v>1</v>
      </c>
      <c r="Q166" t="s">
        <v>33</v>
      </c>
      <c r="R166" t="s">
        <v>34</v>
      </c>
      <c r="S166" s="3">
        <v>0</v>
      </c>
      <c r="T166" t="s">
        <v>35</v>
      </c>
      <c r="U166" t="s">
        <v>53</v>
      </c>
    </row>
    <row r="167" spans="1:21" ht="27.6">
      <c r="A167" t="s">
        <v>626</v>
      </c>
      <c r="B167" t="s">
        <v>627</v>
      </c>
      <c r="C167" t="s">
        <v>628</v>
      </c>
      <c r="D167" s="2">
        <v>46070</v>
      </c>
      <c r="E167" t="s">
        <v>24</v>
      </c>
      <c r="F167" t="s">
        <v>82</v>
      </c>
      <c r="G167" s="3">
        <v>14.65</v>
      </c>
      <c r="H167" t="s">
        <v>26</v>
      </c>
      <c r="I167" t="s">
        <v>50</v>
      </c>
      <c r="J167" s="4" t="s">
        <v>629</v>
      </c>
      <c r="K167" t="s">
        <v>33</v>
      </c>
      <c r="L167" t="s">
        <v>30</v>
      </c>
      <c r="M167" t="s">
        <v>31</v>
      </c>
      <c r="N167" t="s">
        <v>126</v>
      </c>
      <c r="O167">
        <v>7</v>
      </c>
      <c r="P167">
        <v>4</v>
      </c>
      <c r="Q167" t="s">
        <v>33</v>
      </c>
      <c r="R167" t="s">
        <v>85</v>
      </c>
      <c r="S167" s="3">
        <v>0</v>
      </c>
      <c r="T167" t="s">
        <v>69</v>
      </c>
      <c r="U167" t="s">
        <v>36</v>
      </c>
    </row>
    <row r="168" spans="1:21" ht="27.6">
      <c r="A168" t="s">
        <v>630</v>
      </c>
      <c r="B168" t="s">
        <v>631</v>
      </c>
      <c r="C168" t="s">
        <v>632</v>
      </c>
      <c r="D168" s="2">
        <v>46136</v>
      </c>
      <c r="E168" t="s">
        <v>47</v>
      </c>
      <c r="F168" t="s">
        <v>25</v>
      </c>
      <c r="G168" s="3">
        <v>26.63</v>
      </c>
      <c r="H168" t="s">
        <v>89</v>
      </c>
      <c r="I168" t="s">
        <v>27</v>
      </c>
      <c r="J168" s="4" t="s">
        <v>42</v>
      </c>
      <c r="K168" t="s">
        <v>33</v>
      </c>
      <c r="L168" t="s">
        <v>30</v>
      </c>
      <c r="M168" t="s">
        <v>31</v>
      </c>
      <c r="N168" t="s">
        <v>32</v>
      </c>
      <c r="O168">
        <v>5</v>
      </c>
      <c r="P168">
        <v>8</v>
      </c>
      <c r="Q168" t="s">
        <v>29</v>
      </c>
      <c r="R168" t="s">
        <v>34</v>
      </c>
      <c r="S168" s="3">
        <v>13.31</v>
      </c>
      <c r="T168" t="s">
        <v>35</v>
      </c>
      <c r="U168" t="s">
        <v>63</v>
      </c>
    </row>
    <row r="169" spans="1:21" ht="27.6">
      <c r="A169" t="s">
        <v>633</v>
      </c>
      <c r="B169" t="s">
        <v>634</v>
      </c>
      <c r="C169" t="s">
        <v>635</v>
      </c>
      <c r="D169" s="2">
        <v>46116</v>
      </c>
      <c r="E169" t="s">
        <v>47</v>
      </c>
      <c r="F169" t="s">
        <v>57</v>
      </c>
      <c r="G169" s="3">
        <v>79.73</v>
      </c>
      <c r="H169" t="s">
        <v>74</v>
      </c>
      <c r="I169" t="s">
        <v>67</v>
      </c>
      <c r="J169" s="4" t="s">
        <v>155</v>
      </c>
      <c r="K169" t="s">
        <v>29</v>
      </c>
      <c r="L169" t="s">
        <v>60</v>
      </c>
      <c r="M169" t="s">
        <v>31</v>
      </c>
      <c r="N169" t="s">
        <v>32</v>
      </c>
      <c r="O169">
        <v>10</v>
      </c>
      <c r="P169">
        <v>5</v>
      </c>
      <c r="Q169" t="s">
        <v>33</v>
      </c>
      <c r="R169" t="s">
        <v>61</v>
      </c>
      <c r="S169" s="3">
        <v>39.869999999999997</v>
      </c>
      <c r="T169" t="s">
        <v>62</v>
      </c>
      <c r="U169" t="s">
        <v>63</v>
      </c>
    </row>
    <row r="170" spans="1:21" ht="27.6">
      <c r="A170" t="s">
        <v>636</v>
      </c>
      <c r="B170" t="s">
        <v>637</v>
      </c>
      <c r="C170" t="s">
        <v>638</v>
      </c>
      <c r="D170" s="2">
        <v>46045</v>
      </c>
      <c r="E170" t="s">
        <v>47</v>
      </c>
      <c r="F170" t="s">
        <v>48</v>
      </c>
      <c r="G170" s="3">
        <v>68.489999999999995</v>
      </c>
      <c r="H170" t="s">
        <v>49</v>
      </c>
      <c r="I170" t="s">
        <v>50</v>
      </c>
      <c r="J170" s="4" t="s">
        <v>51</v>
      </c>
      <c r="K170" t="s">
        <v>29</v>
      </c>
      <c r="L170" t="s">
        <v>30</v>
      </c>
      <c r="M170" t="s">
        <v>31</v>
      </c>
      <c r="N170" t="s">
        <v>32</v>
      </c>
      <c r="O170">
        <v>10</v>
      </c>
      <c r="P170">
        <v>3</v>
      </c>
      <c r="Q170" t="s">
        <v>33</v>
      </c>
      <c r="R170" t="s">
        <v>34</v>
      </c>
      <c r="S170" s="3">
        <v>0</v>
      </c>
      <c r="T170" t="s">
        <v>62</v>
      </c>
      <c r="U170" t="s">
        <v>53</v>
      </c>
    </row>
    <row r="171" spans="1:21" ht="27.6">
      <c r="A171" t="s">
        <v>639</v>
      </c>
      <c r="B171" t="s">
        <v>640</v>
      </c>
      <c r="C171" t="s">
        <v>641</v>
      </c>
      <c r="D171" s="2">
        <v>46094</v>
      </c>
      <c r="E171" t="s">
        <v>47</v>
      </c>
      <c r="F171" t="s">
        <v>25</v>
      </c>
      <c r="G171" s="3">
        <v>108.57</v>
      </c>
      <c r="H171" t="s">
        <v>89</v>
      </c>
      <c r="I171" t="s">
        <v>27</v>
      </c>
      <c r="J171" s="4" t="s">
        <v>42</v>
      </c>
      <c r="K171" t="s">
        <v>33</v>
      </c>
      <c r="L171" t="s">
        <v>30</v>
      </c>
      <c r="M171" t="s">
        <v>31</v>
      </c>
      <c r="N171" t="s">
        <v>84</v>
      </c>
      <c r="O171">
        <v>5</v>
      </c>
      <c r="P171">
        <v>6</v>
      </c>
      <c r="Q171" t="s">
        <v>29</v>
      </c>
      <c r="R171" t="s">
        <v>34</v>
      </c>
      <c r="S171" s="3">
        <v>0</v>
      </c>
      <c r="T171" t="s">
        <v>35</v>
      </c>
      <c r="U171" t="s">
        <v>63</v>
      </c>
    </row>
    <row r="172" spans="1:21" ht="27.6">
      <c r="A172" t="s">
        <v>642</v>
      </c>
      <c r="B172" t="s">
        <v>643</v>
      </c>
      <c r="C172" t="s">
        <v>644</v>
      </c>
      <c r="D172" s="2">
        <v>46055</v>
      </c>
      <c r="E172" t="s">
        <v>40</v>
      </c>
      <c r="F172" t="s">
        <v>25</v>
      </c>
      <c r="G172" s="3">
        <v>18.899999999999999</v>
      </c>
      <c r="H172" t="s">
        <v>74</v>
      </c>
      <c r="I172" t="s">
        <v>50</v>
      </c>
      <c r="J172" s="4" t="s">
        <v>42</v>
      </c>
      <c r="K172" t="s">
        <v>29</v>
      </c>
      <c r="L172" t="s">
        <v>30</v>
      </c>
      <c r="M172" t="s">
        <v>96</v>
      </c>
      <c r="N172" t="s">
        <v>32</v>
      </c>
      <c r="O172">
        <v>5</v>
      </c>
      <c r="P172">
        <v>8</v>
      </c>
      <c r="Q172" t="s">
        <v>29</v>
      </c>
      <c r="R172" t="s">
        <v>34</v>
      </c>
      <c r="S172" s="3">
        <v>18.899999999999999</v>
      </c>
      <c r="T172" t="s">
        <v>43</v>
      </c>
      <c r="U172" t="s">
        <v>63</v>
      </c>
    </row>
    <row r="173" spans="1:21" ht="27.6">
      <c r="A173" t="s">
        <v>645</v>
      </c>
      <c r="B173" t="s">
        <v>646</v>
      </c>
      <c r="C173" t="s">
        <v>647</v>
      </c>
      <c r="D173" s="2">
        <v>46046</v>
      </c>
      <c r="E173" t="s">
        <v>24</v>
      </c>
      <c r="F173" t="s">
        <v>103</v>
      </c>
      <c r="G173" s="3">
        <v>409.21</v>
      </c>
      <c r="H173" t="s">
        <v>108</v>
      </c>
      <c r="I173" t="s">
        <v>67</v>
      </c>
      <c r="J173" s="4" t="s">
        <v>134</v>
      </c>
      <c r="K173" t="s">
        <v>33</v>
      </c>
      <c r="L173" t="s">
        <v>30</v>
      </c>
      <c r="M173" t="s">
        <v>31</v>
      </c>
      <c r="N173" t="s">
        <v>126</v>
      </c>
      <c r="O173">
        <v>5</v>
      </c>
      <c r="P173">
        <v>9</v>
      </c>
      <c r="Q173" t="s">
        <v>29</v>
      </c>
      <c r="R173" t="s">
        <v>34</v>
      </c>
      <c r="S173" s="3">
        <v>0</v>
      </c>
      <c r="T173" t="s">
        <v>35</v>
      </c>
      <c r="U173" t="s">
        <v>63</v>
      </c>
    </row>
    <row r="174" spans="1:21" ht="27.6">
      <c r="A174" t="s">
        <v>648</v>
      </c>
      <c r="B174" t="s">
        <v>649</v>
      </c>
      <c r="C174" t="s">
        <v>650</v>
      </c>
      <c r="D174" s="2">
        <v>46114</v>
      </c>
      <c r="E174" t="s">
        <v>94</v>
      </c>
      <c r="F174" t="s">
        <v>57</v>
      </c>
      <c r="G174" s="3">
        <v>103.28</v>
      </c>
      <c r="H174" t="s">
        <v>41</v>
      </c>
      <c r="I174" t="s">
        <v>67</v>
      </c>
      <c r="J174" s="4" t="s">
        <v>59</v>
      </c>
      <c r="K174" t="s">
        <v>33</v>
      </c>
      <c r="L174" t="s">
        <v>60</v>
      </c>
      <c r="M174" t="s">
        <v>31</v>
      </c>
      <c r="N174" t="s">
        <v>126</v>
      </c>
      <c r="O174">
        <v>10</v>
      </c>
      <c r="P174">
        <v>15</v>
      </c>
      <c r="Q174" t="s">
        <v>29</v>
      </c>
      <c r="R174" t="s">
        <v>61</v>
      </c>
      <c r="S174" s="3">
        <v>0</v>
      </c>
      <c r="T174" t="s">
        <v>62</v>
      </c>
      <c r="U174" t="s">
        <v>63</v>
      </c>
    </row>
    <row r="175" spans="1:21" ht="27.6">
      <c r="A175" t="s">
        <v>651</v>
      </c>
      <c r="B175" t="s">
        <v>652</v>
      </c>
      <c r="C175" t="s">
        <v>653</v>
      </c>
      <c r="D175" s="2">
        <v>46140</v>
      </c>
      <c r="E175" t="s">
        <v>24</v>
      </c>
      <c r="F175" t="s">
        <v>48</v>
      </c>
      <c r="G175" s="3">
        <v>16.16</v>
      </c>
      <c r="H175" t="s">
        <v>108</v>
      </c>
      <c r="I175" t="s">
        <v>27</v>
      </c>
      <c r="J175" s="4" t="s">
        <v>51</v>
      </c>
      <c r="K175" t="s">
        <v>29</v>
      </c>
      <c r="L175" t="s">
        <v>30</v>
      </c>
      <c r="M175" t="s">
        <v>31</v>
      </c>
      <c r="N175" t="s">
        <v>90</v>
      </c>
      <c r="O175">
        <v>10</v>
      </c>
      <c r="P175">
        <v>10</v>
      </c>
      <c r="Q175" t="s">
        <v>33</v>
      </c>
      <c r="R175" t="s">
        <v>34</v>
      </c>
      <c r="S175" s="3">
        <v>0</v>
      </c>
      <c r="T175" t="s">
        <v>69</v>
      </c>
      <c r="U175" t="s">
        <v>63</v>
      </c>
    </row>
    <row r="176" spans="1:21" ht="27.6">
      <c r="A176" t="s">
        <v>654</v>
      </c>
      <c r="B176" t="s">
        <v>655</v>
      </c>
      <c r="C176" t="s">
        <v>656</v>
      </c>
      <c r="D176" s="2">
        <v>46115</v>
      </c>
      <c r="E176" t="s">
        <v>24</v>
      </c>
      <c r="F176" t="s">
        <v>82</v>
      </c>
      <c r="G176" s="3">
        <v>81.91</v>
      </c>
      <c r="H176" t="s">
        <v>108</v>
      </c>
      <c r="I176" t="s">
        <v>50</v>
      </c>
      <c r="J176" s="4" t="s">
        <v>114</v>
      </c>
      <c r="K176" t="s">
        <v>33</v>
      </c>
      <c r="L176" t="s">
        <v>30</v>
      </c>
      <c r="M176" t="s">
        <v>31</v>
      </c>
      <c r="N176" t="s">
        <v>32</v>
      </c>
      <c r="O176">
        <v>7</v>
      </c>
      <c r="P176">
        <v>7</v>
      </c>
      <c r="Q176" t="s">
        <v>33</v>
      </c>
      <c r="R176" t="s">
        <v>85</v>
      </c>
      <c r="S176" s="3">
        <v>40.950000000000003</v>
      </c>
      <c r="T176" t="s">
        <v>43</v>
      </c>
      <c r="U176" t="s">
        <v>53</v>
      </c>
    </row>
    <row r="177" spans="1:21" ht="27.6">
      <c r="A177" t="s">
        <v>657</v>
      </c>
      <c r="B177" t="s">
        <v>658</v>
      </c>
      <c r="C177" t="s">
        <v>659</v>
      </c>
      <c r="D177" s="2">
        <v>46136</v>
      </c>
      <c r="E177" t="s">
        <v>24</v>
      </c>
      <c r="F177" t="s">
        <v>103</v>
      </c>
      <c r="G177" s="3">
        <v>35.5</v>
      </c>
      <c r="H177" t="s">
        <v>26</v>
      </c>
      <c r="I177" t="s">
        <v>27</v>
      </c>
      <c r="J177" s="4" t="s">
        <v>134</v>
      </c>
      <c r="K177" t="s">
        <v>29</v>
      </c>
      <c r="L177" t="s">
        <v>30</v>
      </c>
      <c r="M177" t="s">
        <v>31</v>
      </c>
      <c r="N177" t="s">
        <v>32</v>
      </c>
      <c r="O177">
        <v>5</v>
      </c>
      <c r="P177">
        <v>6</v>
      </c>
      <c r="Q177" t="s">
        <v>29</v>
      </c>
      <c r="R177" t="s">
        <v>34</v>
      </c>
      <c r="S177" s="3">
        <v>26.62</v>
      </c>
      <c r="T177" t="s">
        <v>35</v>
      </c>
      <c r="U177" t="s">
        <v>63</v>
      </c>
    </row>
    <row r="178" spans="1:21" ht="27.6">
      <c r="A178" t="s">
        <v>660</v>
      </c>
      <c r="B178" t="s">
        <v>661</v>
      </c>
      <c r="C178" t="s">
        <v>662</v>
      </c>
      <c r="D178" s="2">
        <v>46057</v>
      </c>
      <c r="E178" t="s">
        <v>40</v>
      </c>
      <c r="F178" t="s">
        <v>103</v>
      </c>
      <c r="G178" s="3">
        <v>9.57</v>
      </c>
      <c r="H178" t="s">
        <v>89</v>
      </c>
      <c r="I178" t="s">
        <v>50</v>
      </c>
      <c r="J178" s="4" t="s">
        <v>134</v>
      </c>
      <c r="K178" t="s">
        <v>29</v>
      </c>
      <c r="L178" t="s">
        <v>30</v>
      </c>
      <c r="M178" t="s">
        <v>31</v>
      </c>
      <c r="N178" t="s">
        <v>32</v>
      </c>
      <c r="O178">
        <v>5</v>
      </c>
      <c r="P178">
        <v>4</v>
      </c>
      <c r="Q178" t="s">
        <v>33</v>
      </c>
      <c r="R178" t="s">
        <v>34</v>
      </c>
      <c r="S178" s="3">
        <v>0</v>
      </c>
      <c r="T178" t="s">
        <v>35</v>
      </c>
      <c r="U178" t="s">
        <v>53</v>
      </c>
    </row>
    <row r="179" spans="1:21" ht="27.6">
      <c r="A179" t="s">
        <v>663</v>
      </c>
      <c r="B179" t="s">
        <v>664</v>
      </c>
      <c r="C179" t="s">
        <v>665</v>
      </c>
      <c r="D179" s="2">
        <v>46054</v>
      </c>
      <c r="E179" t="s">
        <v>47</v>
      </c>
      <c r="F179" t="s">
        <v>82</v>
      </c>
      <c r="G179" s="3">
        <v>108.36</v>
      </c>
      <c r="H179" t="s">
        <v>74</v>
      </c>
      <c r="I179" t="s">
        <v>27</v>
      </c>
      <c r="J179" s="4" t="s">
        <v>114</v>
      </c>
      <c r="K179" t="s">
        <v>29</v>
      </c>
      <c r="L179" t="s">
        <v>30</v>
      </c>
      <c r="M179" t="s">
        <v>31</v>
      </c>
      <c r="N179" t="s">
        <v>32</v>
      </c>
      <c r="O179">
        <v>7</v>
      </c>
      <c r="P179">
        <v>4</v>
      </c>
      <c r="Q179" t="s">
        <v>33</v>
      </c>
      <c r="R179" t="s">
        <v>85</v>
      </c>
      <c r="S179" s="3">
        <v>0</v>
      </c>
      <c r="T179" t="s">
        <v>43</v>
      </c>
      <c r="U179" t="s">
        <v>36</v>
      </c>
    </row>
    <row r="180" spans="1:21" ht="27.6">
      <c r="A180" t="s">
        <v>666</v>
      </c>
      <c r="B180" t="s">
        <v>667</v>
      </c>
      <c r="C180" t="s">
        <v>668</v>
      </c>
      <c r="D180" s="2">
        <v>46155</v>
      </c>
      <c r="E180" t="s">
        <v>47</v>
      </c>
      <c r="F180" t="s">
        <v>25</v>
      </c>
      <c r="G180" s="3">
        <v>25.89</v>
      </c>
      <c r="H180" t="s">
        <v>49</v>
      </c>
      <c r="I180" t="s">
        <v>67</v>
      </c>
      <c r="J180" s="4" t="s">
        <v>42</v>
      </c>
      <c r="K180" t="s">
        <v>33</v>
      </c>
      <c r="L180" t="s">
        <v>30</v>
      </c>
      <c r="M180" t="s">
        <v>31</v>
      </c>
      <c r="N180" t="s">
        <v>32</v>
      </c>
      <c r="O180">
        <v>5</v>
      </c>
      <c r="P180">
        <v>7</v>
      </c>
      <c r="Q180" t="s">
        <v>29</v>
      </c>
      <c r="R180" t="s">
        <v>34</v>
      </c>
      <c r="S180" s="3">
        <v>12.95</v>
      </c>
      <c r="T180" t="s">
        <v>43</v>
      </c>
      <c r="U180" t="s">
        <v>63</v>
      </c>
    </row>
    <row r="181" spans="1:21" ht="27.6">
      <c r="A181" t="s">
        <v>669</v>
      </c>
      <c r="B181" t="s">
        <v>670</v>
      </c>
      <c r="C181" t="s">
        <v>671</v>
      </c>
      <c r="D181" s="2">
        <v>46122</v>
      </c>
      <c r="E181" t="s">
        <v>94</v>
      </c>
      <c r="F181" t="s">
        <v>172</v>
      </c>
      <c r="G181" s="3">
        <v>21.78</v>
      </c>
      <c r="H181" t="s">
        <v>49</v>
      </c>
      <c r="I181" t="s">
        <v>27</v>
      </c>
      <c r="J181" s="4" t="s">
        <v>173</v>
      </c>
      <c r="K181" t="s">
        <v>33</v>
      </c>
      <c r="L181" t="s">
        <v>30</v>
      </c>
      <c r="M181" t="s">
        <v>31</v>
      </c>
      <c r="N181" t="s">
        <v>32</v>
      </c>
      <c r="O181">
        <v>7</v>
      </c>
      <c r="P181">
        <v>12</v>
      </c>
      <c r="Q181" t="s">
        <v>29</v>
      </c>
      <c r="R181" t="s">
        <v>174</v>
      </c>
      <c r="S181" s="3">
        <v>16.34</v>
      </c>
      <c r="T181" t="s">
        <v>69</v>
      </c>
      <c r="U181" t="s">
        <v>63</v>
      </c>
    </row>
    <row r="182" spans="1:21" ht="27.6">
      <c r="A182" t="s">
        <v>672</v>
      </c>
      <c r="B182" t="s">
        <v>673</v>
      </c>
      <c r="C182" t="s">
        <v>674</v>
      </c>
      <c r="D182" s="2">
        <v>46124</v>
      </c>
      <c r="E182" t="s">
        <v>47</v>
      </c>
      <c r="F182" t="s">
        <v>172</v>
      </c>
      <c r="G182" s="3">
        <v>40.549999999999997</v>
      </c>
      <c r="H182" t="s">
        <v>58</v>
      </c>
      <c r="I182" t="s">
        <v>27</v>
      </c>
      <c r="J182" s="4" t="s">
        <v>285</v>
      </c>
      <c r="K182" t="s">
        <v>29</v>
      </c>
      <c r="L182" t="s">
        <v>30</v>
      </c>
      <c r="M182" t="s">
        <v>31</v>
      </c>
      <c r="N182" t="s">
        <v>32</v>
      </c>
      <c r="O182">
        <v>7</v>
      </c>
      <c r="P182">
        <v>6</v>
      </c>
      <c r="Q182" t="s">
        <v>33</v>
      </c>
      <c r="R182" t="s">
        <v>174</v>
      </c>
      <c r="S182" s="3">
        <v>20.27</v>
      </c>
      <c r="T182" t="s">
        <v>110</v>
      </c>
      <c r="U182" t="s">
        <v>53</v>
      </c>
    </row>
    <row r="183" spans="1:21" ht="27.6">
      <c r="A183" t="s">
        <v>675</v>
      </c>
      <c r="B183" t="s">
        <v>676</v>
      </c>
      <c r="C183" t="s">
        <v>677</v>
      </c>
      <c r="D183" s="2">
        <v>46039</v>
      </c>
      <c r="E183" t="s">
        <v>24</v>
      </c>
      <c r="F183" t="s">
        <v>82</v>
      </c>
      <c r="G183" s="3">
        <v>96.39</v>
      </c>
      <c r="H183" t="s">
        <v>74</v>
      </c>
      <c r="I183" t="s">
        <v>27</v>
      </c>
      <c r="J183" s="4" t="s">
        <v>114</v>
      </c>
      <c r="K183" t="s">
        <v>29</v>
      </c>
      <c r="L183" t="s">
        <v>30</v>
      </c>
      <c r="M183" t="s">
        <v>31</v>
      </c>
      <c r="N183" t="s">
        <v>32</v>
      </c>
      <c r="O183">
        <v>7</v>
      </c>
      <c r="P183">
        <v>4</v>
      </c>
      <c r="Q183" t="s">
        <v>33</v>
      </c>
      <c r="R183" t="s">
        <v>85</v>
      </c>
      <c r="S183" s="3">
        <v>96.39</v>
      </c>
      <c r="T183" t="s">
        <v>69</v>
      </c>
      <c r="U183" t="s">
        <v>53</v>
      </c>
    </row>
    <row r="184" spans="1:21" ht="27.6">
      <c r="A184" t="s">
        <v>678</v>
      </c>
      <c r="B184" t="s">
        <v>679</v>
      </c>
      <c r="C184" t="s">
        <v>680</v>
      </c>
      <c r="D184" s="2">
        <v>46058</v>
      </c>
      <c r="E184" t="s">
        <v>40</v>
      </c>
      <c r="F184" t="s">
        <v>25</v>
      </c>
      <c r="G184" s="3">
        <v>161.56</v>
      </c>
      <c r="H184" t="s">
        <v>49</v>
      </c>
      <c r="I184" t="s">
        <v>67</v>
      </c>
      <c r="J184" s="4" t="s">
        <v>681</v>
      </c>
      <c r="K184" t="s">
        <v>29</v>
      </c>
      <c r="L184" t="s">
        <v>30</v>
      </c>
      <c r="M184" t="s">
        <v>31</v>
      </c>
      <c r="N184" t="s">
        <v>32</v>
      </c>
      <c r="O184">
        <v>5</v>
      </c>
      <c r="P184">
        <v>9</v>
      </c>
      <c r="Q184" t="s">
        <v>29</v>
      </c>
      <c r="R184" t="s">
        <v>34</v>
      </c>
      <c r="S184" s="3">
        <v>0</v>
      </c>
      <c r="T184" t="s">
        <v>43</v>
      </c>
      <c r="U184" t="s">
        <v>63</v>
      </c>
    </row>
    <row r="185" spans="1:21" ht="27.6">
      <c r="A185" t="s">
        <v>682</v>
      </c>
      <c r="B185" t="s">
        <v>683</v>
      </c>
      <c r="C185" t="s">
        <v>684</v>
      </c>
      <c r="D185" s="2">
        <v>46132</v>
      </c>
      <c r="E185" t="s">
        <v>24</v>
      </c>
      <c r="F185" t="s">
        <v>25</v>
      </c>
      <c r="G185" s="3">
        <v>84.04</v>
      </c>
      <c r="H185" t="s">
        <v>26</v>
      </c>
      <c r="I185" t="s">
        <v>50</v>
      </c>
      <c r="J185" s="4" t="s">
        <v>685</v>
      </c>
      <c r="K185" t="s">
        <v>29</v>
      </c>
      <c r="L185" t="s">
        <v>30</v>
      </c>
      <c r="M185" t="s">
        <v>96</v>
      </c>
      <c r="N185" t="s">
        <v>32</v>
      </c>
      <c r="O185">
        <v>5</v>
      </c>
      <c r="P185">
        <v>9</v>
      </c>
      <c r="Q185" t="s">
        <v>29</v>
      </c>
      <c r="R185" t="s">
        <v>34</v>
      </c>
      <c r="S185" s="3">
        <v>84.04</v>
      </c>
      <c r="T185" t="s">
        <v>110</v>
      </c>
      <c r="U185" t="s">
        <v>63</v>
      </c>
    </row>
    <row r="186" spans="1:21" ht="27.6">
      <c r="A186" t="s">
        <v>686</v>
      </c>
      <c r="B186" t="s">
        <v>687</v>
      </c>
      <c r="C186" t="s">
        <v>688</v>
      </c>
      <c r="D186" s="2">
        <v>46088</v>
      </c>
      <c r="E186" t="s">
        <v>40</v>
      </c>
      <c r="F186" t="s">
        <v>73</v>
      </c>
      <c r="G186" s="3">
        <v>53.89</v>
      </c>
      <c r="H186" t="s">
        <v>58</v>
      </c>
      <c r="I186" t="s">
        <v>50</v>
      </c>
      <c r="J186" s="4" t="s">
        <v>389</v>
      </c>
      <c r="K186" t="s">
        <v>29</v>
      </c>
      <c r="L186" t="s">
        <v>60</v>
      </c>
      <c r="M186" t="s">
        <v>31</v>
      </c>
      <c r="N186" t="s">
        <v>32</v>
      </c>
      <c r="O186">
        <v>10</v>
      </c>
      <c r="P186">
        <v>11</v>
      </c>
      <c r="Q186" t="s">
        <v>29</v>
      </c>
      <c r="R186" t="s">
        <v>61</v>
      </c>
      <c r="S186" s="3">
        <v>26.95</v>
      </c>
      <c r="T186" t="s">
        <v>156</v>
      </c>
      <c r="U186" t="s">
        <v>63</v>
      </c>
    </row>
    <row r="187" spans="1:21" ht="27.6">
      <c r="A187" t="s">
        <v>689</v>
      </c>
      <c r="B187" t="s">
        <v>690</v>
      </c>
      <c r="C187" t="s">
        <v>691</v>
      </c>
      <c r="D187" s="2">
        <v>46086</v>
      </c>
      <c r="E187" t="s">
        <v>24</v>
      </c>
      <c r="F187" t="s">
        <v>103</v>
      </c>
      <c r="G187" s="3">
        <v>28.17</v>
      </c>
      <c r="H187" t="s">
        <v>41</v>
      </c>
      <c r="I187" t="s">
        <v>27</v>
      </c>
      <c r="J187" s="4" t="s">
        <v>134</v>
      </c>
      <c r="K187" t="s">
        <v>29</v>
      </c>
      <c r="L187" t="s">
        <v>30</v>
      </c>
      <c r="M187" t="s">
        <v>31</v>
      </c>
      <c r="N187" t="s">
        <v>32</v>
      </c>
      <c r="O187">
        <v>5</v>
      </c>
      <c r="P187">
        <v>9</v>
      </c>
      <c r="Q187" t="s">
        <v>29</v>
      </c>
      <c r="R187" t="s">
        <v>34</v>
      </c>
      <c r="S187" s="3">
        <v>0</v>
      </c>
      <c r="T187" t="s">
        <v>35</v>
      </c>
      <c r="U187" t="s">
        <v>63</v>
      </c>
    </row>
    <row r="188" spans="1:21" ht="27.6">
      <c r="A188" t="s">
        <v>692</v>
      </c>
      <c r="B188" t="s">
        <v>693</v>
      </c>
      <c r="C188" t="s">
        <v>694</v>
      </c>
      <c r="D188" s="2">
        <v>46142</v>
      </c>
      <c r="E188" t="s">
        <v>94</v>
      </c>
      <c r="F188" t="s">
        <v>57</v>
      </c>
      <c r="G188" s="3">
        <v>29.9</v>
      </c>
      <c r="H188" t="s">
        <v>108</v>
      </c>
      <c r="I188" t="s">
        <v>27</v>
      </c>
      <c r="J188" s="4" t="s">
        <v>59</v>
      </c>
      <c r="K188" t="s">
        <v>29</v>
      </c>
      <c r="L188" t="s">
        <v>60</v>
      </c>
      <c r="M188" t="s">
        <v>31</v>
      </c>
      <c r="N188" t="s">
        <v>32</v>
      </c>
      <c r="O188">
        <v>10</v>
      </c>
      <c r="P188">
        <v>12</v>
      </c>
      <c r="Q188" t="s">
        <v>29</v>
      </c>
      <c r="R188" t="s">
        <v>61</v>
      </c>
      <c r="S188" s="3">
        <v>22.42</v>
      </c>
      <c r="T188" t="s">
        <v>62</v>
      </c>
      <c r="U188" t="s">
        <v>63</v>
      </c>
    </row>
    <row r="189" spans="1:21" ht="27.6">
      <c r="A189" t="s">
        <v>695</v>
      </c>
      <c r="B189" t="s">
        <v>696</v>
      </c>
      <c r="C189" t="s">
        <v>697</v>
      </c>
      <c r="D189" s="2">
        <v>46085</v>
      </c>
      <c r="E189" t="s">
        <v>24</v>
      </c>
      <c r="F189" t="s">
        <v>48</v>
      </c>
      <c r="G189" s="3">
        <v>77.22</v>
      </c>
      <c r="H189" t="s">
        <v>26</v>
      </c>
      <c r="I189" t="s">
        <v>67</v>
      </c>
      <c r="J189" s="4" t="s">
        <v>51</v>
      </c>
      <c r="K189" t="s">
        <v>29</v>
      </c>
      <c r="L189" t="s">
        <v>30</v>
      </c>
      <c r="M189" t="s">
        <v>31</v>
      </c>
      <c r="N189" t="s">
        <v>32</v>
      </c>
      <c r="O189">
        <v>10</v>
      </c>
      <c r="P189">
        <v>1</v>
      </c>
      <c r="Q189" t="s">
        <v>33</v>
      </c>
      <c r="R189" t="s">
        <v>34</v>
      </c>
      <c r="S189" s="3">
        <v>0</v>
      </c>
      <c r="T189" t="s">
        <v>62</v>
      </c>
      <c r="U189" t="s">
        <v>36</v>
      </c>
    </row>
    <row r="190" spans="1:21" ht="27.6">
      <c r="A190" t="s">
        <v>698</v>
      </c>
      <c r="B190" t="s">
        <v>699</v>
      </c>
      <c r="C190" t="s">
        <v>700</v>
      </c>
      <c r="D190" s="2">
        <v>46083</v>
      </c>
      <c r="E190" t="s">
        <v>24</v>
      </c>
      <c r="F190" t="s">
        <v>48</v>
      </c>
      <c r="G190" s="3">
        <v>28.91</v>
      </c>
      <c r="H190" t="s">
        <v>74</v>
      </c>
      <c r="I190" t="s">
        <v>67</v>
      </c>
      <c r="J190" s="4" t="s">
        <v>51</v>
      </c>
      <c r="K190" t="s">
        <v>29</v>
      </c>
      <c r="L190" t="s">
        <v>30</v>
      </c>
      <c r="M190" t="s">
        <v>31</v>
      </c>
      <c r="N190" t="s">
        <v>32</v>
      </c>
      <c r="O190">
        <v>10</v>
      </c>
      <c r="P190">
        <v>8</v>
      </c>
      <c r="Q190" t="s">
        <v>33</v>
      </c>
      <c r="R190" t="s">
        <v>34</v>
      </c>
      <c r="S190" s="3">
        <v>0</v>
      </c>
      <c r="T190" t="s">
        <v>62</v>
      </c>
      <c r="U190" t="s">
        <v>63</v>
      </c>
    </row>
    <row r="191" spans="1:21" ht="27.6">
      <c r="A191" t="s">
        <v>701</v>
      </c>
      <c r="B191" t="s">
        <v>702</v>
      </c>
      <c r="C191" t="s">
        <v>703</v>
      </c>
      <c r="D191" s="2">
        <v>46168</v>
      </c>
      <c r="E191" t="s">
        <v>24</v>
      </c>
      <c r="F191" t="s">
        <v>172</v>
      </c>
      <c r="G191" s="3">
        <v>18.91</v>
      </c>
      <c r="H191" t="s">
        <v>49</v>
      </c>
      <c r="I191" t="s">
        <v>27</v>
      </c>
      <c r="J191" s="4" t="s">
        <v>285</v>
      </c>
      <c r="K191" t="s">
        <v>33</v>
      </c>
      <c r="L191" t="s">
        <v>30</v>
      </c>
      <c r="M191" t="s">
        <v>31</v>
      </c>
      <c r="N191" t="s">
        <v>90</v>
      </c>
      <c r="O191">
        <v>7</v>
      </c>
      <c r="P191">
        <v>8</v>
      </c>
      <c r="Q191" t="s">
        <v>29</v>
      </c>
      <c r="R191" t="s">
        <v>174</v>
      </c>
      <c r="S191" s="3">
        <v>0</v>
      </c>
      <c r="T191" t="s">
        <v>110</v>
      </c>
      <c r="U191" t="s">
        <v>63</v>
      </c>
    </row>
    <row r="192" spans="1:21" ht="27.6">
      <c r="A192" t="s">
        <v>704</v>
      </c>
      <c r="B192" t="s">
        <v>705</v>
      </c>
      <c r="C192" t="s">
        <v>706</v>
      </c>
      <c r="D192" s="2">
        <v>46082</v>
      </c>
      <c r="E192" t="s">
        <v>24</v>
      </c>
      <c r="F192" t="s">
        <v>118</v>
      </c>
      <c r="G192" s="3">
        <v>108.09</v>
      </c>
      <c r="H192" t="s">
        <v>74</v>
      </c>
      <c r="I192" t="s">
        <v>27</v>
      </c>
      <c r="J192" s="4" t="s">
        <v>119</v>
      </c>
      <c r="K192" t="s">
        <v>29</v>
      </c>
      <c r="L192" t="s">
        <v>120</v>
      </c>
      <c r="M192" t="s">
        <v>96</v>
      </c>
      <c r="N192" t="s">
        <v>32</v>
      </c>
      <c r="O192">
        <v>5</v>
      </c>
      <c r="P192">
        <v>2</v>
      </c>
      <c r="Q192" t="s">
        <v>33</v>
      </c>
      <c r="R192" t="s">
        <v>85</v>
      </c>
      <c r="S192" s="3">
        <v>108.09</v>
      </c>
      <c r="T192" t="s">
        <v>121</v>
      </c>
      <c r="U192" t="s">
        <v>53</v>
      </c>
    </row>
    <row r="193" spans="1:21" ht="27.6">
      <c r="A193" t="s">
        <v>707</v>
      </c>
      <c r="B193" t="s">
        <v>708</v>
      </c>
      <c r="C193" t="s">
        <v>709</v>
      </c>
      <c r="D193" s="2">
        <v>46090</v>
      </c>
      <c r="E193" t="s">
        <v>94</v>
      </c>
      <c r="F193" t="s">
        <v>25</v>
      </c>
      <c r="G193" s="3">
        <v>77.069999999999993</v>
      </c>
      <c r="H193" t="s">
        <v>58</v>
      </c>
      <c r="I193" t="s">
        <v>50</v>
      </c>
      <c r="J193" s="4" t="s">
        <v>710</v>
      </c>
      <c r="K193" t="s">
        <v>29</v>
      </c>
      <c r="L193" t="s">
        <v>30</v>
      </c>
      <c r="M193" t="s">
        <v>96</v>
      </c>
      <c r="N193" t="s">
        <v>32</v>
      </c>
      <c r="O193">
        <v>5</v>
      </c>
      <c r="P193">
        <v>7</v>
      </c>
      <c r="Q193" t="s">
        <v>29</v>
      </c>
      <c r="R193" t="s">
        <v>34</v>
      </c>
      <c r="S193" s="3">
        <v>77.069999999999993</v>
      </c>
      <c r="T193" t="s">
        <v>43</v>
      </c>
      <c r="U193" t="s">
        <v>63</v>
      </c>
    </row>
    <row r="194" spans="1:21" ht="27.6">
      <c r="A194" t="s">
        <v>711</v>
      </c>
      <c r="B194" t="s">
        <v>712</v>
      </c>
      <c r="C194" t="s">
        <v>713</v>
      </c>
      <c r="D194" s="2">
        <v>46154</v>
      </c>
      <c r="E194" t="s">
        <v>24</v>
      </c>
      <c r="F194" t="s">
        <v>118</v>
      </c>
      <c r="G194" s="3">
        <v>71.16</v>
      </c>
      <c r="H194" t="s">
        <v>108</v>
      </c>
      <c r="I194" t="s">
        <v>67</v>
      </c>
      <c r="J194" s="4" t="s">
        <v>714</v>
      </c>
      <c r="K194" t="s">
        <v>29</v>
      </c>
      <c r="L194" t="s">
        <v>120</v>
      </c>
      <c r="M194" t="s">
        <v>96</v>
      </c>
      <c r="N194" t="s">
        <v>32</v>
      </c>
      <c r="O194">
        <v>5</v>
      </c>
      <c r="P194">
        <v>1</v>
      </c>
      <c r="Q194" t="s">
        <v>33</v>
      </c>
      <c r="R194" t="s">
        <v>85</v>
      </c>
      <c r="S194" s="3">
        <v>71.16</v>
      </c>
      <c r="T194" t="s">
        <v>121</v>
      </c>
      <c r="U194" t="s">
        <v>53</v>
      </c>
    </row>
    <row r="195" spans="1:21" ht="27.6">
      <c r="A195" t="s">
        <v>715</v>
      </c>
      <c r="B195" t="s">
        <v>716</v>
      </c>
      <c r="C195" t="s">
        <v>717</v>
      </c>
      <c r="D195" s="2">
        <v>46079</v>
      </c>
      <c r="E195" t="s">
        <v>24</v>
      </c>
      <c r="F195" t="s">
        <v>57</v>
      </c>
      <c r="G195" s="3">
        <v>24.44</v>
      </c>
      <c r="H195" t="s">
        <v>58</v>
      </c>
      <c r="I195" t="s">
        <v>27</v>
      </c>
      <c r="J195" s="4" t="s">
        <v>155</v>
      </c>
      <c r="K195" t="s">
        <v>29</v>
      </c>
      <c r="L195" t="s">
        <v>60</v>
      </c>
      <c r="M195" t="s">
        <v>31</v>
      </c>
      <c r="N195" t="s">
        <v>32</v>
      </c>
      <c r="O195">
        <v>10</v>
      </c>
      <c r="P195">
        <v>10</v>
      </c>
      <c r="Q195" t="s">
        <v>33</v>
      </c>
      <c r="R195" t="s">
        <v>61</v>
      </c>
      <c r="S195" s="3">
        <v>24.44</v>
      </c>
      <c r="T195" t="s">
        <v>156</v>
      </c>
      <c r="U195" t="s">
        <v>63</v>
      </c>
    </row>
    <row r="196" spans="1:21" ht="27.6">
      <c r="A196" t="s">
        <v>718</v>
      </c>
      <c r="B196" t="s">
        <v>719</v>
      </c>
      <c r="C196" t="s">
        <v>720</v>
      </c>
      <c r="D196" s="2">
        <v>46107</v>
      </c>
      <c r="E196" t="s">
        <v>24</v>
      </c>
      <c r="F196" t="s">
        <v>48</v>
      </c>
      <c r="G196" s="3">
        <v>28.4</v>
      </c>
      <c r="H196" t="s">
        <v>108</v>
      </c>
      <c r="I196" t="s">
        <v>27</v>
      </c>
      <c r="J196" s="4" t="s">
        <v>51</v>
      </c>
      <c r="K196" t="s">
        <v>29</v>
      </c>
      <c r="L196" t="s">
        <v>30</v>
      </c>
      <c r="M196" t="s">
        <v>31</v>
      </c>
      <c r="N196" t="s">
        <v>32</v>
      </c>
      <c r="O196">
        <v>10</v>
      </c>
      <c r="P196">
        <v>2</v>
      </c>
      <c r="Q196" t="s">
        <v>33</v>
      </c>
      <c r="R196" t="s">
        <v>34</v>
      </c>
      <c r="S196" s="3">
        <v>14.2</v>
      </c>
      <c r="T196" t="s">
        <v>69</v>
      </c>
      <c r="U196" t="s">
        <v>53</v>
      </c>
    </row>
    <row r="197" spans="1:21" ht="27.6">
      <c r="A197" t="s">
        <v>721</v>
      </c>
      <c r="B197" t="s">
        <v>722</v>
      </c>
      <c r="C197" t="s">
        <v>723</v>
      </c>
      <c r="D197" s="2">
        <v>46128</v>
      </c>
      <c r="E197" t="s">
        <v>94</v>
      </c>
      <c r="F197" t="s">
        <v>82</v>
      </c>
      <c r="G197" s="3">
        <v>15.27</v>
      </c>
      <c r="H197" t="s">
        <v>108</v>
      </c>
      <c r="I197" t="s">
        <v>27</v>
      </c>
      <c r="J197" s="4" t="s">
        <v>114</v>
      </c>
      <c r="K197" t="s">
        <v>33</v>
      </c>
      <c r="L197" t="s">
        <v>30</v>
      </c>
      <c r="M197" t="s">
        <v>31</v>
      </c>
      <c r="N197" t="s">
        <v>32</v>
      </c>
      <c r="O197">
        <v>7</v>
      </c>
      <c r="P197">
        <v>14</v>
      </c>
      <c r="Q197" t="s">
        <v>29</v>
      </c>
      <c r="R197" t="s">
        <v>85</v>
      </c>
      <c r="S197" s="3">
        <v>0</v>
      </c>
      <c r="T197" t="s">
        <v>62</v>
      </c>
      <c r="U197" t="s">
        <v>63</v>
      </c>
    </row>
    <row r="198" spans="1:21" ht="27.6">
      <c r="A198" t="s">
        <v>724</v>
      </c>
      <c r="B198" t="s">
        <v>725</v>
      </c>
      <c r="C198" t="s">
        <v>726</v>
      </c>
      <c r="D198" s="2">
        <v>46114</v>
      </c>
      <c r="E198" t="s">
        <v>47</v>
      </c>
      <c r="F198" t="s">
        <v>57</v>
      </c>
      <c r="G198" s="3">
        <v>23.96</v>
      </c>
      <c r="H198" t="s">
        <v>41</v>
      </c>
      <c r="I198" t="s">
        <v>27</v>
      </c>
      <c r="J198" s="4" t="s">
        <v>59</v>
      </c>
      <c r="K198" t="s">
        <v>29</v>
      </c>
      <c r="L198" t="s">
        <v>60</v>
      </c>
      <c r="M198" t="s">
        <v>31</v>
      </c>
      <c r="N198" t="s">
        <v>90</v>
      </c>
      <c r="O198">
        <v>10</v>
      </c>
      <c r="P198">
        <v>10</v>
      </c>
      <c r="Q198" t="s">
        <v>33</v>
      </c>
      <c r="R198" t="s">
        <v>61</v>
      </c>
      <c r="S198" s="3">
        <v>0</v>
      </c>
      <c r="T198" t="s">
        <v>52</v>
      </c>
      <c r="U198" t="s">
        <v>63</v>
      </c>
    </row>
    <row r="199" spans="1:21" ht="27.6">
      <c r="A199" t="s">
        <v>727</v>
      </c>
      <c r="B199" t="s">
        <v>728</v>
      </c>
      <c r="C199" t="s">
        <v>729</v>
      </c>
      <c r="D199" s="2">
        <v>46114</v>
      </c>
      <c r="E199" t="s">
        <v>40</v>
      </c>
      <c r="F199" t="s">
        <v>48</v>
      </c>
      <c r="G199" s="3">
        <v>55.25</v>
      </c>
      <c r="H199" t="s">
        <v>49</v>
      </c>
      <c r="I199" t="s">
        <v>67</v>
      </c>
      <c r="J199" s="4" t="s">
        <v>68</v>
      </c>
      <c r="K199" t="s">
        <v>33</v>
      </c>
      <c r="L199" t="s">
        <v>30</v>
      </c>
      <c r="M199" t="s">
        <v>31</v>
      </c>
      <c r="N199" t="s">
        <v>32</v>
      </c>
      <c r="O199">
        <v>10</v>
      </c>
      <c r="P199">
        <v>8</v>
      </c>
      <c r="Q199" t="s">
        <v>33</v>
      </c>
      <c r="R199" t="s">
        <v>34</v>
      </c>
      <c r="S199" s="3">
        <v>0</v>
      </c>
      <c r="T199" t="s">
        <v>69</v>
      </c>
      <c r="U199" t="s">
        <v>63</v>
      </c>
    </row>
    <row r="200" spans="1:21" ht="27.6">
      <c r="A200" t="s">
        <v>730</v>
      </c>
      <c r="B200" t="s">
        <v>731</v>
      </c>
      <c r="C200" t="s">
        <v>732</v>
      </c>
      <c r="D200" s="2">
        <v>46067</v>
      </c>
      <c r="E200" t="s">
        <v>24</v>
      </c>
      <c r="F200" t="s">
        <v>172</v>
      </c>
      <c r="G200" s="3">
        <v>177.1</v>
      </c>
      <c r="H200" t="s">
        <v>89</v>
      </c>
      <c r="I200" t="s">
        <v>27</v>
      </c>
      <c r="J200" s="4" t="s">
        <v>285</v>
      </c>
      <c r="K200" t="s">
        <v>29</v>
      </c>
      <c r="L200" t="s">
        <v>30</v>
      </c>
      <c r="M200" t="s">
        <v>31</v>
      </c>
      <c r="N200" t="s">
        <v>32</v>
      </c>
      <c r="O200">
        <v>7</v>
      </c>
      <c r="P200">
        <v>4</v>
      </c>
      <c r="Q200" t="s">
        <v>33</v>
      </c>
      <c r="R200" t="s">
        <v>174</v>
      </c>
      <c r="S200" s="3">
        <v>0</v>
      </c>
      <c r="T200" t="s">
        <v>110</v>
      </c>
      <c r="U200" t="s">
        <v>36</v>
      </c>
    </row>
    <row r="201" spans="1:21" ht="27.6">
      <c r="A201" t="s">
        <v>733</v>
      </c>
      <c r="B201" t="s">
        <v>734</v>
      </c>
      <c r="C201" t="s">
        <v>735</v>
      </c>
      <c r="D201" s="2">
        <v>46032</v>
      </c>
      <c r="E201" t="s">
        <v>24</v>
      </c>
      <c r="F201" t="s">
        <v>118</v>
      </c>
      <c r="G201" s="3">
        <v>17.02</v>
      </c>
      <c r="H201" t="s">
        <v>26</v>
      </c>
      <c r="I201" t="s">
        <v>27</v>
      </c>
      <c r="J201" s="4" t="s">
        <v>119</v>
      </c>
      <c r="K201" t="s">
        <v>29</v>
      </c>
      <c r="L201" t="s">
        <v>120</v>
      </c>
      <c r="M201" t="s">
        <v>96</v>
      </c>
      <c r="N201" t="s">
        <v>90</v>
      </c>
      <c r="O201">
        <v>5</v>
      </c>
      <c r="P201">
        <v>1</v>
      </c>
      <c r="Q201" t="s">
        <v>33</v>
      </c>
      <c r="R201" t="s">
        <v>85</v>
      </c>
      <c r="S201" s="3">
        <v>0</v>
      </c>
      <c r="T201" t="s">
        <v>121</v>
      </c>
      <c r="U201" t="s">
        <v>53</v>
      </c>
    </row>
    <row r="202" spans="1:21" ht="27.6">
      <c r="A202" t="s">
        <v>736</v>
      </c>
      <c r="B202" t="s">
        <v>737</v>
      </c>
      <c r="C202" t="s">
        <v>738</v>
      </c>
      <c r="D202" s="2">
        <v>46060</v>
      </c>
      <c r="E202" t="s">
        <v>47</v>
      </c>
      <c r="F202" t="s">
        <v>73</v>
      </c>
      <c r="G202" s="3">
        <v>34.15</v>
      </c>
      <c r="H202" t="s">
        <v>41</v>
      </c>
      <c r="I202" t="s">
        <v>27</v>
      </c>
      <c r="J202" s="4" t="s">
        <v>389</v>
      </c>
      <c r="K202" t="s">
        <v>33</v>
      </c>
      <c r="L202" t="s">
        <v>60</v>
      </c>
      <c r="M202" t="s">
        <v>31</v>
      </c>
      <c r="N202" t="s">
        <v>126</v>
      </c>
      <c r="O202">
        <v>10</v>
      </c>
      <c r="P202">
        <v>19</v>
      </c>
      <c r="Q202" t="s">
        <v>29</v>
      </c>
      <c r="R202" t="s">
        <v>61</v>
      </c>
      <c r="S202" s="3">
        <v>0</v>
      </c>
      <c r="T202" t="s">
        <v>62</v>
      </c>
      <c r="U202" t="s">
        <v>63</v>
      </c>
    </row>
    <row r="203" spans="1:21" ht="27.6">
      <c r="A203" t="s">
        <v>739</v>
      </c>
      <c r="B203" t="s">
        <v>740</v>
      </c>
      <c r="C203" t="s">
        <v>741</v>
      </c>
      <c r="D203" s="2">
        <v>46166</v>
      </c>
      <c r="E203" t="s">
        <v>40</v>
      </c>
      <c r="F203" t="s">
        <v>48</v>
      </c>
      <c r="G203" s="3">
        <v>69.319999999999993</v>
      </c>
      <c r="H203" t="s">
        <v>89</v>
      </c>
      <c r="I203" t="s">
        <v>67</v>
      </c>
      <c r="J203" s="4" t="s">
        <v>68</v>
      </c>
      <c r="K203" t="s">
        <v>29</v>
      </c>
      <c r="L203" t="s">
        <v>30</v>
      </c>
      <c r="M203" t="s">
        <v>31</v>
      </c>
      <c r="N203" t="s">
        <v>32</v>
      </c>
      <c r="O203">
        <v>10</v>
      </c>
      <c r="P203">
        <v>4</v>
      </c>
      <c r="Q203" t="s">
        <v>33</v>
      </c>
      <c r="R203" t="s">
        <v>34</v>
      </c>
      <c r="S203" s="3">
        <v>69.319999999999993</v>
      </c>
      <c r="T203" t="s">
        <v>62</v>
      </c>
      <c r="U203" t="s">
        <v>53</v>
      </c>
    </row>
    <row r="204" spans="1:21" ht="27.6">
      <c r="A204" t="s">
        <v>742</v>
      </c>
      <c r="B204" t="s">
        <v>743</v>
      </c>
      <c r="C204" t="s">
        <v>744</v>
      </c>
      <c r="D204" s="2">
        <v>46104</v>
      </c>
      <c r="E204" t="s">
        <v>94</v>
      </c>
      <c r="F204" t="s">
        <v>48</v>
      </c>
      <c r="G204" s="3">
        <v>15.85</v>
      </c>
      <c r="H204" t="s">
        <v>108</v>
      </c>
      <c r="I204" t="s">
        <v>27</v>
      </c>
      <c r="J204" s="4" t="s">
        <v>68</v>
      </c>
      <c r="K204" t="s">
        <v>33</v>
      </c>
      <c r="L204" t="s">
        <v>30</v>
      </c>
      <c r="M204" t="s">
        <v>31</v>
      </c>
      <c r="N204" t="s">
        <v>32</v>
      </c>
      <c r="O204">
        <v>10</v>
      </c>
      <c r="P204">
        <v>7</v>
      </c>
      <c r="Q204" t="s">
        <v>33</v>
      </c>
      <c r="R204" t="s">
        <v>34</v>
      </c>
      <c r="S204" s="3">
        <v>0</v>
      </c>
      <c r="T204" t="s">
        <v>69</v>
      </c>
      <c r="U204" t="s">
        <v>36</v>
      </c>
    </row>
    <row r="205" spans="1:21" ht="27.6">
      <c r="A205" t="s">
        <v>745</v>
      </c>
      <c r="B205" t="s">
        <v>746</v>
      </c>
      <c r="C205" t="s">
        <v>747</v>
      </c>
      <c r="D205" s="2">
        <v>46076</v>
      </c>
      <c r="E205" t="s">
        <v>24</v>
      </c>
      <c r="F205" t="s">
        <v>25</v>
      </c>
      <c r="G205" s="3">
        <v>27.17</v>
      </c>
      <c r="H205" t="s">
        <v>26</v>
      </c>
      <c r="I205" t="s">
        <v>27</v>
      </c>
      <c r="J205" s="4" t="s">
        <v>42</v>
      </c>
      <c r="K205" t="s">
        <v>29</v>
      </c>
      <c r="L205" t="s">
        <v>30</v>
      </c>
      <c r="M205" t="s">
        <v>31</v>
      </c>
      <c r="N205" t="s">
        <v>90</v>
      </c>
      <c r="O205">
        <v>5</v>
      </c>
      <c r="P205">
        <v>8</v>
      </c>
      <c r="Q205" t="s">
        <v>29</v>
      </c>
      <c r="R205" t="s">
        <v>34</v>
      </c>
      <c r="S205" s="3">
        <v>0</v>
      </c>
      <c r="T205" t="s">
        <v>43</v>
      </c>
      <c r="U205" t="s">
        <v>63</v>
      </c>
    </row>
    <row r="206" spans="1:21" ht="27.6">
      <c r="A206" t="s">
        <v>748</v>
      </c>
      <c r="B206" t="s">
        <v>749</v>
      </c>
      <c r="C206" t="s">
        <v>750</v>
      </c>
      <c r="D206" s="2">
        <v>46162</v>
      </c>
      <c r="E206" t="s">
        <v>24</v>
      </c>
      <c r="F206" t="s">
        <v>57</v>
      </c>
      <c r="G206" s="3">
        <v>109.71</v>
      </c>
      <c r="H206" t="s">
        <v>49</v>
      </c>
      <c r="I206" t="s">
        <v>50</v>
      </c>
      <c r="J206" s="4" t="s">
        <v>59</v>
      </c>
      <c r="K206" t="s">
        <v>29</v>
      </c>
      <c r="L206" t="s">
        <v>60</v>
      </c>
      <c r="M206" t="s">
        <v>31</v>
      </c>
      <c r="N206" t="s">
        <v>32</v>
      </c>
      <c r="O206">
        <v>10</v>
      </c>
      <c r="P206">
        <v>11</v>
      </c>
      <c r="Q206" t="s">
        <v>29</v>
      </c>
      <c r="R206" t="s">
        <v>61</v>
      </c>
      <c r="S206" s="3">
        <v>54.85</v>
      </c>
      <c r="T206" t="s">
        <v>156</v>
      </c>
      <c r="U206" t="s">
        <v>63</v>
      </c>
    </row>
    <row r="207" spans="1:21" ht="27.6">
      <c r="A207" t="s">
        <v>751</v>
      </c>
      <c r="B207" t="s">
        <v>752</v>
      </c>
      <c r="C207" t="s">
        <v>753</v>
      </c>
      <c r="D207" s="2">
        <v>46119</v>
      </c>
      <c r="E207" t="s">
        <v>24</v>
      </c>
      <c r="F207" t="s">
        <v>25</v>
      </c>
      <c r="G207" s="3">
        <v>30.29</v>
      </c>
      <c r="H207" t="s">
        <v>89</v>
      </c>
      <c r="I207" t="s">
        <v>67</v>
      </c>
      <c r="J207" s="4" t="s">
        <v>42</v>
      </c>
      <c r="K207" t="s">
        <v>29</v>
      </c>
      <c r="L207" t="s">
        <v>30</v>
      </c>
      <c r="M207" t="s">
        <v>31</v>
      </c>
      <c r="N207" t="s">
        <v>32</v>
      </c>
      <c r="O207">
        <v>5</v>
      </c>
      <c r="P207">
        <v>5</v>
      </c>
      <c r="Q207" t="s">
        <v>33</v>
      </c>
      <c r="R207" t="s">
        <v>34</v>
      </c>
      <c r="S207" s="3">
        <v>0</v>
      </c>
      <c r="T207" t="s">
        <v>110</v>
      </c>
      <c r="U207" t="s">
        <v>36</v>
      </c>
    </row>
    <row r="208" spans="1:21" ht="27.6">
      <c r="A208" t="s">
        <v>754</v>
      </c>
      <c r="B208" t="s">
        <v>755</v>
      </c>
      <c r="C208" t="s">
        <v>756</v>
      </c>
      <c r="D208" s="2">
        <v>46083</v>
      </c>
      <c r="E208" t="s">
        <v>24</v>
      </c>
      <c r="F208" t="s">
        <v>82</v>
      </c>
      <c r="G208" s="3">
        <v>46.63</v>
      </c>
      <c r="H208" t="s">
        <v>26</v>
      </c>
      <c r="I208" t="s">
        <v>27</v>
      </c>
      <c r="J208" s="4" t="s">
        <v>757</v>
      </c>
      <c r="K208" t="s">
        <v>29</v>
      </c>
      <c r="L208" t="s">
        <v>30</v>
      </c>
      <c r="M208" t="s">
        <v>31</v>
      </c>
      <c r="N208" t="s">
        <v>32</v>
      </c>
      <c r="O208">
        <v>7</v>
      </c>
      <c r="P208">
        <v>7</v>
      </c>
      <c r="Q208" t="s">
        <v>33</v>
      </c>
      <c r="R208" t="s">
        <v>85</v>
      </c>
      <c r="S208" s="3">
        <v>23.32</v>
      </c>
      <c r="T208" t="s">
        <v>69</v>
      </c>
      <c r="U208" t="s">
        <v>53</v>
      </c>
    </row>
    <row r="209" spans="1:21" ht="27.6">
      <c r="A209" t="s">
        <v>758</v>
      </c>
      <c r="B209" t="s">
        <v>759</v>
      </c>
      <c r="C209" t="s">
        <v>760</v>
      </c>
      <c r="D209" s="2">
        <v>46052</v>
      </c>
      <c r="E209" t="s">
        <v>24</v>
      </c>
      <c r="F209" t="s">
        <v>82</v>
      </c>
      <c r="G209" s="3">
        <v>38.590000000000003</v>
      </c>
      <c r="H209" t="s">
        <v>26</v>
      </c>
      <c r="I209" t="s">
        <v>50</v>
      </c>
      <c r="J209" s="4" t="s">
        <v>761</v>
      </c>
      <c r="K209" t="s">
        <v>29</v>
      </c>
      <c r="L209" t="s">
        <v>30</v>
      </c>
      <c r="M209" t="s">
        <v>31</v>
      </c>
      <c r="N209" t="s">
        <v>90</v>
      </c>
      <c r="O209">
        <v>7</v>
      </c>
      <c r="P209">
        <v>2</v>
      </c>
      <c r="Q209" t="s">
        <v>33</v>
      </c>
      <c r="R209" t="s">
        <v>85</v>
      </c>
      <c r="S209" s="3">
        <v>0</v>
      </c>
      <c r="T209" t="s">
        <v>69</v>
      </c>
      <c r="U209" t="s">
        <v>53</v>
      </c>
    </row>
    <row r="210" spans="1:21" ht="27.6">
      <c r="A210" t="s">
        <v>762</v>
      </c>
      <c r="B210" t="s">
        <v>763</v>
      </c>
      <c r="C210" t="s">
        <v>764</v>
      </c>
      <c r="D210" s="2">
        <v>46135</v>
      </c>
      <c r="E210" t="s">
        <v>47</v>
      </c>
      <c r="F210" t="s">
        <v>118</v>
      </c>
      <c r="G210" s="3">
        <v>28.23</v>
      </c>
      <c r="H210" t="s">
        <v>49</v>
      </c>
      <c r="I210" t="s">
        <v>50</v>
      </c>
      <c r="J210" s="4" t="s">
        <v>765</v>
      </c>
      <c r="K210" t="s">
        <v>29</v>
      </c>
      <c r="L210" t="s">
        <v>120</v>
      </c>
      <c r="M210" t="s">
        <v>96</v>
      </c>
      <c r="N210" t="s">
        <v>32</v>
      </c>
      <c r="O210">
        <v>5</v>
      </c>
      <c r="P210">
        <v>1</v>
      </c>
      <c r="Q210" t="s">
        <v>33</v>
      </c>
      <c r="R210" t="s">
        <v>85</v>
      </c>
      <c r="S210" s="3">
        <v>28.23</v>
      </c>
      <c r="T210" t="s">
        <v>121</v>
      </c>
      <c r="U210" t="s">
        <v>53</v>
      </c>
    </row>
    <row r="211" spans="1:21" ht="27.6">
      <c r="A211" t="s">
        <v>766</v>
      </c>
      <c r="B211" t="s">
        <v>767</v>
      </c>
      <c r="C211" t="s">
        <v>768</v>
      </c>
      <c r="D211" s="2">
        <v>46156</v>
      </c>
      <c r="E211" t="s">
        <v>24</v>
      </c>
      <c r="F211" t="s">
        <v>172</v>
      </c>
      <c r="G211" s="3">
        <v>112.02</v>
      </c>
      <c r="H211" t="s">
        <v>74</v>
      </c>
      <c r="I211" t="s">
        <v>27</v>
      </c>
      <c r="J211" s="4" t="s">
        <v>173</v>
      </c>
      <c r="K211" t="s">
        <v>29</v>
      </c>
      <c r="L211" t="s">
        <v>30</v>
      </c>
      <c r="M211" t="s">
        <v>31</v>
      </c>
      <c r="N211" t="s">
        <v>32</v>
      </c>
      <c r="O211">
        <v>7</v>
      </c>
      <c r="P211">
        <v>3</v>
      </c>
      <c r="Q211" t="s">
        <v>33</v>
      </c>
      <c r="R211" t="s">
        <v>174</v>
      </c>
      <c r="S211" s="3">
        <v>0</v>
      </c>
      <c r="T211" t="s">
        <v>110</v>
      </c>
      <c r="U211" t="s">
        <v>53</v>
      </c>
    </row>
    <row r="212" spans="1:21" ht="27.6">
      <c r="A212" t="s">
        <v>769</v>
      </c>
      <c r="B212" t="s">
        <v>770</v>
      </c>
      <c r="C212" t="s">
        <v>771</v>
      </c>
      <c r="D212" s="2">
        <v>46065</v>
      </c>
      <c r="E212" t="s">
        <v>94</v>
      </c>
      <c r="F212" t="s">
        <v>57</v>
      </c>
      <c r="G212" s="3">
        <v>15.72</v>
      </c>
      <c r="H212" t="s">
        <v>58</v>
      </c>
      <c r="I212" t="s">
        <v>27</v>
      </c>
      <c r="J212" s="4" t="s">
        <v>59</v>
      </c>
      <c r="K212" t="s">
        <v>33</v>
      </c>
      <c r="L212" t="s">
        <v>60</v>
      </c>
      <c r="M212" t="s">
        <v>31</v>
      </c>
      <c r="N212" t="s">
        <v>32</v>
      </c>
      <c r="O212">
        <v>10</v>
      </c>
      <c r="P212">
        <v>16</v>
      </c>
      <c r="Q212" t="s">
        <v>29</v>
      </c>
      <c r="R212" t="s">
        <v>61</v>
      </c>
      <c r="S212" s="3">
        <v>0</v>
      </c>
      <c r="T212" t="s">
        <v>62</v>
      </c>
      <c r="U212" t="s">
        <v>63</v>
      </c>
    </row>
    <row r="213" spans="1:21" ht="27.6">
      <c r="A213" t="s">
        <v>772</v>
      </c>
      <c r="B213" t="s">
        <v>773</v>
      </c>
      <c r="C213" t="s">
        <v>774</v>
      </c>
      <c r="D213" s="2">
        <v>46124</v>
      </c>
      <c r="E213" t="s">
        <v>47</v>
      </c>
      <c r="F213" t="s">
        <v>73</v>
      </c>
      <c r="G213" s="3">
        <v>57.2</v>
      </c>
      <c r="H213" t="s">
        <v>26</v>
      </c>
      <c r="I213" t="s">
        <v>67</v>
      </c>
      <c r="J213" s="4" t="s">
        <v>389</v>
      </c>
      <c r="K213" t="s">
        <v>29</v>
      </c>
      <c r="L213" t="s">
        <v>60</v>
      </c>
      <c r="M213" t="s">
        <v>31</v>
      </c>
      <c r="N213" t="s">
        <v>84</v>
      </c>
      <c r="O213">
        <v>10</v>
      </c>
      <c r="P213">
        <v>14</v>
      </c>
      <c r="Q213" t="s">
        <v>29</v>
      </c>
      <c r="R213" t="s">
        <v>61</v>
      </c>
      <c r="S213" s="3">
        <v>0</v>
      </c>
      <c r="T213" t="s">
        <v>62</v>
      </c>
      <c r="U213" t="s">
        <v>63</v>
      </c>
    </row>
    <row r="214" spans="1:21" ht="27.6">
      <c r="A214" t="s">
        <v>775</v>
      </c>
      <c r="B214" t="s">
        <v>776</v>
      </c>
      <c r="C214" t="s">
        <v>777</v>
      </c>
      <c r="D214" s="2">
        <v>46168</v>
      </c>
      <c r="E214" t="s">
        <v>47</v>
      </c>
      <c r="F214" t="s">
        <v>57</v>
      </c>
      <c r="G214" s="3">
        <v>44.78</v>
      </c>
      <c r="H214" t="s">
        <v>41</v>
      </c>
      <c r="I214" t="s">
        <v>67</v>
      </c>
      <c r="J214" s="4" t="s">
        <v>155</v>
      </c>
      <c r="K214" t="s">
        <v>33</v>
      </c>
      <c r="L214" t="s">
        <v>60</v>
      </c>
      <c r="M214" t="s">
        <v>31</v>
      </c>
      <c r="N214" t="s">
        <v>32</v>
      </c>
      <c r="O214">
        <v>10</v>
      </c>
      <c r="P214">
        <v>13</v>
      </c>
      <c r="Q214" t="s">
        <v>29</v>
      </c>
      <c r="R214" t="s">
        <v>61</v>
      </c>
      <c r="S214" s="3">
        <v>22.39</v>
      </c>
      <c r="T214" t="s">
        <v>52</v>
      </c>
      <c r="U214" t="s">
        <v>63</v>
      </c>
    </row>
    <row r="215" spans="1:21" ht="27.6">
      <c r="A215" t="s">
        <v>778</v>
      </c>
      <c r="B215" t="s">
        <v>779</v>
      </c>
      <c r="C215" t="s">
        <v>780</v>
      </c>
      <c r="D215" s="2">
        <v>46125</v>
      </c>
      <c r="E215" t="s">
        <v>24</v>
      </c>
      <c r="F215" t="s">
        <v>73</v>
      </c>
      <c r="G215" s="3">
        <v>29.3</v>
      </c>
      <c r="H215" t="s">
        <v>58</v>
      </c>
      <c r="I215" t="s">
        <v>27</v>
      </c>
      <c r="J215" s="4" t="s">
        <v>389</v>
      </c>
      <c r="K215" t="s">
        <v>29</v>
      </c>
      <c r="L215" t="s">
        <v>60</v>
      </c>
      <c r="M215" t="s">
        <v>31</v>
      </c>
      <c r="N215" t="s">
        <v>32</v>
      </c>
      <c r="O215">
        <v>10</v>
      </c>
      <c r="P215">
        <v>15</v>
      </c>
      <c r="Q215" t="s">
        <v>29</v>
      </c>
      <c r="R215" t="s">
        <v>61</v>
      </c>
      <c r="S215" s="3">
        <v>29.3</v>
      </c>
      <c r="T215" t="s">
        <v>52</v>
      </c>
      <c r="U215" t="s">
        <v>63</v>
      </c>
    </row>
    <row r="216" spans="1:21" ht="27.6">
      <c r="A216" t="s">
        <v>781</v>
      </c>
      <c r="B216" t="s">
        <v>782</v>
      </c>
      <c r="C216" t="s">
        <v>783</v>
      </c>
      <c r="D216" s="2">
        <v>46057</v>
      </c>
      <c r="E216" t="s">
        <v>24</v>
      </c>
      <c r="F216" t="s">
        <v>103</v>
      </c>
      <c r="G216" s="3">
        <v>72.849999999999994</v>
      </c>
      <c r="H216" t="s">
        <v>58</v>
      </c>
      <c r="I216" t="s">
        <v>27</v>
      </c>
      <c r="J216" s="4" t="s">
        <v>134</v>
      </c>
      <c r="K216" t="s">
        <v>29</v>
      </c>
      <c r="L216" t="s">
        <v>30</v>
      </c>
      <c r="M216" t="s">
        <v>31</v>
      </c>
      <c r="N216" t="s">
        <v>32</v>
      </c>
      <c r="O216">
        <v>5</v>
      </c>
      <c r="P216">
        <v>1</v>
      </c>
      <c r="Q216" t="s">
        <v>33</v>
      </c>
      <c r="R216" t="s">
        <v>34</v>
      </c>
      <c r="S216" s="3">
        <v>72.849999999999994</v>
      </c>
      <c r="T216" t="s">
        <v>35</v>
      </c>
      <c r="U216" t="s">
        <v>36</v>
      </c>
    </row>
    <row r="217" spans="1:21" ht="27.6">
      <c r="A217" t="s">
        <v>784</v>
      </c>
      <c r="B217" t="s">
        <v>785</v>
      </c>
      <c r="C217" t="s">
        <v>786</v>
      </c>
      <c r="D217" s="2">
        <v>46063</v>
      </c>
      <c r="E217" t="s">
        <v>24</v>
      </c>
      <c r="F217" t="s">
        <v>103</v>
      </c>
      <c r="G217" s="3">
        <v>21.29</v>
      </c>
      <c r="H217" t="s">
        <v>89</v>
      </c>
      <c r="I217" t="s">
        <v>67</v>
      </c>
      <c r="J217" s="4" t="s">
        <v>134</v>
      </c>
      <c r="K217" t="s">
        <v>29</v>
      </c>
      <c r="L217" t="s">
        <v>30</v>
      </c>
      <c r="M217" t="s">
        <v>31</v>
      </c>
      <c r="N217" t="s">
        <v>84</v>
      </c>
      <c r="O217">
        <v>5</v>
      </c>
      <c r="P217">
        <v>8</v>
      </c>
      <c r="Q217" t="s">
        <v>29</v>
      </c>
      <c r="R217" t="s">
        <v>34</v>
      </c>
      <c r="S217" s="3">
        <v>0</v>
      </c>
      <c r="T217" t="s">
        <v>35</v>
      </c>
      <c r="U217" t="s">
        <v>63</v>
      </c>
    </row>
    <row r="218" spans="1:21" ht="27.6">
      <c r="A218" t="s">
        <v>787</v>
      </c>
      <c r="B218" t="s">
        <v>788</v>
      </c>
      <c r="C218" t="s">
        <v>789</v>
      </c>
      <c r="D218" s="2">
        <v>46139</v>
      </c>
      <c r="E218" t="s">
        <v>24</v>
      </c>
      <c r="F218" t="s">
        <v>82</v>
      </c>
      <c r="G218" s="3">
        <v>20.190000000000001</v>
      </c>
      <c r="H218" t="s">
        <v>108</v>
      </c>
      <c r="I218" t="s">
        <v>50</v>
      </c>
      <c r="J218" s="4" t="s">
        <v>790</v>
      </c>
      <c r="K218" t="s">
        <v>29</v>
      </c>
      <c r="L218" t="s">
        <v>30</v>
      </c>
      <c r="M218" t="s">
        <v>31</v>
      </c>
      <c r="N218" t="s">
        <v>32</v>
      </c>
      <c r="O218">
        <v>7</v>
      </c>
      <c r="P218">
        <v>5</v>
      </c>
      <c r="Q218" t="s">
        <v>33</v>
      </c>
      <c r="R218" t="s">
        <v>85</v>
      </c>
      <c r="S218" s="3">
        <v>15.14</v>
      </c>
      <c r="T218" t="s">
        <v>43</v>
      </c>
      <c r="U218" t="s">
        <v>36</v>
      </c>
    </row>
    <row r="219" spans="1:21" ht="27.6">
      <c r="A219" t="s">
        <v>791</v>
      </c>
      <c r="B219" t="s">
        <v>792</v>
      </c>
      <c r="C219" t="s">
        <v>793</v>
      </c>
      <c r="D219" s="2">
        <v>46089</v>
      </c>
      <c r="E219" t="s">
        <v>40</v>
      </c>
      <c r="F219" t="s">
        <v>103</v>
      </c>
      <c r="G219" s="3">
        <v>24.27</v>
      </c>
      <c r="H219" t="s">
        <v>74</v>
      </c>
      <c r="I219" t="s">
        <v>67</v>
      </c>
      <c r="J219" s="4" t="s">
        <v>134</v>
      </c>
      <c r="K219" t="s">
        <v>33</v>
      </c>
      <c r="L219" t="s">
        <v>30</v>
      </c>
      <c r="M219" t="s">
        <v>31</v>
      </c>
      <c r="N219" t="s">
        <v>126</v>
      </c>
      <c r="O219">
        <v>5</v>
      </c>
      <c r="P219">
        <v>6</v>
      </c>
      <c r="Q219" t="s">
        <v>29</v>
      </c>
      <c r="R219" t="s">
        <v>34</v>
      </c>
      <c r="S219" s="3">
        <v>0</v>
      </c>
      <c r="T219" t="s">
        <v>35</v>
      </c>
      <c r="U219" t="s">
        <v>63</v>
      </c>
    </row>
    <row r="220" spans="1:21" ht="27.6">
      <c r="A220" t="s">
        <v>794</v>
      </c>
      <c r="B220" t="s">
        <v>795</v>
      </c>
      <c r="C220" t="s">
        <v>796</v>
      </c>
      <c r="D220" s="2">
        <v>46127</v>
      </c>
      <c r="E220" t="s">
        <v>47</v>
      </c>
      <c r="F220" t="s">
        <v>73</v>
      </c>
      <c r="G220" s="3">
        <v>38.72</v>
      </c>
      <c r="H220" t="s">
        <v>74</v>
      </c>
      <c r="I220" t="s">
        <v>50</v>
      </c>
      <c r="J220" s="4" t="s">
        <v>389</v>
      </c>
      <c r="K220" t="s">
        <v>29</v>
      </c>
      <c r="L220" t="s">
        <v>60</v>
      </c>
      <c r="M220" t="s">
        <v>31</v>
      </c>
      <c r="N220" t="s">
        <v>32</v>
      </c>
      <c r="O220">
        <v>10</v>
      </c>
      <c r="P220">
        <v>5</v>
      </c>
      <c r="Q220" t="s">
        <v>33</v>
      </c>
      <c r="R220" t="s">
        <v>61</v>
      </c>
      <c r="S220" s="3">
        <v>38.72</v>
      </c>
      <c r="T220" t="s">
        <v>52</v>
      </c>
      <c r="U220" t="s">
        <v>63</v>
      </c>
    </row>
    <row r="221" spans="1:21" ht="27.6">
      <c r="A221" t="s">
        <v>797</v>
      </c>
      <c r="B221" t="s">
        <v>798</v>
      </c>
      <c r="C221" t="s">
        <v>799</v>
      </c>
      <c r="D221" s="2">
        <v>46078</v>
      </c>
      <c r="E221" t="s">
        <v>47</v>
      </c>
      <c r="F221" t="s">
        <v>103</v>
      </c>
      <c r="G221" s="3">
        <v>88.63</v>
      </c>
      <c r="H221" t="s">
        <v>26</v>
      </c>
      <c r="I221" t="s">
        <v>27</v>
      </c>
      <c r="J221" s="4" t="s">
        <v>104</v>
      </c>
      <c r="K221" t="s">
        <v>33</v>
      </c>
      <c r="L221" t="s">
        <v>30</v>
      </c>
      <c r="M221" t="s">
        <v>31</v>
      </c>
      <c r="N221" t="s">
        <v>32</v>
      </c>
      <c r="O221">
        <v>5</v>
      </c>
      <c r="P221">
        <v>4</v>
      </c>
      <c r="Q221" t="s">
        <v>33</v>
      </c>
      <c r="R221" t="s">
        <v>34</v>
      </c>
      <c r="S221" s="3">
        <v>0</v>
      </c>
      <c r="T221" t="s">
        <v>247</v>
      </c>
      <c r="U221" t="s">
        <v>36</v>
      </c>
    </row>
    <row r="222" spans="1:21" ht="27.6">
      <c r="A222" t="s">
        <v>800</v>
      </c>
      <c r="B222" t="s">
        <v>801</v>
      </c>
      <c r="C222" t="s">
        <v>802</v>
      </c>
      <c r="D222" s="2">
        <v>46039</v>
      </c>
      <c r="E222" t="s">
        <v>24</v>
      </c>
      <c r="F222" t="s">
        <v>118</v>
      </c>
      <c r="G222" s="3">
        <v>28.43</v>
      </c>
      <c r="H222" t="s">
        <v>58</v>
      </c>
      <c r="I222" t="s">
        <v>50</v>
      </c>
      <c r="J222" s="4" t="s">
        <v>119</v>
      </c>
      <c r="K222" t="s">
        <v>33</v>
      </c>
      <c r="L222" t="s">
        <v>30</v>
      </c>
      <c r="M222" t="s">
        <v>31</v>
      </c>
      <c r="N222" t="s">
        <v>32</v>
      </c>
      <c r="O222">
        <v>5</v>
      </c>
      <c r="P222">
        <v>8</v>
      </c>
      <c r="Q222" t="s">
        <v>29</v>
      </c>
      <c r="R222" t="s">
        <v>85</v>
      </c>
      <c r="S222" s="3">
        <v>0</v>
      </c>
      <c r="T222" t="s">
        <v>121</v>
      </c>
      <c r="U222" t="s">
        <v>63</v>
      </c>
    </row>
    <row r="223" spans="1:21" ht="27.6">
      <c r="A223" t="s">
        <v>803</v>
      </c>
      <c r="B223" t="s">
        <v>804</v>
      </c>
      <c r="C223" t="s">
        <v>805</v>
      </c>
      <c r="D223" s="2">
        <v>46058</v>
      </c>
      <c r="E223" t="s">
        <v>40</v>
      </c>
      <c r="F223" t="s">
        <v>172</v>
      </c>
      <c r="G223" s="3">
        <v>33.31</v>
      </c>
      <c r="H223" t="s">
        <v>26</v>
      </c>
      <c r="I223" t="s">
        <v>50</v>
      </c>
      <c r="J223" s="4" t="s">
        <v>285</v>
      </c>
      <c r="K223" t="s">
        <v>33</v>
      </c>
      <c r="L223" t="s">
        <v>30</v>
      </c>
      <c r="M223" t="s">
        <v>31</v>
      </c>
      <c r="N223" t="s">
        <v>32</v>
      </c>
      <c r="O223">
        <v>7</v>
      </c>
      <c r="P223">
        <v>12</v>
      </c>
      <c r="Q223" t="s">
        <v>29</v>
      </c>
      <c r="R223" t="s">
        <v>174</v>
      </c>
      <c r="S223" s="3">
        <v>0</v>
      </c>
      <c r="T223" t="s">
        <v>69</v>
      </c>
      <c r="U223" t="s">
        <v>63</v>
      </c>
    </row>
    <row r="224" spans="1:21" ht="27.6">
      <c r="A224" t="s">
        <v>806</v>
      </c>
      <c r="B224" t="s">
        <v>807</v>
      </c>
      <c r="C224" t="s">
        <v>472</v>
      </c>
      <c r="D224" s="2">
        <v>46099</v>
      </c>
      <c r="E224" t="s">
        <v>94</v>
      </c>
      <c r="F224" t="s">
        <v>57</v>
      </c>
      <c r="G224" s="3">
        <v>79.08</v>
      </c>
      <c r="H224" t="s">
        <v>26</v>
      </c>
      <c r="I224" t="s">
        <v>27</v>
      </c>
      <c r="J224" s="4" t="s">
        <v>59</v>
      </c>
      <c r="K224" t="s">
        <v>33</v>
      </c>
      <c r="L224" t="s">
        <v>60</v>
      </c>
      <c r="M224" t="s">
        <v>31</v>
      </c>
      <c r="N224" t="s">
        <v>32</v>
      </c>
      <c r="O224">
        <v>10</v>
      </c>
      <c r="P224">
        <v>15</v>
      </c>
      <c r="Q224" t="s">
        <v>29</v>
      </c>
      <c r="R224" t="s">
        <v>61</v>
      </c>
      <c r="S224" s="3">
        <v>39.54</v>
      </c>
      <c r="T224" t="s">
        <v>62</v>
      </c>
      <c r="U224" t="s">
        <v>63</v>
      </c>
    </row>
    <row r="225" spans="1:21" ht="27.6">
      <c r="A225" t="s">
        <v>808</v>
      </c>
      <c r="B225" t="s">
        <v>809</v>
      </c>
      <c r="C225" t="s">
        <v>810</v>
      </c>
      <c r="D225" s="2">
        <v>46101</v>
      </c>
      <c r="E225" t="s">
        <v>47</v>
      </c>
      <c r="F225" t="s">
        <v>73</v>
      </c>
      <c r="G225" s="3">
        <v>25.75</v>
      </c>
      <c r="H225" t="s">
        <v>108</v>
      </c>
      <c r="I225" t="s">
        <v>67</v>
      </c>
      <c r="J225" s="4" t="s">
        <v>75</v>
      </c>
      <c r="K225" t="s">
        <v>29</v>
      </c>
      <c r="L225" t="s">
        <v>60</v>
      </c>
      <c r="M225" t="s">
        <v>31</v>
      </c>
      <c r="N225" t="s">
        <v>32</v>
      </c>
      <c r="O225">
        <v>10</v>
      </c>
      <c r="P225">
        <v>6</v>
      </c>
      <c r="Q225" t="s">
        <v>33</v>
      </c>
      <c r="R225" t="s">
        <v>61</v>
      </c>
      <c r="S225" s="3">
        <v>12.88</v>
      </c>
      <c r="T225" t="s">
        <v>62</v>
      </c>
      <c r="U225" t="s">
        <v>63</v>
      </c>
    </row>
    <row r="226" spans="1:21" ht="27.6">
      <c r="A226" t="s">
        <v>811</v>
      </c>
      <c r="B226" t="s">
        <v>812</v>
      </c>
      <c r="C226" t="s">
        <v>813</v>
      </c>
      <c r="D226" s="2">
        <v>46099</v>
      </c>
      <c r="E226" t="s">
        <v>24</v>
      </c>
      <c r="F226" t="s">
        <v>73</v>
      </c>
      <c r="G226" s="3">
        <v>30.3</v>
      </c>
      <c r="H226" t="s">
        <v>108</v>
      </c>
      <c r="I226" t="s">
        <v>27</v>
      </c>
      <c r="J226" s="4" t="s">
        <v>75</v>
      </c>
      <c r="K226" t="s">
        <v>33</v>
      </c>
      <c r="L226" t="s">
        <v>60</v>
      </c>
      <c r="M226" t="s">
        <v>31</v>
      </c>
      <c r="N226" t="s">
        <v>84</v>
      </c>
      <c r="O226">
        <v>10</v>
      </c>
      <c r="P226">
        <v>12</v>
      </c>
      <c r="Q226" t="s">
        <v>29</v>
      </c>
      <c r="R226" t="s">
        <v>61</v>
      </c>
      <c r="S226" s="3">
        <v>0</v>
      </c>
      <c r="T226" t="s">
        <v>156</v>
      </c>
      <c r="U226" t="s">
        <v>63</v>
      </c>
    </row>
    <row r="227" spans="1:21" ht="27.6">
      <c r="A227" t="s">
        <v>814</v>
      </c>
      <c r="B227" t="s">
        <v>815</v>
      </c>
      <c r="C227" t="s">
        <v>816</v>
      </c>
      <c r="D227" s="2">
        <v>46132</v>
      </c>
      <c r="E227" t="s">
        <v>24</v>
      </c>
      <c r="F227" t="s">
        <v>48</v>
      </c>
      <c r="G227" s="3">
        <v>33.89</v>
      </c>
      <c r="H227" t="s">
        <v>74</v>
      </c>
      <c r="I227" t="s">
        <v>50</v>
      </c>
      <c r="J227" s="4" t="s">
        <v>51</v>
      </c>
      <c r="K227" t="s">
        <v>33</v>
      </c>
      <c r="L227" t="s">
        <v>30</v>
      </c>
      <c r="M227" t="s">
        <v>31</v>
      </c>
      <c r="N227" t="s">
        <v>32</v>
      </c>
      <c r="O227">
        <v>10</v>
      </c>
      <c r="P227">
        <v>8</v>
      </c>
      <c r="Q227" t="s">
        <v>33</v>
      </c>
      <c r="R227" t="s">
        <v>34</v>
      </c>
      <c r="S227" s="3">
        <v>16.95</v>
      </c>
      <c r="T227" t="s">
        <v>52</v>
      </c>
      <c r="U227" t="s">
        <v>63</v>
      </c>
    </row>
    <row r="228" spans="1:21" ht="27.6">
      <c r="A228" t="s">
        <v>817</v>
      </c>
      <c r="B228" t="s">
        <v>818</v>
      </c>
      <c r="C228" t="s">
        <v>819</v>
      </c>
      <c r="D228" s="2">
        <v>46111</v>
      </c>
      <c r="E228" t="s">
        <v>24</v>
      </c>
      <c r="F228" t="s">
        <v>25</v>
      </c>
      <c r="G228" s="3">
        <v>40.729999999999997</v>
      </c>
      <c r="H228" t="s">
        <v>26</v>
      </c>
      <c r="I228" t="s">
        <v>67</v>
      </c>
      <c r="J228" s="4" t="s">
        <v>42</v>
      </c>
      <c r="K228" t="s">
        <v>29</v>
      </c>
      <c r="L228" t="s">
        <v>30</v>
      </c>
      <c r="M228" t="s">
        <v>31</v>
      </c>
      <c r="N228" t="s">
        <v>32</v>
      </c>
      <c r="O228">
        <v>5</v>
      </c>
      <c r="P228">
        <v>2</v>
      </c>
      <c r="Q228" t="s">
        <v>33</v>
      </c>
      <c r="R228" t="s">
        <v>34</v>
      </c>
      <c r="S228" s="3">
        <v>40.729999999999997</v>
      </c>
      <c r="T228" t="s">
        <v>43</v>
      </c>
      <c r="U228" t="s">
        <v>53</v>
      </c>
    </row>
    <row r="229" spans="1:21" ht="27.6">
      <c r="A229" t="s">
        <v>820</v>
      </c>
      <c r="B229" t="s">
        <v>821</v>
      </c>
      <c r="C229" t="s">
        <v>822</v>
      </c>
      <c r="D229" s="2">
        <v>46071</v>
      </c>
      <c r="E229" t="s">
        <v>24</v>
      </c>
      <c r="F229" t="s">
        <v>73</v>
      </c>
      <c r="G229" s="3">
        <v>40.76</v>
      </c>
      <c r="H229" t="s">
        <v>58</v>
      </c>
      <c r="I229" t="s">
        <v>50</v>
      </c>
      <c r="J229" s="4" t="s">
        <v>75</v>
      </c>
      <c r="K229" t="s">
        <v>29</v>
      </c>
      <c r="L229" t="s">
        <v>60</v>
      </c>
      <c r="M229" t="s">
        <v>31</v>
      </c>
      <c r="N229" t="s">
        <v>32</v>
      </c>
      <c r="O229">
        <v>10</v>
      </c>
      <c r="P229">
        <v>11</v>
      </c>
      <c r="Q229" t="s">
        <v>29</v>
      </c>
      <c r="R229" t="s">
        <v>61</v>
      </c>
      <c r="S229" s="3">
        <v>20.38</v>
      </c>
      <c r="T229" t="s">
        <v>62</v>
      </c>
      <c r="U229" t="s">
        <v>63</v>
      </c>
    </row>
    <row r="230" spans="1:21" ht="27.6">
      <c r="A230" t="s">
        <v>823</v>
      </c>
      <c r="B230" t="s">
        <v>801</v>
      </c>
      <c r="C230" t="s">
        <v>824</v>
      </c>
      <c r="D230" s="2">
        <v>46028</v>
      </c>
      <c r="E230" t="s">
        <v>24</v>
      </c>
      <c r="F230" t="s">
        <v>25</v>
      </c>
      <c r="G230" s="3">
        <v>36.869999999999997</v>
      </c>
      <c r="H230" t="s">
        <v>41</v>
      </c>
      <c r="I230" t="s">
        <v>27</v>
      </c>
      <c r="J230" s="4" t="s">
        <v>825</v>
      </c>
      <c r="K230" t="s">
        <v>29</v>
      </c>
      <c r="L230" t="s">
        <v>30</v>
      </c>
      <c r="M230" t="s">
        <v>31</v>
      </c>
      <c r="N230" t="s">
        <v>32</v>
      </c>
      <c r="O230">
        <v>5</v>
      </c>
      <c r="P230">
        <v>5</v>
      </c>
      <c r="Q230" t="s">
        <v>33</v>
      </c>
      <c r="R230" t="s">
        <v>34</v>
      </c>
      <c r="S230" s="3">
        <v>36.869999999999997</v>
      </c>
      <c r="T230" t="s">
        <v>35</v>
      </c>
      <c r="U230" t="s">
        <v>36</v>
      </c>
    </row>
    <row r="231" spans="1:21" ht="27.6">
      <c r="A231" t="s">
        <v>826</v>
      </c>
      <c r="B231" t="s">
        <v>827</v>
      </c>
      <c r="C231" t="s">
        <v>828</v>
      </c>
      <c r="D231" s="2">
        <v>46049</v>
      </c>
      <c r="E231" t="s">
        <v>47</v>
      </c>
      <c r="F231" t="s">
        <v>172</v>
      </c>
      <c r="G231" s="3">
        <v>9.2799999999999994</v>
      </c>
      <c r="H231" t="s">
        <v>108</v>
      </c>
      <c r="I231" t="s">
        <v>27</v>
      </c>
      <c r="J231" s="4" t="s">
        <v>285</v>
      </c>
      <c r="K231" t="s">
        <v>29</v>
      </c>
      <c r="L231" t="s">
        <v>30</v>
      </c>
      <c r="M231" t="s">
        <v>31</v>
      </c>
      <c r="N231" t="s">
        <v>84</v>
      </c>
      <c r="O231">
        <v>7</v>
      </c>
      <c r="P231">
        <v>7</v>
      </c>
      <c r="Q231" t="s">
        <v>33</v>
      </c>
      <c r="R231" t="s">
        <v>174</v>
      </c>
      <c r="S231" s="3">
        <v>0</v>
      </c>
      <c r="T231" t="s">
        <v>286</v>
      </c>
      <c r="U231" t="s">
        <v>36</v>
      </c>
    </row>
    <row r="232" spans="1:21" ht="27.6">
      <c r="A232" t="s">
        <v>829</v>
      </c>
      <c r="B232" t="s">
        <v>830</v>
      </c>
      <c r="C232" t="s">
        <v>831</v>
      </c>
      <c r="D232" s="2">
        <v>46033</v>
      </c>
      <c r="E232" t="s">
        <v>47</v>
      </c>
      <c r="F232" t="s">
        <v>73</v>
      </c>
      <c r="G232" s="3">
        <v>68.61</v>
      </c>
      <c r="H232" t="s">
        <v>74</v>
      </c>
      <c r="I232" t="s">
        <v>27</v>
      </c>
      <c r="J232" s="4" t="s">
        <v>75</v>
      </c>
      <c r="K232" t="s">
        <v>29</v>
      </c>
      <c r="L232" t="s">
        <v>60</v>
      </c>
      <c r="M232" t="s">
        <v>31</v>
      </c>
      <c r="N232" t="s">
        <v>32</v>
      </c>
      <c r="O232">
        <v>10</v>
      </c>
      <c r="P232">
        <v>13</v>
      </c>
      <c r="Q232" t="s">
        <v>29</v>
      </c>
      <c r="R232" t="s">
        <v>61</v>
      </c>
      <c r="S232" s="3">
        <v>68.61</v>
      </c>
      <c r="T232" t="s">
        <v>156</v>
      </c>
      <c r="U232" t="s">
        <v>63</v>
      </c>
    </row>
    <row r="233" spans="1:21" ht="27.6">
      <c r="A233" t="s">
        <v>832</v>
      </c>
      <c r="B233" t="s">
        <v>833</v>
      </c>
      <c r="C233" t="s">
        <v>834</v>
      </c>
      <c r="D233" s="2">
        <v>46082</v>
      </c>
      <c r="E233" t="s">
        <v>47</v>
      </c>
      <c r="F233" t="s">
        <v>48</v>
      </c>
      <c r="G233" s="3">
        <v>28.16</v>
      </c>
      <c r="H233" t="s">
        <v>49</v>
      </c>
      <c r="I233" t="s">
        <v>27</v>
      </c>
      <c r="J233" s="4" t="s">
        <v>51</v>
      </c>
      <c r="K233" t="s">
        <v>29</v>
      </c>
      <c r="L233" t="s">
        <v>30</v>
      </c>
      <c r="M233" t="s">
        <v>31</v>
      </c>
      <c r="N233" t="s">
        <v>32</v>
      </c>
      <c r="O233">
        <v>10</v>
      </c>
      <c r="P233">
        <v>2</v>
      </c>
      <c r="Q233" t="s">
        <v>33</v>
      </c>
      <c r="R233" t="s">
        <v>34</v>
      </c>
      <c r="S233" s="3">
        <v>0</v>
      </c>
      <c r="T233" t="s">
        <v>52</v>
      </c>
      <c r="U233" t="s">
        <v>36</v>
      </c>
    </row>
    <row r="234" spans="1:21" ht="27.6">
      <c r="A234" t="s">
        <v>835</v>
      </c>
      <c r="B234" t="s">
        <v>836</v>
      </c>
      <c r="C234" t="s">
        <v>837</v>
      </c>
      <c r="D234" s="2">
        <v>46034</v>
      </c>
      <c r="E234" t="s">
        <v>24</v>
      </c>
      <c r="F234" t="s">
        <v>25</v>
      </c>
      <c r="G234" s="3">
        <v>55.69</v>
      </c>
      <c r="H234" t="s">
        <v>108</v>
      </c>
      <c r="I234" t="s">
        <v>67</v>
      </c>
      <c r="J234" s="4" t="s">
        <v>42</v>
      </c>
      <c r="K234" t="s">
        <v>29</v>
      </c>
      <c r="L234" t="s">
        <v>30</v>
      </c>
      <c r="M234" t="s">
        <v>31</v>
      </c>
      <c r="N234" t="s">
        <v>32</v>
      </c>
      <c r="O234">
        <v>5</v>
      </c>
      <c r="P234">
        <v>10</v>
      </c>
      <c r="Q234" t="s">
        <v>29</v>
      </c>
      <c r="R234" t="s">
        <v>34</v>
      </c>
      <c r="S234" s="3">
        <v>41.77</v>
      </c>
      <c r="T234" t="s">
        <v>35</v>
      </c>
      <c r="U234" t="s">
        <v>63</v>
      </c>
    </row>
    <row r="235" spans="1:21" ht="27.6">
      <c r="A235" t="s">
        <v>838</v>
      </c>
      <c r="B235" t="s">
        <v>839</v>
      </c>
      <c r="C235" t="s">
        <v>840</v>
      </c>
      <c r="D235" s="2">
        <v>46145</v>
      </c>
      <c r="E235" t="s">
        <v>40</v>
      </c>
      <c r="F235" t="s">
        <v>172</v>
      </c>
      <c r="G235" s="3">
        <v>65.900000000000006</v>
      </c>
      <c r="H235" t="s">
        <v>58</v>
      </c>
      <c r="I235" t="s">
        <v>50</v>
      </c>
      <c r="J235" s="4" t="s">
        <v>285</v>
      </c>
      <c r="K235" t="s">
        <v>33</v>
      </c>
      <c r="L235" t="s">
        <v>30</v>
      </c>
      <c r="M235" t="s">
        <v>31</v>
      </c>
      <c r="N235" t="s">
        <v>32</v>
      </c>
      <c r="O235">
        <v>7</v>
      </c>
      <c r="P235">
        <v>14</v>
      </c>
      <c r="Q235" t="s">
        <v>29</v>
      </c>
      <c r="R235" t="s">
        <v>174</v>
      </c>
      <c r="S235" s="3">
        <v>0</v>
      </c>
      <c r="T235" t="s">
        <v>69</v>
      </c>
      <c r="U235" t="s">
        <v>63</v>
      </c>
    </row>
    <row r="236" spans="1:21" ht="27.6">
      <c r="A236" t="s">
        <v>841</v>
      </c>
      <c r="B236" t="s">
        <v>842</v>
      </c>
      <c r="C236" t="s">
        <v>843</v>
      </c>
      <c r="D236" s="2">
        <v>46120</v>
      </c>
      <c r="E236" t="s">
        <v>40</v>
      </c>
      <c r="F236" t="s">
        <v>172</v>
      </c>
      <c r="G236" s="3">
        <v>38.54</v>
      </c>
      <c r="H236" t="s">
        <v>108</v>
      </c>
      <c r="I236" t="s">
        <v>27</v>
      </c>
      <c r="J236" s="4" t="s">
        <v>285</v>
      </c>
      <c r="K236" t="s">
        <v>29</v>
      </c>
      <c r="L236" t="s">
        <v>30</v>
      </c>
      <c r="M236" t="s">
        <v>31</v>
      </c>
      <c r="N236" t="s">
        <v>32</v>
      </c>
      <c r="O236">
        <v>7</v>
      </c>
      <c r="P236">
        <v>6</v>
      </c>
      <c r="Q236" t="s">
        <v>33</v>
      </c>
      <c r="R236" t="s">
        <v>174</v>
      </c>
      <c r="S236" s="3">
        <v>0</v>
      </c>
      <c r="T236" t="s">
        <v>110</v>
      </c>
      <c r="U236" t="s">
        <v>53</v>
      </c>
    </row>
    <row r="237" spans="1:21" ht="27.6">
      <c r="A237" t="s">
        <v>844</v>
      </c>
      <c r="B237" t="s">
        <v>845</v>
      </c>
      <c r="C237" t="s">
        <v>846</v>
      </c>
      <c r="D237" s="2">
        <v>46047</v>
      </c>
      <c r="E237" t="s">
        <v>47</v>
      </c>
      <c r="F237" t="s">
        <v>103</v>
      </c>
      <c r="G237" s="3">
        <v>37.4</v>
      </c>
      <c r="H237" t="s">
        <v>58</v>
      </c>
      <c r="I237" t="s">
        <v>27</v>
      </c>
      <c r="J237" s="4" t="s">
        <v>104</v>
      </c>
      <c r="K237" t="s">
        <v>33</v>
      </c>
      <c r="L237" t="s">
        <v>30</v>
      </c>
      <c r="M237" t="s">
        <v>31</v>
      </c>
      <c r="N237" t="s">
        <v>32</v>
      </c>
      <c r="O237">
        <v>5</v>
      </c>
      <c r="P237">
        <v>13</v>
      </c>
      <c r="Q237" t="s">
        <v>29</v>
      </c>
      <c r="R237" t="s">
        <v>34</v>
      </c>
      <c r="S237" s="3">
        <v>0</v>
      </c>
      <c r="T237" t="s">
        <v>35</v>
      </c>
      <c r="U237" t="s">
        <v>63</v>
      </c>
    </row>
    <row r="238" spans="1:21" ht="27.6">
      <c r="A238" t="s">
        <v>847</v>
      </c>
      <c r="B238" t="s">
        <v>848</v>
      </c>
      <c r="C238" t="s">
        <v>849</v>
      </c>
      <c r="D238" s="2">
        <v>46042</v>
      </c>
      <c r="E238" t="s">
        <v>40</v>
      </c>
      <c r="F238" t="s">
        <v>118</v>
      </c>
      <c r="G238" s="3">
        <v>28.74</v>
      </c>
      <c r="H238" t="s">
        <v>89</v>
      </c>
      <c r="I238" t="s">
        <v>27</v>
      </c>
      <c r="J238" s="4" t="s">
        <v>850</v>
      </c>
      <c r="K238" t="s">
        <v>29</v>
      </c>
      <c r="L238" t="s">
        <v>120</v>
      </c>
      <c r="M238" t="s">
        <v>96</v>
      </c>
      <c r="N238" t="s">
        <v>32</v>
      </c>
      <c r="O238">
        <v>5</v>
      </c>
      <c r="P238">
        <v>1</v>
      </c>
      <c r="Q238" t="s">
        <v>33</v>
      </c>
      <c r="R238" t="s">
        <v>85</v>
      </c>
      <c r="S238" s="3">
        <v>28.74</v>
      </c>
      <c r="T238" t="s">
        <v>121</v>
      </c>
      <c r="U238" t="s">
        <v>36</v>
      </c>
    </row>
    <row r="239" spans="1:21" ht="27.6">
      <c r="A239" t="s">
        <v>851</v>
      </c>
      <c r="B239" t="s">
        <v>852</v>
      </c>
      <c r="C239" t="s">
        <v>853</v>
      </c>
      <c r="D239" s="2">
        <v>46103</v>
      </c>
      <c r="E239" t="s">
        <v>24</v>
      </c>
      <c r="F239" t="s">
        <v>82</v>
      </c>
      <c r="G239" s="3">
        <v>51.9</v>
      </c>
      <c r="H239" t="s">
        <v>108</v>
      </c>
      <c r="I239" t="s">
        <v>27</v>
      </c>
      <c r="J239" s="4" t="s">
        <v>114</v>
      </c>
      <c r="K239" t="s">
        <v>33</v>
      </c>
      <c r="L239" t="s">
        <v>30</v>
      </c>
      <c r="M239" t="s">
        <v>31</v>
      </c>
      <c r="N239" t="s">
        <v>126</v>
      </c>
      <c r="O239">
        <v>7</v>
      </c>
      <c r="P239">
        <v>7</v>
      </c>
      <c r="Q239" t="s">
        <v>33</v>
      </c>
      <c r="R239" t="s">
        <v>85</v>
      </c>
      <c r="S239" s="3">
        <v>0</v>
      </c>
      <c r="T239" t="s">
        <v>43</v>
      </c>
      <c r="U239" t="s">
        <v>36</v>
      </c>
    </row>
    <row r="240" spans="1:21" ht="27.6">
      <c r="A240" t="s">
        <v>854</v>
      </c>
      <c r="B240" t="s">
        <v>855</v>
      </c>
      <c r="C240" t="s">
        <v>856</v>
      </c>
      <c r="D240" s="2">
        <v>46116</v>
      </c>
      <c r="E240" t="s">
        <v>40</v>
      </c>
      <c r="F240" t="s">
        <v>57</v>
      </c>
      <c r="G240" s="3">
        <v>85.76</v>
      </c>
      <c r="H240" t="s">
        <v>49</v>
      </c>
      <c r="I240" t="s">
        <v>50</v>
      </c>
      <c r="J240" s="4" t="s">
        <v>155</v>
      </c>
      <c r="K240" t="s">
        <v>29</v>
      </c>
      <c r="L240" t="s">
        <v>60</v>
      </c>
      <c r="M240" t="s">
        <v>31</v>
      </c>
      <c r="N240" t="s">
        <v>32</v>
      </c>
      <c r="O240">
        <v>10</v>
      </c>
      <c r="P240">
        <v>8</v>
      </c>
      <c r="Q240" t="s">
        <v>33</v>
      </c>
      <c r="R240" t="s">
        <v>61</v>
      </c>
      <c r="S240" s="3">
        <v>85.76</v>
      </c>
      <c r="T240" t="s">
        <v>62</v>
      </c>
      <c r="U240" t="s">
        <v>63</v>
      </c>
    </row>
    <row r="241" spans="1:21" ht="27.6">
      <c r="A241" t="s">
        <v>857</v>
      </c>
      <c r="B241" t="s">
        <v>858</v>
      </c>
      <c r="C241" t="s">
        <v>859</v>
      </c>
      <c r="D241" s="2">
        <v>46118</v>
      </c>
      <c r="E241" t="s">
        <v>40</v>
      </c>
      <c r="F241" t="s">
        <v>25</v>
      </c>
      <c r="G241" s="3">
        <v>22.88</v>
      </c>
      <c r="H241" t="s">
        <v>58</v>
      </c>
      <c r="I241" t="s">
        <v>50</v>
      </c>
      <c r="J241" s="4" t="s">
        <v>860</v>
      </c>
      <c r="K241" t="s">
        <v>29</v>
      </c>
      <c r="L241" t="s">
        <v>30</v>
      </c>
      <c r="M241" t="s">
        <v>96</v>
      </c>
      <c r="N241" t="s">
        <v>32</v>
      </c>
      <c r="O241">
        <v>5</v>
      </c>
      <c r="P241">
        <v>8</v>
      </c>
      <c r="Q241" t="s">
        <v>29</v>
      </c>
      <c r="R241" t="s">
        <v>34</v>
      </c>
      <c r="S241" s="3">
        <v>22.88</v>
      </c>
      <c r="T241" t="s">
        <v>43</v>
      </c>
      <c r="U241" t="s">
        <v>63</v>
      </c>
    </row>
    <row r="242" spans="1:21" ht="27.6">
      <c r="A242" t="s">
        <v>861</v>
      </c>
      <c r="B242" t="s">
        <v>862</v>
      </c>
      <c r="C242" t="s">
        <v>863</v>
      </c>
      <c r="D242" s="2">
        <v>46123</v>
      </c>
      <c r="E242" t="s">
        <v>24</v>
      </c>
      <c r="F242" t="s">
        <v>57</v>
      </c>
      <c r="G242" s="3">
        <v>20.46</v>
      </c>
      <c r="H242" t="s">
        <v>49</v>
      </c>
      <c r="I242" t="s">
        <v>27</v>
      </c>
      <c r="J242" s="4" t="s">
        <v>59</v>
      </c>
      <c r="K242" t="s">
        <v>33</v>
      </c>
      <c r="L242" t="s">
        <v>60</v>
      </c>
      <c r="M242" t="s">
        <v>31</v>
      </c>
      <c r="N242" t="s">
        <v>32</v>
      </c>
      <c r="O242">
        <v>10</v>
      </c>
      <c r="P242">
        <v>9</v>
      </c>
      <c r="Q242" t="s">
        <v>33</v>
      </c>
      <c r="R242" t="s">
        <v>61</v>
      </c>
      <c r="S242" s="3">
        <v>0</v>
      </c>
      <c r="T242" t="s">
        <v>62</v>
      </c>
      <c r="U242" t="s">
        <v>63</v>
      </c>
    </row>
    <row r="243" spans="1:21" ht="27.6">
      <c r="A243" t="s">
        <v>864</v>
      </c>
      <c r="B243" t="s">
        <v>865</v>
      </c>
      <c r="C243" t="s">
        <v>866</v>
      </c>
      <c r="D243" s="2">
        <v>46158</v>
      </c>
      <c r="E243" t="s">
        <v>40</v>
      </c>
      <c r="F243" t="s">
        <v>172</v>
      </c>
      <c r="G243" s="3">
        <v>31.94</v>
      </c>
      <c r="H243" t="s">
        <v>89</v>
      </c>
      <c r="I243" t="s">
        <v>67</v>
      </c>
      <c r="J243" s="4" t="s">
        <v>173</v>
      </c>
      <c r="K243" t="s">
        <v>33</v>
      </c>
      <c r="L243" t="s">
        <v>30</v>
      </c>
      <c r="M243" t="s">
        <v>31</v>
      </c>
      <c r="N243" t="s">
        <v>32</v>
      </c>
      <c r="O243">
        <v>7</v>
      </c>
      <c r="P243">
        <v>8</v>
      </c>
      <c r="Q243" t="s">
        <v>29</v>
      </c>
      <c r="R243" t="s">
        <v>174</v>
      </c>
      <c r="S243" s="3">
        <v>0</v>
      </c>
      <c r="T243" t="s">
        <v>110</v>
      </c>
      <c r="U243" t="s">
        <v>63</v>
      </c>
    </row>
    <row r="244" spans="1:21" ht="27.6">
      <c r="A244" t="s">
        <v>867</v>
      </c>
      <c r="B244" t="s">
        <v>868</v>
      </c>
      <c r="C244" t="s">
        <v>869</v>
      </c>
      <c r="D244" s="2">
        <v>46105</v>
      </c>
      <c r="E244" t="s">
        <v>47</v>
      </c>
      <c r="F244" t="s">
        <v>82</v>
      </c>
      <c r="G244" s="3">
        <v>68.489999999999995</v>
      </c>
      <c r="H244" t="s">
        <v>41</v>
      </c>
      <c r="I244" t="s">
        <v>67</v>
      </c>
      <c r="J244" s="4" t="s">
        <v>870</v>
      </c>
      <c r="K244" t="s">
        <v>33</v>
      </c>
      <c r="L244" t="s">
        <v>30</v>
      </c>
      <c r="M244" t="s">
        <v>31</v>
      </c>
      <c r="N244" t="s">
        <v>126</v>
      </c>
      <c r="O244">
        <v>7</v>
      </c>
      <c r="P244">
        <v>8</v>
      </c>
      <c r="Q244" t="s">
        <v>29</v>
      </c>
      <c r="R244" t="s">
        <v>85</v>
      </c>
      <c r="S244" s="3">
        <v>0</v>
      </c>
      <c r="T244" t="s">
        <v>43</v>
      </c>
      <c r="U244" t="s">
        <v>63</v>
      </c>
    </row>
    <row r="245" spans="1:21" ht="27.6">
      <c r="A245" t="s">
        <v>871</v>
      </c>
      <c r="B245" t="s">
        <v>872</v>
      </c>
      <c r="C245" t="s">
        <v>873</v>
      </c>
      <c r="D245" s="2">
        <v>46164</v>
      </c>
      <c r="E245" t="s">
        <v>47</v>
      </c>
      <c r="F245" t="s">
        <v>118</v>
      </c>
      <c r="G245" s="3">
        <v>52.21</v>
      </c>
      <c r="H245" t="s">
        <v>41</v>
      </c>
      <c r="I245" t="s">
        <v>67</v>
      </c>
      <c r="J245" s="4" t="s">
        <v>874</v>
      </c>
      <c r="K245" t="s">
        <v>29</v>
      </c>
      <c r="L245" t="s">
        <v>120</v>
      </c>
      <c r="M245" t="s">
        <v>96</v>
      </c>
      <c r="N245" t="s">
        <v>32</v>
      </c>
      <c r="O245">
        <v>5</v>
      </c>
      <c r="P245">
        <v>6</v>
      </c>
      <c r="Q245" t="s">
        <v>29</v>
      </c>
      <c r="R245" t="s">
        <v>85</v>
      </c>
      <c r="S245" s="3">
        <v>52.21</v>
      </c>
      <c r="T245" t="s">
        <v>121</v>
      </c>
      <c r="U245" t="s">
        <v>63</v>
      </c>
    </row>
    <row r="246" spans="1:21" ht="27.6">
      <c r="A246" t="s">
        <v>875</v>
      </c>
      <c r="B246" t="s">
        <v>876</v>
      </c>
      <c r="C246" t="s">
        <v>877</v>
      </c>
      <c r="D246" s="2">
        <v>46105</v>
      </c>
      <c r="E246" t="s">
        <v>40</v>
      </c>
      <c r="F246" t="s">
        <v>57</v>
      </c>
      <c r="G246" s="3">
        <v>50.28</v>
      </c>
      <c r="H246" t="s">
        <v>58</v>
      </c>
      <c r="I246" t="s">
        <v>50</v>
      </c>
      <c r="J246" s="4" t="s">
        <v>59</v>
      </c>
      <c r="K246" t="s">
        <v>33</v>
      </c>
      <c r="L246" t="s">
        <v>60</v>
      </c>
      <c r="M246" t="s">
        <v>31</v>
      </c>
      <c r="N246" t="s">
        <v>126</v>
      </c>
      <c r="O246">
        <v>10</v>
      </c>
      <c r="P246">
        <v>9</v>
      </c>
      <c r="Q246" t="s">
        <v>33</v>
      </c>
      <c r="R246" t="s">
        <v>61</v>
      </c>
      <c r="S246" s="3">
        <v>0</v>
      </c>
      <c r="T246" t="s">
        <v>62</v>
      </c>
      <c r="U246" t="s">
        <v>63</v>
      </c>
    </row>
    <row r="247" spans="1:21" ht="27.6">
      <c r="A247" t="s">
        <v>878</v>
      </c>
      <c r="B247" t="s">
        <v>879</v>
      </c>
      <c r="C247" t="s">
        <v>880</v>
      </c>
      <c r="D247" s="2">
        <v>46060</v>
      </c>
      <c r="E247" t="s">
        <v>24</v>
      </c>
      <c r="F247" t="s">
        <v>25</v>
      </c>
      <c r="G247" s="3">
        <v>8.2899999999999991</v>
      </c>
      <c r="H247" t="s">
        <v>41</v>
      </c>
      <c r="I247" t="s">
        <v>50</v>
      </c>
      <c r="J247" s="4" t="s">
        <v>42</v>
      </c>
      <c r="K247" t="s">
        <v>29</v>
      </c>
      <c r="L247" t="s">
        <v>30</v>
      </c>
      <c r="M247" t="s">
        <v>96</v>
      </c>
      <c r="N247" t="s">
        <v>32</v>
      </c>
      <c r="O247">
        <v>5</v>
      </c>
      <c r="P247">
        <v>11</v>
      </c>
      <c r="Q247" t="s">
        <v>29</v>
      </c>
      <c r="R247" t="s">
        <v>34</v>
      </c>
      <c r="S247" s="3">
        <v>8.2899999999999991</v>
      </c>
      <c r="T247" t="s">
        <v>110</v>
      </c>
      <c r="U247" t="s">
        <v>63</v>
      </c>
    </row>
    <row r="248" spans="1:21" ht="27.6">
      <c r="A248" t="s">
        <v>881</v>
      </c>
      <c r="B248" t="s">
        <v>882</v>
      </c>
      <c r="C248" t="s">
        <v>883</v>
      </c>
      <c r="D248" s="2">
        <v>46161</v>
      </c>
      <c r="E248" t="s">
        <v>24</v>
      </c>
      <c r="F248" t="s">
        <v>57</v>
      </c>
      <c r="G248" s="3">
        <v>90.53</v>
      </c>
      <c r="H248" t="s">
        <v>74</v>
      </c>
      <c r="I248" t="s">
        <v>50</v>
      </c>
      <c r="J248" s="4" t="s">
        <v>155</v>
      </c>
      <c r="K248" t="s">
        <v>33</v>
      </c>
      <c r="L248" t="s">
        <v>60</v>
      </c>
      <c r="M248" t="s">
        <v>31</v>
      </c>
      <c r="N248" t="s">
        <v>90</v>
      </c>
      <c r="O248">
        <v>10</v>
      </c>
      <c r="P248">
        <v>12</v>
      </c>
      <c r="Q248" t="s">
        <v>29</v>
      </c>
      <c r="R248" t="s">
        <v>61</v>
      </c>
      <c r="S248" s="3">
        <v>0</v>
      </c>
      <c r="T248" t="s">
        <v>62</v>
      </c>
      <c r="U248" t="s">
        <v>63</v>
      </c>
    </row>
    <row r="249" spans="1:21" ht="27.6">
      <c r="A249" t="s">
        <v>884</v>
      </c>
      <c r="B249" t="s">
        <v>885</v>
      </c>
      <c r="C249" t="s">
        <v>886</v>
      </c>
      <c r="D249" s="2">
        <v>46036</v>
      </c>
      <c r="E249" t="s">
        <v>24</v>
      </c>
      <c r="F249" t="s">
        <v>118</v>
      </c>
      <c r="G249" s="3">
        <v>90.24</v>
      </c>
      <c r="H249" t="s">
        <v>49</v>
      </c>
      <c r="I249" t="s">
        <v>27</v>
      </c>
      <c r="J249" s="4" t="s">
        <v>119</v>
      </c>
      <c r="K249" t="s">
        <v>29</v>
      </c>
      <c r="L249" t="s">
        <v>120</v>
      </c>
      <c r="M249" t="s">
        <v>96</v>
      </c>
      <c r="N249" t="s">
        <v>32</v>
      </c>
      <c r="O249">
        <v>5</v>
      </c>
      <c r="P249">
        <v>7</v>
      </c>
      <c r="Q249" t="s">
        <v>29</v>
      </c>
      <c r="R249" t="s">
        <v>85</v>
      </c>
      <c r="S249" s="3">
        <v>90.24</v>
      </c>
      <c r="T249" t="s">
        <v>121</v>
      </c>
      <c r="U249" t="s">
        <v>63</v>
      </c>
    </row>
    <row r="250" spans="1:21" ht="27.6">
      <c r="A250" t="s">
        <v>887</v>
      </c>
      <c r="B250" t="s">
        <v>888</v>
      </c>
      <c r="C250" t="s">
        <v>889</v>
      </c>
      <c r="D250" s="2">
        <v>46073</v>
      </c>
      <c r="E250" t="s">
        <v>40</v>
      </c>
      <c r="F250" t="s">
        <v>48</v>
      </c>
      <c r="G250" s="3">
        <v>28.08</v>
      </c>
      <c r="H250" t="s">
        <v>58</v>
      </c>
      <c r="I250" t="s">
        <v>27</v>
      </c>
      <c r="J250" s="4" t="s">
        <v>51</v>
      </c>
      <c r="K250" t="s">
        <v>33</v>
      </c>
      <c r="L250" t="s">
        <v>30</v>
      </c>
      <c r="M250" t="s">
        <v>31</v>
      </c>
      <c r="N250" t="s">
        <v>32</v>
      </c>
      <c r="O250">
        <v>10</v>
      </c>
      <c r="P250">
        <v>6</v>
      </c>
      <c r="Q250" t="s">
        <v>33</v>
      </c>
      <c r="R250" t="s">
        <v>34</v>
      </c>
      <c r="S250" s="3">
        <v>0</v>
      </c>
      <c r="T250" t="s">
        <v>62</v>
      </c>
      <c r="U250" t="s">
        <v>53</v>
      </c>
    </row>
    <row r="251" spans="1:21" ht="27.6">
      <c r="A251" t="s">
        <v>890</v>
      </c>
      <c r="B251" t="s">
        <v>891</v>
      </c>
      <c r="C251" t="s">
        <v>892</v>
      </c>
      <c r="D251" s="2">
        <v>46107</v>
      </c>
      <c r="E251" t="s">
        <v>47</v>
      </c>
      <c r="F251" t="s">
        <v>48</v>
      </c>
      <c r="G251" s="3">
        <v>75.5</v>
      </c>
      <c r="H251" t="s">
        <v>58</v>
      </c>
      <c r="I251" t="s">
        <v>50</v>
      </c>
      <c r="J251" s="4" t="s">
        <v>51</v>
      </c>
      <c r="K251" t="s">
        <v>33</v>
      </c>
      <c r="L251" t="s">
        <v>30</v>
      </c>
      <c r="M251" t="s">
        <v>31</v>
      </c>
      <c r="N251" t="s">
        <v>126</v>
      </c>
      <c r="O251">
        <v>10</v>
      </c>
      <c r="P251">
        <v>5</v>
      </c>
      <c r="Q251" t="s">
        <v>33</v>
      </c>
      <c r="R251" t="s">
        <v>34</v>
      </c>
      <c r="S251" s="3">
        <v>0</v>
      </c>
      <c r="T251" t="s">
        <v>52</v>
      </c>
      <c r="U251" t="s">
        <v>36</v>
      </c>
    </row>
    <row r="252" spans="1:21" ht="27.6">
      <c r="A252" t="s">
        <v>893</v>
      </c>
      <c r="B252" t="s">
        <v>894</v>
      </c>
      <c r="C252" t="s">
        <v>895</v>
      </c>
      <c r="D252" s="2">
        <v>46079</v>
      </c>
      <c r="E252" t="s">
        <v>94</v>
      </c>
      <c r="F252" t="s">
        <v>172</v>
      </c>
      <c r="G252" s="3">
        <v>66.459999999999994</v>
      </c>
      <c r="H252" t="s">
        <v>89</v>
      </c>
      <c r="I252" t="s">
        <v>50</v>
      </c>
      <c r="J252" s="4" t="s">
        <v>285</v>
      </c>
      <c r="K252" t="s">
        <v>29</v>
      </c>
      <c r="L252" t="s">
        <v>30</v>
      </c>
      <c r="M252" t="s">
        <v>31</v>
      </c>
      <c r="N252" t="s">
        <v>32</v>
      </c>
      <c r="O252">
        <v>7</v>
      </c>
      <c r="P252">
        <v>11</v>
      </c>
      <c r="Q252" t="s">
        <v>29</v>
      </c>
      <c r="R252" t="s">
        <v>174</v>
      </c>
      <c r="S252" s="3">
        <v>66.459999999999994</v>
      </c>
      <c r="T252" t="s">
        <v>69</v>
      </c>
      <c r="U252" t="s">
        <v>63</v>
      </c>
    </row>
    <row r="253" spans="1:21" ht="27.6">
      <c r="A253" t="s">
        <v>896</v>
      </c>
      <c r="B253" t="s">
        <v>897</v>
      </c>
      <c r="C253" t="s">
        <v>898</v>
      </c>
      <c r="D253" s="2">
        <v>46111</v>
      </c>
      <c r="E253" t="s">
        <v>47</v>
      </c>
      <c r="F253" t="s">
        <v>73</v>
      </c>
      <c r="G253" s="3">
        <v>62.65</v>
      </c>
      <c r="H253" t="s">
        <v>26</v>
      </c>
      <c r="I253" t="s">
        <v>50</v>
      </c>
      <c r="J253" s="4" t="s">
        <v>75</v>
      </c>
      <c r="K253" t="s">
        <v>29</v>
      </c>
      <c r="L253" t="s">
        <v>60</v>
      </c>
      <c r="M253" t="s">
        <v>31</v>
      </c>
      <c r="N253" t="s">
        <v>32</v>
      </c>
      <c r="O253">
        <v>10</v>
      </c>
      <c r="P253">
        <v>8</v>
      </c>
      <c r="Q253" t="s">
        <v>33</v>
      </c>
      <c r="R253" t="s">
        <v>61</v>
      </c>
      <c r="S253" s="3">
        <v>46.99</v>
      </c>
      <c r="T253" t="s">
        <v>156</v>
      </c>
      <c r="U253" t="s">
        <v>63</v>
      </c>
    </row>
    <row r="254" spans="1:21" ht="27.6">
      <c r="A254" t="s">
        <v>899</v>
      </c>
      <c r="B254" t="s">
        <v>900</v>
      </c>
      <c r="C254" t="s">
        <v>901</v>
      </c>
      <c r="D254" s="2">
        <v>46118</v>
      </c>
      <c r="E254" t="s">
        <v>47</v>
      </c>
      <c r="F254" t="s">
        <v>82</v>
      </c>
      <c r="G254" s="3">
        <v>39.36</v>
      </c>
      <c r="H254" t="s">
        <v>58</v>
      </c>
      <c r="I254" t="s">
        <v>27</v>
      </c>
      <c r="J254" s="4" t="s">
        <v>114</v>
      </c>
      <c r="K254" t="s">
        <v>29</v>
      </c>
      <c r="L254" t="s">
        <v>30</v>
      </c>
      <c r="M254" t="s">
        <v>31</v>
      </c>
      <c r="N254" t="s">
        <v>32</v>
      </c>
      <c r="O254">
        <v>7</v>
      </c>
      <c r="P254">
        <v>9</v>
      </c>
      <c r="Q254" t="s">
        <v>29</v>
      </c>
      <c r="R254" t="s">
        <v>85</v>
      </c>
      <c r="S254" s="3">
        <v>19.68</v>
      </c>
      <c r="T254" t="s">
        <v>43</v>
      </c>
      <c r="U254" t="s">
        <v>63</v>
      </c>
    </row>
    <row r="255" spans="1:21" ht="27.6">
      <c r="A255" t="s">
        <v>902</v>
      </c>
      <c r="B255" t="s">
        <v>903</v>
      </c>
      <c r="C255" t="s">
        <v>904</v>
      </c>
      <c r="D255" s="2">
        <v>46131</v>
      </c>
      <c r="E255" t="s">
        <v>40</v>
      </c>
      <c r="F255" t="s">
        <v>118</v>
      </c>
      <c r="G255" s="3">
        <v>75.430000000000007</v>
      </c>
      <c r="H255" t="s">
        <v>49</v>
      </c>
      <c r="I255" t="s">
        <v>67</v>
      </c>
      <c r="J255" s="4" t="s">
        <v>905</v>
      </c>
      <c r="K255" t="s">
        <v>33</v>
      </c>
      <c r="L255" t="s">
        <v>30</v>
      </c>
      <c r="M255" t="s">
        <v>31</v>
      </c>
      <c r="N255" t="s">
        <v>32</v>
      </c>
      <c r="O255">
        <v>5</v>
      </c>
      <c r="P255">
        <v>15</v>
      </c>
      <c r="Q255" t="s">
        <v>29</v>
      </c>
      <c r="R255" t="s">
        <v>85</v>
      </c>
      <c r="S255" s="3">
        <v>56.57</v>
      </c>
      <c r="T255" t="s">
        <v>121</v>
      </c>
      <c r="U255" t="s">
        <v>63</v>
      </c>
    </row>
    <row r="256" spans="1:21" ht="27.6">
      <c r="A256" t="s">
        <v>906</v>
      </c>
      <c r="B256" t="s">
        <v>907</v>
      </c>
      <c r="C256" t="s">
        <v>908</v>
      </c>
      <c r="D256" s="2">
        <v>46036</v>
      </c>
      <c r="E256" t="s">
        <v>24</v>
      </c>
      <c r="F256" t="s">
        <v>118</v>
      </c>
      <c r="G256" s="3">
        <v>111.24</v>
      </c>
      <c r="H256" t="s">
        <v>108</v>
      </c>
      <c r="I256" t="s">
        <v>50</v>
      </c>
      <c r="J256" s="4" t="s">
        <v>909</v>
      </c>
      <c r="K256" t="s">
        <v>29</v>
      </c>
      <c r="L256" t="s">
        <v>120</v>
      </c>
      <c r="M256" t="s">
        <v>96</v>
      </c>
      <c r="N256" t="s">
        <v>32</v>
      </c>
      <c r="O256">
        <v>5</v>
      </c>
      <c r="P256">
        <v>7</v>
      </c>
      <c r="Q256" t="s">
        <v>29</v>
      </c>
      <c r="R256" t="s">
        <v>85</v>
      </c>
      <c r="S256" s="3">
        <v>111.24</v>
      </c>
      <c r="T256" t="s">
        <v>121</v>
      </c>
      <c r="U256" t="s">
        <v>63</v>
      </c>
    </row>
    <row r="257" spans="1:21" ht="27.6">
      <c r="A257" t="s">
        <v>910</v>
      </c>
      <c r="B257" t="s">
        <v>911</v>
      </c>
      <c r="C257" t="s">
        <v>912</v>
      </c>
      <c r="D257" s="2">
        <v>46041</v>
      </c>
      <c r="E257" t="s">
        <v>24</v>
      </c>
      <c r="F257" t="s">
        <v>82</v>
      </c>
      <c r="G257" s="3">
        <v>15.25</v>
      </c>
      <c r="H257" t="s">
        <v>89</v>
      </c>
      <c r="I257" t="s">
        <v>27</v>
      </c>
      <c r="J257" s="4" t="s">
        <v>114</v>
      </c>
      <c r="K257" t="s">
        <v>33</v>
      </c>
      <c r="L257" t="s">
        <v>30</v>
      </c>
      <c r="M257" t="s">
        <v>31</v>
      </c>
      <c r="N257" t="s">
        <v>32</v>
      </c>
      <c r="O257">
        <v>7</v>
      </c>
      <c r="P257">
        <v>9</v>
      </c>
      <c r="Q257" t="s">
        <v>29</v>
      </c>
      <c r="R257" t="s">
        <v>85</v>
      </c>
      <c r="S257" s="3">
        <v>0</v>
      </c>
      <c r="T257" t="s">
        <v>69</v>
      </c>
      <c r="U257" t="s">
        <v>63</v>
      </c>
    </row>
    <row r="258" spans="1:21" ht="27.6">
      <c r="A258" t="s">
        <v>913</v>
      </c>
      <c r="B258" t="s">
        <v>914</v>
      </c>
      <c r="C258" t="s">
        <v>915</v>
      </c>
      <c r="D258" s="2">
        <v>46159</v>
      </c>
      <c r="E258" t="s">
        <v>24</v>
      </c>
      <c r="F258" t="s">
        <v>103</v>
      </c>
      <c r="G258" s="3">
        <v>17.87</v>
      </c>
      <c r="H258" t="s">
        <v>41</v>
      </c>
      <c r="I258" t="s">
        <v>50</v>
      </c>
      <c r="J258" s="4" t="s">
        <v>134</v>
      </c>
      <c r="K258" t="s">
        <v>33</v>
      </c>
      <c r="L258" t="s">
        <v>30</v>
      </c>
      <c r="M258" t="s">
        <v>31</v>
      </c>
      <c r="N258" t="s">
        <v>84</v>
      </c>
      <c r="O258">
        <v>5</v>
      </c>
      <c r="P258">
        <v>9</v>
      </c>
      <c r="Q258" t="s">
        <v>29</v>
      </c>
      <c r="R258" t="s">
        <v>34</v>
      </c>
      <c r="S258" s="3">
        <v>0</v>
      </c>
      <c r="T258" t="s">
        <v>247</v>
      </c>
      <c r="U258" t="s">
        <v>63</v>
      </c>
    </row>
    <row r="259" spans="1:21" ht="27.6">
      <c r="A259" t="s">
        <v>916</v>
      </c>
      <c r="B259" t="s">
        <v>917</v>
      </c>
      <c r="C259" t="s">
        <v>918</v>
      </c>
      <c r="D259" s="2">
        <v>46169</v>
      </c>
      <c r="E259" t="s">
        <v>47</v>
      </c>
      <c r="F259" t="s">
        <v>172</v>
      </c>
      <c r="G259" s="3">
        <v>103.28</v>
      </c>
      <c r="H259" t="s">
        <v>58</v>
      </c>
      <c r="I259" t="s">
        <v>50</v>
      </c>
      <c r="J259" s="4" t="s">
        <v>173</v>
      </c>
      <c r="K259" t="s">
        <v>33</v>
      </c>
      <c r="L259" t="s">
        <v>30</v>
      </c>
      <c r="M259" t="s">
        <v>31</v>
      </c>
      <c r="N259" t="s">
        <v>32</v>
      </c>
      <c r="O259">
        <v>7</v>
      </c>
      <c r="P259">
        <v>10</v>
      </c>
      <c r="Q259" t="s">
        <v>29</v>
      </c>
      <c r="R259" t="s">
        <v>174</v>
      </c>
      <c r="S259" s="3">
        <v>0</v>
      </c>
      <c r="T259" t="s">
        <v>69</v>
      </c>
      <c r="U259" t="s">
        <v>63</v>
      </c>
    </row>
    <row r="260" spans="1:21" ht="27.6">
      <c r="A260" t="s">
        <v>919</v>
      </c>
      <c r="B260" t="s">
        <v>920</v>
      </c>
      <c r="C260" t="s">
        <v>921</v>
      </c>
      <c r="D260" s="2">
        <v>46079</v>
      </c>
      <c r="E260" t="s">
        <v>47</v>
      </c>
      <c r="F260" t="s">
        <v>118</v>
      </c>
      <c r="G260" s="3">
        <v>7.33</v>
      </c>
      <c r="H260" t="s">
        <v>89</v>
      </c>
      <c r="I260" t="s">
        <v>67</v>
      </c>
      <c r="J260" s="4" t="s">
        <v>922</v>
      </c>
      <c r="K260" t="s">
        <v>33</v>
      </c>
      <c r="L260" t="s">
        <v>30</v>
      </c>
      <c r="M260" t="s">
        <v>31</v>
      </c>
      <c r="N260" t="s">
        <v>32</v>
      </c>
      <c r="O260">
        <v>5</v>
      </c>
      <c r="P260">
        <v>17</v>
      </c>
      <c r="Q260" t="s">
        <v>29</v>
      </c>
      <c r="R260" t="s">
        <v>85</v>
      </c>
      <c r="S260" s="3">
        <v>5.5</v>
      </c>
      <c r="T260" t="s">
        <v>121</v>
      </c>
      <c r="U260" t="s">
        <v>63</v>
      </c>
    </row>
    <row r="261" spans="1:21" ht="27.6">
      <c r="A261" t="s">
        <v>923</v>
      </c>
      <c r="B261" t="s">
        <v>924</v>
      </c>
      <c r="C261" t="s">
        <v>925</v>
      </c>
      <c r="D261" s="2">
        <v>46073</v>
      </c>
      <c r="E261" t="s">
        <v>40</v>
      </c>
      <c r="F261" t="s">
        <v>82</v>
      </c>
      <c r="G261" s="3">
        <v>30.48</v>
      </c>
      <c r="H261" t="s">
        <v>58</v>
      </c>
      <c r="I261" t="s">
        <v>27</v>
      </c>
      <c r="J261" s="4" t="s">
        <v>926</v>
      </c>
      <c r="K261" t="s">
        <v>29</v>
      </c>
      <c r="L261" t="s">
        <v>30</v>
      </c>
      <c r="M261" t="s">
        <v>31</v>
      </c>
      <c r="N261" t="s">
        <v>90</v>
      </c>
      <c r="O261">
        <v>7</v>
      </c>
      <c r="P261">
        <v>2</v>
      </c>
      <c r="Q261" t="s">
        <v>33</v>
      </c>
      <c r="R261" t="s">
        <v>85</v>
      </c>
      <c r="S261" s="3">
        <v>0</v>
      </c>
      <c r="T261" t="s">
        <v>43</v>
      </c>
      <c r="U261" t="s">
        <v>36</v>
      </c>
    </row>
    <row r="262" spans="1:21" ht="27.6">
      <c r="A262" t="s">
        <v>927</v>
      </c>
      <c r="B262" t="s">
        <v>928</v>
      </c>
      <c r="C262" t="s">
        <v>929</v>
      </c>
      <c r="D262" s="2">
        <v>46101</v>
      </c>
      <c r="E262" t="s">
        <v>40</v>
      </c>
      <c r="F262" t="s">
        <v>25</v>
      </c>
      <c r="G262" s="3">
        <v>67.16</v>
      </c>
      <c r="H262" t="s">
        <v>108</v>
      </c>
      <c r="I262" t="s">
        <v>27</v>
      </c>
      <c r="J262" s="4" t="s">
        <v>42</v>
      </c>
      <c r="K262" t="s">
        <v>29</v>
      </c>
      <c r="L262" t="s">
        <v>30</v>
      </c>
      <c r="M262" t="s">
        <v>31</v>
      </c>
      <c r="N262" t="s">
        <v>32</v>
      </c>
      <c r="O262">
        <v>5</v>
      </c>
      <c r="P262">
        <v>4</v>
      </c>
      <c r="Q262" t="s">
        <v>33</v>
      </c>
      <c r="R262" t="s">
        <v>34</v>
      </c>
      <c r="S262" s="3">
        <v>67.16</v>
      </c>
      <c r="T262" t="s">
        <v>110</v>
      </c>
      <c r="U262" t="s">
        <v>36</v>
      </c>
    </row>
    <row r="263" spans="1:21" ht="27.6">
      <c r="A263" t="s">
        <v>930</v>
      </c>
      <c r="B263" t="s">
        <v>931</v>
      </c>
      <c r="C263" t="s">
        <v>932</v>
      </c>
      <c r="D263" s="2">
        <v>46114</v>
      </c>
      <c r="E263" t="s">
        <v>40</v>
      </c>
      <c r="F263" t="s">
        <v>82</v>
      </c>
      <c r="G263" s="3">
        <v>8.09</v>
      </c>
      <c r="H263" t="s">
        <v>26</v>
      </c>
      <c r="I263" t="s">
        <v>67</v>
      </c>
      <c r="J263" s="4" t="s">
        <v>114</v>
      </c>
      <c r="K263" t="s">
        <v>33</v>
      </c>
      <c r="L263" t="s">
        <v>30</v>
      </c>
      <c r="M263" t="s">
        <v>31</v>
      </c>
      <c r="N263" t="s">
        <v>84</v>
      </c>
      <c r="O263">
        <v>7</v>
      </c>
      <c r="P263">
        <v>4</v>
      </c>
      <c r="Q263" t="s">
        <v>33</v>
      </c>
      <c r="R263" t="s">
        <v>85</v>
      </c>
      <c r="S263" s="3">
        <v>0</v>
      </c>
      <c r="T263" t="s">
        <v>43</v>
      </c>
      <c r="U263" t="s">
        <v>36</v>
      </c>
    </row>
    <row r="264" spans="1:21" ht="27.6">
      <c r="A264" t="s">
        <v>933</v>
      </c>
      <c r="B264" t="s">
        <v>934</v>
      </c>
      <c r="C264" t="s">
        <v>935</v>
      </c>
      <c r="D264" s="2">
        <v>46152</v>
      </c>
      <c r="E264" t="s">
        <v>47</v>
      </c>
      <c r="F264" t="s">
        <v>57</v>
      </c>
      <c r="G264" s="3">
        <v>66.59</v>
      </c>
      <c r="H264" t="s">
        <v>74</v>
      </c>
      <c r="I264" t="s">
        <v>67</v>
      </c>
      <c r="J264" s="4" t="s">
        <v>59</v>
      </c>
      <c r="K264" t="s">
        <v>29</v>
      </c>
      <c r="L264" t="s">
        <v>60</v>
      </c>
      <c r="M264" t="s">
        <v>31</v>
      </c>
      <c r="N264" t="s">
        <v>32</v>
      </c>
      <c r="O264">
        <v>10</v>
      </c>
      <c r="P264">
        <v>13</v>
      </c>
      <c r="Q264" t="s">
        <v>29</v>
      </c>
      <c r="R264" t="s">
        <v>61</v>
      </c>
      <c r="S264" s="3">
        <v>49.94</v>
      </c>
      <c r="T264" t="s">
        <v>62</v>
      </c>
      <c r="U264" t="s">
        <v>63</v>
      </c>
    </row>
    <row r="265" spans="1:21" ht="27.6">
      <c r="A265" t="s">
        <v>936</v>
      </c>
      <c r="B265" t="s">
        <v>937</v>
      </c>
      <c r="C265" t="s">
        <v>938</v>
      </c>
      <c r="D265" s="2">
        <v>46141</v>
      </c>
      <c r="E265" t="s">
        <v>47</v>
      </c>
      <c r="F265" t="s">
        <v>25</v>
      </c>
      <c r="G265" s="3">
        <v>62.57</v>
      </c>
      <c r="H265" t="s">
        <v>74</v>
      </c>
      <c r="I265" t="s">
        <v>27</v>
      </c>
      <c r="J265" s="4" t="s">
        <v>42</v>
      </c>
      <c r="K265" t="s">
        <v>33</v>
      </c>
      <c r="L265" t="s">
        <v>30</v>
      </c>
      <c r="M265" t="s">
        <v>31</v>
      </c>
      <c r="N265" t="s">
        <v>84</v>
      </c>
      <c r="O265">
        <v>5</v>
      </c>
      <c r="P265">
        <v>6</v>
      </c>
      <c r="Q265" t="s">
        <v>29</v>
      </c>
      <c r="R265" t="s">
        <v>34</v>
      </c>
      <c r="S265" s="3">
        <v>0</v>
      </c>
      <c r="T265" t="s">
        <v>35</v>
      </c>
      <c r="U265" t="s">
        <v>63</v>
      </c>
    </row>
    <row r="266" spans="1:21" ht="27.6">
      <c r="A266" t="s">
        <v>939</v>
      </c>
      <c r="B266" t="s">
        <v>940</v>
      </c>
      <c r="C266" t="s">
        <v>941</v>
      </c>
      <c r="D266" s="2">
        <v>46079</v>
      </c>
      <c r="E266" t="s">
        <v>40</v>
      </c>
      <c r="F266" t="s">
        <v>118</v>
      </c>
      <c r="G266" s="3">
        <v>25.83</v>
      </c>
      <c r="H266" t="s">
        <v>58</v>
      </c>
      <c r="I266" t="s">
        <v>27</v>
      </c>
      <c r="J266" s="4" t="s">
        <v>119</v>
      </c>
      <c r="K266" t="s">
        <v>33</v>
      </c>
      <c r="L266" t="s">
        <v>30</v>
      </c>
      <c r="M266" t="s">
        <v>31</v>
      </c>
      <c r="N266" t="s">
        <v>32</v>
      </c>
      <c r="O266">
        <v>5</v>
      </c>
      <c r="P266">
        <v>6</v>
      </c>
      <c r="Q266" t="s">
        <v>29</v>
      </c>
      <c r="R266" t="s">
        <v>85</v>
      </c>
      <c r="S266" s="3">
        <v>25.83</v>
      </c>
      <c r="T266" t="s">
        <v>121</v>
      </c>
      <c r="U266" t="s">
        <v>63</v>
      </c>
    </row>
    <row r="267" spans="1:21" ht="27.6">
      <c r="A267" t="s">
        <v>942</v>
      </c>
      <c r="B267" t="s">
        <v>943</v>
      </c>
      <c r="C267" t="s">
        <v>944</v>
      </c>
      <c r="D267" s="2">
        <v>46156</v>
      </c>
      <c r="E267" t="s">
        <v>47</v>
      </c>
      <c r="F267" t="s">
        <v>118</v>
      </c>
      <c r="G267" s="3">
        <v>93.42</v>
      </c>
      <c r="H267" t="s">
        <v>89</v>
      </c>
      <c r="I267" t="s">
        <v>27</v>
      </c>
      <c r="J267" s="4" t="s">
        <v>119</v>
      </c>
      <c r="K267" t="s">
        <v>29</v>
      </c>
      <c r="L267" t="s">
        <v>120</v>
      </c>
      <c r="M267" t="s">
        <v>96</v>
      </c>
      <c r="N267" t="s">
        <v>32</v>
      </c>
      <c r="O267">
        <v>5</v>
      </c>
      <c r="P267">
        <v>5</v>
      </c>
      <c r="Q267" t="s">
        <v>33</v>
      </c>
      <c r="R267" t="s">
        <v>85</v>
      </c>
      <c r="S267" s="3">
        <v>93.42</v>
      </c>
      <c r="T267" t="s">
        <v>121</v>
      </c>
      <c r="U267" t="s">
        <v>53</v>
      </c>
    </row>
    <row r="268" spans="1:21" ht="27.6">
      <c r="A268" t="s">
        <v>945</v>
      </c>
      <c r="B268" t="s">
        <v>946</v>
      </c>
      <c r="C268" t="s">
        <v>947</v>
      </c>
      <c r="D268" s="2">
        <v>46155</v>
      </c>
      <c r="E268" t="s">
        <v>24</v>
      </c>
      <c r="F268" t="s">
        <v>57</v>
      </c>
      <c r="G268" s="3">
        <v>13.6</v>
      </c>
      <c r="H268" t="s">
        <v>89</v>
      </c>
      <c r="I268" t="s">
        <v>27</v>
      </c>
      <c r="J268" s="4" t="s">
        <v>59</v>
      </c>
      <c r="K268" t="s">
        <v>33</v>
      </c>
      <c r="L268" t="s">
        <v>60</v>
      </c>
      <c r="M268" t="s">
        <v>31</v>
      </c>
      <c r="N268" t="s">
        <v>32</v>
      </c>
      <c r="O268">
        <v>10</v>
      </c>
      <c r="P268">
        <v>14</v>
      </c>
      <c r="Q268" t="s">
        <v>29</v>
      </c>
      <c r="R268" t="s">
        <v>61</v>
      </c>
      <c r="S268" s="3">
        <v>6.8</v>
      </c>
      <c r="T268" t="s">
        <v>52</v>
      </c>
      <c r="U268" t="s">
        <v>63</v>
      </c>
    </row>
    <row r="269" spans="1:21" ht="27.6">
      <c r="A269" t="s">
        <v>948</v>
      </c>
      <c r="B269" t="s">
        <v>949</v>
      </c>
      <c r="C269" t="s">
        <v>950</v>
      </c>
      <c r="D269" s="2">
        <v>46053</v>
      </c>
      <c r="E269" t="s">
        <v>40</v>
      </c>
      <c r="F269" t="s">
        <v>82</v>
      </c>
      <c r="G269" s="3">
        <v>30.59</v>
      </c>
      <c r="H269" t="s">
        <v>58</v>
      </c>
      <c r="I269" t="s">
        <v>27</v>
      </c>
      <c r="J269" s="4" t="s">
        <v>114</v>
      </c>
      <c r="K269" t="s">
        <v>29</v>
      </c>
      <c r="L269" t="s">
        <v>30</v>
      </c>
      <c r="M269" t="s">
        <v>31</v>
      </c>
      <c r="N269" t="s">
        <v>32</v>
      </c>
      <c r="O269">
        <v>7</v>
      </c>
      <c r="P269">
        <v>7</v>
      </c>
      <c r="Q269" t="s">
        <v>33</v>
      </c>
      <c r="R269" t="s">
        <v>85</v>
      </c>
      <c r="S269" s="3">
        <v>15.29</v>
      </c>
      <c r="T269" t="s">
        <v>43</v>
      </c>
      <c r="U269" t="s">
        <v>53</v>
      </c>
    </row>
    <row r="270" spans="1:21" ht="27.6">
      <c r="A270" t="s">
        <v>951</v>
      </c>
      <c r="B270" t="s">
        <v>952</v>
      </c>
      <c r="C270" t="s">
        <v>953</v>
      </c>
      <c r="D270" s="2">
        <v>46154</v>
      </c>
      <c r="E270" t="s">
        <v>24</v>
      </c>
      <c r="F270" t="s">
        <v>172</v>
      </c>
      <c r="G270" s="3">
        <v>16.89</v>
      </c>
      <c r="H270" t="s">
        <v>74</v>
      </c>
      <c r="I270" t="s">
        <v>50</v>
      </c>
      <c r="J270" s="4" t="s">
        <v>173</v>
      </c>
      <c r="K270" t="s">
        <v>29</v>
      </c>
      <c r="L270" t="s">
        <v>30</v>
      </c>
      <c r="M270" t="s">
        <v>31</v>
      </c>
      <c r="N270" t="s">
        <v>32</v>
      </c>
      <c r="O270">
        <v>7</v>
      </c>
      <c r="P270">
        <v>4</v>
      </c>
      <c r="Q270" t="s">
        <v>33</v>
      </c>
      <c r="R270" t="s">
        <v>174</v>
      </c>
      <c r="S270" s="3">
        <v>0</v>
      </c>
      <c r="T270" t="s">
        <v>110</v>
      </c>
      <c r="U270" t="s">
        <v>53</v>
      </c>
    </row>
    <row r="271" spans="1:21" ht="27.6">
      <c r="A271" t="s">
        <v>954</v>
      </c>
      <c r="B271" t="s">
        <v>38</v>
      </c>
      <c r="C271" t="s">
        <v>955</v>
      </c>
      <c r="D271" s="2">
        <v>46143</v>
      </c>
      <c r="E271" t="s">
        <v>94</v>
      </c>
      <c r="F271" t="s">
        <v>25</v>
      </c>
      <c r="G271" s="3">
        <v>135.22</v>
      </c>
      <c r="H271" t="s">
        <v>49</v>
      </c>
      <c r="I271" t="s">
        <v>50</v>
      </c>
      <c r="J271" s="4" t="s">
        <v>42</v>
      </c>
      <c r="K271" t="s">
        <v>33</v>
      </c>
      <c r="L271" t="s">
        <v>30</v>
      </c>
      <c r="M271" t="s">
        <v>31</v>
      </c>
      <c r="N271" t="s">
        <v>32</v>
      </c>
      <c r="O271">
        <v>5</v>
      </c>
      <c r="P271">
        <v>4</v>
      </c>
      <c r="Q271" t="s">
        <v>33</v>
      </c>
      <c r="R271" t="s">
        <v>34</v>
      </c>
      <c r="S271" s="3">
        <v>135.22</v>
      </c>
      <c r="T271" t="s">
        <v>35</v>
      </c>
      <c r="U271" t="s">
        <v>36</v>
      </c>
    </row>
    <row r="272" spans="1:21" ht="27.6">
      <c r="A272" t="s">
        <v>956</v>
      </c>
      <c r="B272" t="s">
        <v>957</v>
      </c>
      <c r="C272" t="s">
        <v>958</v>
      </c>
      <c r="D272" s="2">
        <v>46119</v>
      </c>
      <c r="E272" t="s">
        <v>24</v>
      </c>
      <c r="F272" t="s">
        <v>25</v>
      </c>
      <c r="G272" s="3">
        <v>40.89</v>
      </c>
      <c r="H272" t="s">
        <v>74</v>
      </c>
      <c r="I272" t="s">
        <v>50</v>
      </c>
      <c r="J272" s="4" t="s">
        <v>959</v>
      </c>
      <c r="K272" t="s">
        <v>29</v>
      </c>
      <c r="L272" t="s">
        <v>30</v>
      </c>
      <c r="M272" t="s">
        <v>96</v>
      </c>
      <c r="N272" t="s">
        <v>32</v>
      </c>
      <c r="O272">
        <v>5</v>
      </c>
      <c r="P272">
        <v>1</v>
      </c>
      <c r="Q272" t="s">
        <v>33</v>
      </c>
      <c r="R272" t="s">
        <v>34</v>
      </c>
      <c r="S272" s="3">
        <v>40.89</v>
      </c>
      <c r="T272" t="s">
        <v>35</v>
      </c>
      <c r="U272" t="s">
        <v>53</v>
      </c>
    </row>
    <row r="273" spans="1:21" ht="27.6">
      <c r="A273" t="s">
        <v>960</v>
      </c>
      <c r="B273" t="s">
        <v>961</v>
      </c>
      <c r="C273" t="s">
        <v>962</v>
      </c>
      <c r="D273" s="2">
        <v>46056</v>
      </c>
      <c r="E273" t="s">
        <v>94</v>
      </c>
      <c r="F273" t="s">
        <v>172</v>
      </c>
      <c r="G273" s="3">
        <v>63.94</v>
      </c>
      <c r="H273" t="s">
        <v>108</v>
      </c>
      <c r="I273" t="s">
        <v>27</v>
      </c>
      <c r="J273" s="4" t="s">
        <v>285</v>
      </c>
      <c r="K273" t="s">
        <v>29</v>
      </c>
      <c r="L273" t="s">
        <v>30</v>
      </c>
      <c r="M273" t="s">
        <v>31</v>
      </c>
      <c r="N273" t="s">
        <v>32</v>
      </c>
      <c r="O273">
        <v>7</v>
      </c>
      <c r="P273">
        <v>4</v>
      </c>
      <c r="Q273" t="s">
        <v>33</v>
      </c>
      <c r="R273" t="s">
        <v>174</v>
      </c>
      <c r="S273" s="3">
        <v>0</v>
      </c>
      <c r="T273" t="s">
        <v>110</v>
      </c>
      <c r="U273" t="s">
        <v>36</v>
      </c>
    </row>
    <row r="274" spans="1:21" ht="27.6">
      <c r="A274" t="s">
        <v>963</v>
      </c>
      <c r="B274" t="s">
        <v>964</v>
      </c>
      <c r="C274" t="s">
        <v>965</v>
      </c>
      <c r="D274" s="2">
        <v>46170</v>
      </c>
      <c r="E274" t="s">
        <v>24</v>
      </c>
      <c r="F274" t="s">
        <v>25</v>
      </c>
      <c r="G274" s="3">
        <v>38.729999999999997</v>
      </c>
      <c r="H274" t="s">
        <v>49</v>
      </c>
      <c r="I274" t="s">
        <v>27</v>
      </c>
      <c r="J274" s="4" t="s">
        <v>966</v>
      </c>
      <c r="K274" t="s">
        <v>29</v>
      </c>
      <c r="L274" t="s">
        <v>30</v>
      </c>
      <c r="M274" t="s">
        <v>31</v>
      </c>
      <c r="N274" t="s">
        <v>32</v>
      </c>
      <c r="O274">
        <v>5</v>
      </c>
      <c r="P274">
        <v>4</v>
      </c>
      <c r="Q274" t="s">
        <v>33</v>
      </c>
      <c r="R274" t="s">
        <v>34</v>
      </c>
      <c r="S274" s="3">
        <v>0</v>
      </c>
      <c r="T274" t="s">
        <v>35</v>
      </c>
      <c r="U274" t="s">
        <v>53</v>
      </c>
    </row>
    <row r="275" spans="1:21" ht="27.6">
      <c r="A275" t="s">
        <v>967</v>
      </c>
      <c r="B275" t="s">
        <v>968</v>
      </c>
      <c r="C275" t="s">
        <v>969</v>
      </c>
      <c r="D275" s="2">
        <v>46075</v>
      </c>
      <c r="E275" t="s">
        <v>40</v>
      </c>
      <c r="F275" t="s">
        <v>118</v>
      </c>
      <c r="G275" s="3">
        <v>31.89</v>
      </c>
      <c r="H275" t="s">
        <v>58</v>
      </c>
      <c r="I275" t="s">
        <v>50</v>
      </c>
      <c r="J275" s="4" t="s">
        <v>119</v>
      </c>
      <c r="K275" t="s">
        <v>29</v>
      </c>
      <c r="L275" t="s">
        <v>120</v>
      </c>
      <c r="M275" t="s">
        <v>96</v>
      </c>
      <c r="N275" t="s">
        <v>32</v>
      </c>
      <c r="O275">
        <v>5</v>
      </c>
      <c r="P275">
        <v>4</v>
      </c>
      <c r="Q275" t="s">
        <v>33</v>
      </c>
      <c r="R275" t="s">
        <v>85</v>
      </c>
      <c r="S275" s="3">
        <v>31.89</v>
      </c>
      <c r="T275" t="s">
        <v>121</v>
      </c>
      <c r="U275" t="s">
        <v>36</v>
      </c>
    </row>
    <row r="276" spans="1:21" ht="27.6">
      <c r="A276" t="s">
        <v>970</v>
      </c>
      <c r="B276" t="s">
        <v>971</v>
      </c>
      <c r="C276" t="s">
        <v>972</v>
      </c>
      <c r="D276" s="2">
        <v>46075</v>
      </c>
      <c r="E276" t="s">
        <v>24</v>
      </c>
      <c r="F276" t="s">
        <v>57</v>
      </c>
      <c r="G276" s="3">
        <v>38.840000000000003</v>
      </c>
      <c r="H276" t="s">
        <v>89</v>
      </c>
      <c r="I276" t="s">
        <v>50</v>
      </c>
      <c r="J276" s="4" t="s">
        <v>59</v>
      </c>
      <c r="K276" t="s">
        <v>33</v>
      </c>
      <c r="L276" t="s">
        <v>60</v>
      </c>
      <c r="M276" t="s">
        <v>31</v>
      </c>
      <c r="N276" t="s">
        <v>32</v>
      </c>
      <c r="O276">
        <v>10</v>
      </c>
      <c r="P276">
        <v>11</v>
      </c>
      <c r="Q276" t="s">
        <v>29</v>
      </c>
      <c r="R276" t="s">
        <v>61</v>
      </c>
      <c r="S276" s="3">
        <v>0</v>
      </c>
      <c r="T276" t="s">
        <v>62</v>
      </c>
      <c r="U276" t="s">
        <v>63</v>
      </c>
    </row>
    <row r="277" spans="1:21" ht="27.6">
      <c r="A277" t="s">
        <v>973</v>
      </c>
      <c r="B277" t="s">
        <v>974</v>
      </c>
      <c r="C277" t="s">
        <v>975</v>
      </c>
      <c r="D277" s="2">
        <v>46064</v>
      </c>
      <c r="E277" t="s">
        <v>24</v>
      </c>
      <c r="F277" t="s">
        <v>82</v>
      </c>
      <c r="G277" s="3">
        <v>328.57</v>
      </c>
      <c r="H277" t="s">
        <v>89</v>
      </c>
      <c r="I277" t="s">
        <v>50</v>
      </c>
      <c r="J277" s="4" t="s">
        <v>114</v>
      </c>
      <c r="K277" t="s">
        <v>29</v>
      </c>
      <c r="L277" t="s">
        <v>30</v>
      </c>
      <c r="M277" t="s">
        <v>31</v>
      </c>
      <c r="N277" t="s">
        <v>32</v>
      </c>
      <c r="O277">
        <v>7</v>
      </c>
      <c r="P277">
        <v>9</v>
      </c>
      <c r="Q277" t="s">
        <v>29</v>
      </c>
      <c r="R277" t="s">
        <v>85</v>
      </c>
      <c r="S277" s="3">
        <v>0</v>
      </c>
      <c r="T277" t="s">
        <v>43</v>
      </c>
      <c r="U277" t="s">
        <v>63</v>
      </c>
    </row>
    <row r="278" spans="1:21" ht="27.6">
      <c r="A278" t="s">
        <v>976</v>
      </c>
      <c r="B278" t="s">
        <v>977</v>
      </c>
      <c r="C278" t="s">
        <v>978</v>
      </c>
      <c r="D278" s="2">
        <v>46134</v>
      </c>
      <c r="E278" t="s">
        <v>24</v>
      </c>
      <c r="F278" t="s">
        <v>118</v>
      </c>
      <c r="G278" s="3">
        <v>24.98</v>
      </c>
      <c r="H278" t="s">
        <v>58</v>
      </c>
      <c r="I278" t="s">
        <v>27</v>
      </c>
      <c r="J278" s="4" t="s">
        <v>979</v>
      </c>
      <c r="K278" t="s">
        <v>33</v>
      </c>
      <c r="L278" t="s">
        <v>30</v>
      </c>
      <c r="M278" t="s">
        <v>31</v>
      </c>
      <c r="N278" t="s">
        <v>32</v>
      </c>
      <c r="O278">
        <v>5</v>
      </c>
      <c r="P278">
        <v>6</v>
      </c>
      <c r="Q278" t="s">
        <v>29</v>
      </c>
      <c r="R278" t="s">
        <v>85</v>
      </c>
      <c r="S278" s="3">
        <v>0</v>
      </c>
      <c r="T278" t="s">
        <v>121</v>
      </c>
      <c r="U278" t="s">
        <v>63</v>
      </c>
    </row>
    <row r="279" spans="1:21" ht="27.6">
      <c r="A279" t="s">
        <v>980</v>
      </c>
      <c r="B279" t="s">
        <v>981</v>
      </c>
      <c r="C279" t="s">
        <v>982</v>
      </c>
      <c r="D279" s="2">
        <v>46025</v>
      </c>
      <c r="E279" t="s">
        <v>24</v>
      </c>
      <c r="F279" t="s">
        <v>172</v>
      </c>
      <c r="G279" s="3">
        <v>75.239999999999995</v>
      </c>
      <c r="H279" t="s">
        <v>26</v>
      </c>
      <c r="I279" t="s">
        <v>67</v>
      </c>
      <c r="J279" s="4" t="s">
        <v>173</v>
      </c>
      <c r="K279" t="s">
        <v>29</v>
      </c>
      <c r="L279" t="s">
        <v>30</v>
      </c>
      <c r="M279" t="s">
        <v>31</v>
      </c>
      <c r="N279" t="s">
        <v>32</v>
      </c>
      <c r="O279">
        <v>7</v>
      </c>
      <c r="P279">
        <v>5</v>
      </c>
      <c r="Q279" t="s">
        <v>33</v>
      </c>
      <c r="R279" t="s">
        <v>174</v>
      </c>
      <c r="S279" s="3">
        <v>37.619999999999997</v>
      </c>
      <c r="T279" t="s">
        <v>110</v>
      </c>
      <c r="U279" t="s">
        <v>36</v>
      </c>
    </row>
    <row r="280" spans="1:21" ht="27.6">
      <c r="A280" t="s">
        <v>983</v>
      </c>
      <c r="B280" t="s">
        <v>984</v>
      </c>
      <c r="C280" t="s">
        <v>985</v>
      </c>
      <c r="D280" s="2">
        <v>46045</v>
      </c>
      <c r="E280" t="s">
        <v>94</v>
      </c>
      <c r="F280" t="s">
        <v>57</v>
      </c>
      <c r="G280" s="3">
        <v>28.39</v>
      </c>
      <c r="H280" t="s">
        <v>89</v>
      </c>
      <c r="I280" t="s">
        <v>27</v>
      </c>
      <c r="J280" s="4" t="s">
        <v>155</v>
      </c>
      <c r="K280" t="s">
        <v>29</v>
      </c>
      <c r="L280" t="s">
        <v>60</v>
      </c>
      <c r="M280" t="s">
        <v>31</v>
      </c>
      <c r="N280" t="s">
        <v>32</v>
      </c>
      <c r="O280">
        <v>10</v>
      </c>
      <c r="P280">
        <v>12</v>
      </c>
      <c r="Q280" t="s">
        <v>29</v>
      </c>
      <c r="R280" t="s">
        <v>61</v>
      </c>
      <c r="S280" s="3">
        <v>0</v>
      </c>
      <c r="T280" t="s">
        <v>62</v>
      </c>
      <c r="U280" t="s">
        <v>63</v>
      </c>
    </row>
    <row r="281" spans="1:21" ht="27.6">
      <c r="A281" t="s">
        <v>986</v>
      </c>
      <c r="B281" t="s">
        <v>987</v>
      </c>
      <c r="C281" t="s">
        <v>988</v>
      </c>
      <c r="D281" s="2">
        <v>46093</v>
      </c>
      <c r="E281" t="s">
        <v>24</v>
      </c>
      <c r="F281" t="s">
        <v>48</v>
      </c>
      <c r="G281" s="3">
        <v>36.21</v>
      </c>
      <c r="H281" t="s">
        <v>26</v>
      </c>
      <c r="I281" t="s">
        <v>27</v>
      </c>
      <c r="J281" s="4" t="s">
        <v>68</v>
      </c>
      <c r="K281" t="s">
        <v>29</v>
      </c>
      <c r="L281" t="s">
        <v>30</v>
      </c>
      <c r="M281" t="s">
        <v>31</v>
      </c>
      <c r="N281" t="s">
        <v>32</v>
      </c>
      <c r="O281">
        <v>10</v>
      </c>
      <c r="P281">
        <v>6</v>
      </c>
      <c r="Q281" t="s">
        <v>33</v>
      </c>
      <c r="R281" t="s">
        <v>34</v>
      </c>
      <c r="S281" s="3">
        <v>27.16</v>
      </c>
      <c r="T281" t="s">
        <v>69</v>
      </c>
      <c r="U281" t="s">
        <v>53</v>
      </c>
    </row>
    <row r="282" spans="1:21" ht="27.6">
      <c r="A282" t="s">
        <v>989</v>
      </c>
      <c r="B282" t="s">
        <v>990</v>
      </c>
      <c r="C282" t="s">
        <v>991</v>
      </c>
      <c r="D282" s="2">
        <v>46170</v>
      </c>
      <c r="E282" t="s">
        <v>24</v>
      </c>
      <c r="F282" t="s">
        <v>82</v>
      </c>
      <c r="G282" s="3">
        <v>28.58</v>
      </c>
      <c r="H282" t="s">
        <v>74</v>
      </c>
      <c r="I282" t="s">
        <v>50</v>
      </c>
      <c r="J282" s="4" t="s">
        <v>992</v>
      </c>
      <c r="K282" t="s">
        <v>33</v>
      </c>
      <c r="L282" t="s">
        <v>30</v>
      </c>
      <c r="M282" t="s">
        <v>31</v>
      </c>
      <c r="N282" t="s">
        <v>90</v>
      </c>
      <c r="O282">
        <v>7</v>
      </c>
      <c r="P282">
        <v>6</v>
      </c>
      <c r="Q282" t="s">
        <v>33</v>
      </c>
      <c r="R282" t="s">
        <v>85</v>
      </c>
      <c r="S282" s="3">
        <v>0</v>
      </c>
      <c r="T282" t="s">
        <v>69</v>
      </c>
      <c r="U282" t="s">
        <v>53</v>
      </c>
    </row>
    <row r="283" spans="1:21" ht="27.6">
      <c r="A283" t="s">
        <v>993</v>
      </c>
      <c r="B283" t="s">
        <v>994</v>
      </c>
      <c r="C283" t="s">
        <v>995</v>
      </c>
      <c r="D283" s="2">
        <v>46079</v>
      </c>
      <c r="E283" t="s">
        <v>40</v>
      </c>
      <c r="F283" t="s">
        <v>118</v>
      </c>
      <c r="G283" s="3">
        <v>41.44</v>
      </c>
      <c r="H283" t="s">
        <v>49</v>
      </c>
      <c r="I283" t="s">
        <v>27</v>
      </c>
      <c r="J283" s="4" t="s">
        <v>996</v>
      </c>
      <c r="K283" t="s">
        <v>29</v>
      </c>
      <c r="L283" t="s">
        <v>120</v>
      </c>
      <c r="M283" t="s">
        <v>96</v>
      </c>
      <c r="N283" t="s">
        <v>32</v>
      </c>
      <c r="O283">
        <v>5</v>
      </c>
      <c r="P283">
        <v>1</v>
      </c>
      <c r="Q283" t="s">
        <v>33</v>
      </c>
      <c r="R283" t="s">
        <v>85</v>
      </c>
      <c r="S283" s="3">
        <v>41.44</v>
      </c>
      <c r="T283" t="s">
        <v>121</v>
      </c>
      <c r="U283" t="s">
        <v>36</v>
      </c>
    </row>
    <row r="284" spans="1:21" ht="27.6">
      <c r="A284" t="s">
        <v>997</v>
      </c>
      <c r="B284" t="s">
        <v>998</v>
      </c>
      <c r="C284" t="s">
        <v>999</v>
      </c>
      <c r="D284" s="2">
        <v>46103</v>
      </c>
      <c r="E284" t="s">
        <v>24</v>
      </c>
      <c r="F284" t="s">
        <v>73</v>
      </c>
      <c r="G284" s="3">
        <v>40.369999999999997</v>
      </c>
      <c r="H284" t="s">
        <v>58</v>
      </c>
      <c r="I284" t="s">
        <v>27</v>
      </c>
      <c r="J284" s="4" t="s">
        <v>75</v>
      </c>
      <c r="K284" t="s">
        <v>29</v>
      </c>
      <c r="L284" t="s">
        <v>60</v>
      </c>
      <c r="M284" t="s">
        <v>31</v>
      </c>
      <c r="N284" t="s">
        <v>32</v>
      </c>
      <c r="O284">
        <v>10</v>
      </c>
      <c r="P284">
        <v>11</v>
      </c>
      <c r="Q284" t="s">
        <v>29</v>
      </c>
      <c r="R284" t="s">
        <v>61</v>
      </c>
      <c r="S284" s="3">
        <v>20.18</v>
      </c>
      <c r="T284" t="s">
        <v>156</v>
      </c>
      <c r="U284" t="s">
        <v>63</v>
      </c>
    </row>
    <row r="285" spans="1:21" ht="27.6">
      <c r="A285" t="s">
        <v>1000</v>
      </c>
      <c r="B285" t="s">
        <v>1001</v>
      </c>
      <c r="C285" t="s">
        <v>1002</v>
      </c>
      <c r="D285" s="2">
        <v>46149</v>
      </c>
      <c r="E285" t="s">
        <v>47</v>
      </c>
      <c r="F285" t="s">
        <v>57</v>
      </c>
      <c r="G285" s="3">
        <v>43.08</v>
      </c>
      <c r="H285" t="s">
        <v>108</v>
      </c>
      <c r="I285" t="s">
        <v>27</v>
      </c>
      <c r="J285" s="4" t="s">
        <v>59</v>
      </c>
      <c r="K285" t="s">
        <v>29</v>
      </c>
      <c r="L285" t="s">
        <v>60</v>
      </c>
      <c r="M285" t="s">
        <v>31</v>
      </c>
      <c r="N285" t="s">
        <v>90</v>
      </c>
      <c r="O285">
        <v>10</v>
      </c>
      <c r="P285">
        <v>13</v>
      </c>
      <c r="Q285" t="s">
        <v>29</v>
      </c>
      <c r="R285" t="s">
        <v>61</v>
      </c>
      <c r="S285" s="3">
        <v>0</v>
      </c>
      <c r="T285" t="s">
        <v>62</v>
      </c>
      <c r="U285" t="s">
        <v>63</v>
      </c>
    </row>
    <row r="286" spans="1:21" ht="27.6">
      <c r="A286" t="s">
        <v>1003</v>
      </c>
      <c r="B286" t="s">
        <v>1004</v>
      </c>
      <c r="C286" t="s">
        <v>1005</v>
      </c>
      <c r="D286" s="2">
        <v>46124</v>
      </c>
      <c r="E286" t="s">
        <v>24</v>
      </c>
      <c r="F286" t="s">
        <v>172</v>
      </c>
      <c r="G286" s="3">
        <v>37.76</v>
      </c>
      <c r="H286" t="s">
        <v>89</v>
      </c>
      <c r="I286" t="s">
        <v>27</v>
      </c>
      <c r="J286" s="4" t="s">
        <v>173</v>
      </c>
      <c r="K286" t="s">
        <v>33</v>
      </c>
      <c r="L286" t="s">
        <v>30</v>
      </c>
      <c r="M286" t="s">
        <v>31</v>
      </c>
      <c r="N286" t="s">
        <v>32</v>
      </c>
      <c r="O286">
        <v>7</v>
      </c>
      <c r="P286">
        <v>9</v>
      </c>
      <c r="Q286" t="s">
        <v>29</v>
      </c>
      <c r="R286" t="s">
        <v>174</v>
      </c>
      <c r="S286" s="3">
        <v>18.88</v>
      </c>
      <c r="T286" t="s">
        <v>69</v>
      </c>
      <c r="U286" t="s">
        <v>63</v>
      </c>
    </row>
    <row r="287" spans="1:21" ht="27.6">
      <c r="A287" t="s">
        <v>1006</v>
      </c>
      <c r="B287" t="s">
        <v>1007</v>
      </c>
      <c r="C287" t="s">
        <v>1008</v>
      </c>
      <c r="D287" s="2">
        <v>46171</v>
      </c>
      <c r="E287" t="s">
        <v>24</v>
      </c>
      <c r="F287" t="s">
        <v>82</v>
      </c>
      <c r="G287" s="3">
        <v>77.41</v>
      </c>
      <c r="H287" t="s">
        <v>41</v>
      </c>
      <c r="I287" t="s">
        <v>27</v>
      </c>
      <c r="J287" s="4" t="s">
        <v>1009</v>
      </c>
      <c r="K287" t="s">
        <v>29</v>
      </c>
      <c r="L287" t="s">
        <v>30</v>
      </c>
      <c r="M287" t="s">
        <v>31</v>
      </c>
      <c r="N287" t="s">
        <v>32</v>
      </c>
      <c r="O287">
        <v>7</v>
      </c>
      <c r="P287">
        <v>6</v>
      </c>
      <c r="Q287" t="s">
        <v>33</v>
      </c>
      <c r="R287" t="s">
        <v>85</v>
      </c>
      <c r="S287" s="3">
        <v>58.06</v>
      </c>
      <c r="T287" t="s">
        <v>62</v>
      </c>
      <c r="U287" t="s">
        <v>53</v>
      </c>
    </row>
    <row r="288" spans="1:21" ht="27.6">
      <c r="A288" t="s">
        <v>1010</v>
      </c>
      <c r="B288" t="s">
        <v>1011</v>
      </c>
      <c r="C288" t="s">
        <v>1012</v>
      </c>
      <c r="D288" s="2">
        <v>46125</v>
      </c>
      <c r="E288" t="s">
        <v>24</v>
      </c>
      <c r="F288" t="s">
        <v>25</v>
      </c>
      <c r="G288" s="3">
        <v>11.38</v>
      </c>
      <c r="H288" t="s">
        <v>74</v>
      </c>
      <c r="I288" t="s">
        <v>67</v>
      </c>
      <c r="J288" s="4" t="s">
        <v>42</v>
      </c>
      <c r="K288" t="s">
        <v>33</v>
      </c>
      <c r="L288" t="s">
        <v>30</v>
      </c>
      <c r="M288" t="s">
        <v>31</v>
      </c>
      <c r="N288" t="s">
        <v>32</v>
      </c>
      <c r="O288">
        <v>5</v>
      </c>
      <c r="P288">
        <v>3</v>
      </c>
      <c r="Q288" t="s">
        <v>33</v>
      </c>
      <c r="R288" t="s">
        <v>34</v>
      </c>
      <c r="S288" s="3">
        <v>0</v>
      </c>
      <c r="T288" t="s">
        <v>110</v>
      </c>
      <c r="U288" t="s">
        <v>53</v>
      </c>
    </row>
    <row r="289" spans="1:21" ht="27.6">
      <c r="A289" t="s">
        <v>1013</v>
      </c>
      <c r="B289" t="s">
        <v>1014</v>
      </c>
      <c r="C289" t="s">
        <v>1015</v>
      </c>
      <c r="D289" s="2">
        <v>46130</v>
      </c>
      <c r="E289" t="s">
        <v>47</v>
      </c>
      <c r="F289" t="s">
        <v>48</v>
      </c>
      <c r="G289" s="3">
        <v>116.14</v>
      </c>
      <c r="H289" t="s">
        <v>58</v>
      </c>
      <c r="I289" t="s">
        <v>27</v>
      </c>
      <c r="J289" s="4" t="s">
        <v>51</v>
      </c>
      <c r="K289" t="s">
        <v>29</v>
      </c>
      <c r="L289" t="s">
        <v>30</v>
      </c>
      <c r="M289" t="s">
        <v>31</v>
      </c>
      <c r="N289" t="s">
        <v>32</v>
      </c>
      <c r="O289">
        <v>10</v>
      </c>
      <c r="P289">
        <v>3</v>
      </c>
      <c r="Q289" t="s">
        <v>33</v>
      </c>
      <c r="R289" t="s">
        <v>34</v>
      </c>
      <c r="S289" s="3">
        <v>0</v>
      </c>
      <c r="T289" t="s">
        <v>52</v>
      </c>
      <c r="U289" t="s">
        <v>36</v>
      </c>
    </row>
    <row r="290" spans="1:21" ht="27.6">
      <c r="A290" t="s">
        <v>1016</v>
      </c>
      <c r="B290" t="s">
        <v>1017</v>
      </c>
      <c r="C290" t="s">
        <v>1018</v>
      </c>
      <c r="D290" s="2">
        <v>46078</v>
      </c>
      <c r="E290" t="s">
        <v>40</v>
      </c>
      <c r="F290" t="s">
        <v>82</v>
      </c>
      <c r="G290" s="3">
        <v>57.07</v>
      </c>
      <c r="H290" t="s">
        <v>41</v>
      </c>
      <c r="I290" t="s">
        <v>27</v>
      </c>
      <c r="J290" s="4" t="s">
        <v>114</v>
      </c>
      <c r="K290" t="s">
        <v>29</v>
      </c>
      <c r="L290" t="s">
        <v>30</v>
      </c>
      <c r="M290" t="s">
        <v>31</v>
      </c>
      <c r="N290" t="s">
        <v>32</v>
      </c>
      <c r="O290">
        <v>7</v>
      </c>
      <c r="P290">
        <v>8</v>
      </c>
      <c r="Q290" t="s">
        <v>29</v>
      </c>
      <c r="R290" t="s">
        <v>85</v>
      </c>
      <c r="S290" s="3">
        <v>57.07</v>
      </c>
      <c r="T290" t="s">
        <v>62</v>
      </c>
      <c r="U290" t="s">
        <v>63</v>
      </c>
    </row>
    <row r="291" spans="1:21" ht="27.6">
      <c r="A291" t="s">
        <v>1019</v>
      </c>
      <c r="B291" t="s">
        <v>1020</v>
      </c>
      <c r="C291" t="s">
        <v>1021</v>
      </c>
      <c r="D291" s="2">
        <v>46095</v>
      </c>
      <c r="E291" t="s">
        <v>24</v>
      </c>
      <c r="F291" t="s">
        <v>103</v>
      </c>
      <c r="G291" s="3">
        <v>37.74</v>
      </c>
      <c r="H291" t="s">
        <v>26</v>
      </c>
      <c r="I291" t="s">
        <v>27</v>
      </c>
      <c r="J291" s="4" t="s">
        <v>104</v>
      </c>
      <c r="K291" t="s">
        <v>33</v>
      </c>
      <c r="L291" t="s">
        <v>30</v>
      </c>
      <c r="M291" t="s">
        <v>31</v>
      </c>
      <c r="N291" t="s">
        <v>126</v>
      </c>
      <c r="O291">
        <v>5</v>
      </c>
      <c r="P291">
        <v>5</v>
      </c>
      <c r="Q291" t="s">
        <v>33</v>
      </c>
      <c r="R291" t="s">
        <v>34</v>
      </c>
      <c r="S291" s="3">
        <v>0</v>
      </c>
      <c r="T291" t="s">
        <v>35</v>
      </c>
      <c r="U291" t="s">
        <v>36</v>
      </c>
    </row>
    <row r="292" spans="1:21" ht="27.6">
      <c r="A292" t="s">
        <v>1022</v>
      </c>
      <c r="B292" t="s">
        <v>1023</v>
      </c>
      <c r="C292" t="s">
        <v>1024</v>
      </c>
      <c r="D292" s="2">
        <v>46041</v>
      </c>
      <c r="E292" t="s">
        <v>24</v>
      </c>
      <c r="F292" t="s">
        <v>82</v>
      </c>
      <c r="G292" s="3">
        <v>18.47</v>
      </c>
      <c r="H292" t="s">
        <v>58</v>
      </c>
      <c r="I292" t="s">
        <v>27</v>
      </c>
      <c r="J292" s="4" t="s">
        <v>1025</v>
      </c>
      <c r="K292" t="s">
        <v>33</v>
      </c>
      <c r="L292" t="s">
        <v>30</v>
      </c>
      <c r="M292" t="s">
        <v>31</v>
      </c>
      <c r="N292" t="s">
        <v>126</v>
      </c>
      <c r="O292">
        <v>7</v>
      </c>
      <c r="P292">
        <v>9</v>
      </c>
      <c r="Q292" t="s">
        <v>29</v>
      </c>
      <c r="R292" t="s">
        <v>85</v>
      </c>
      <c r="S292" s="3">
        <v>0</v>
      </c>
      <c r="T292" t="s">
        <v>69</v>
      </c>
      <c r="U292" t="s">
        <v>63</v>
      </c>
    </row>
    <row r="293" spans="1:21" ht="27.6">
      <c r="A293" t="s">
        <v>1026</v>
      </c>
      <c r="B293" t="s">
        <v>1027</v>
      </c>
      <c r="C293" t="s">
        <v>1028</v>
      </c>
      <c r="D293" s="2">
        <v>46070</v>
      </c>
      <c r="E293" t="s">
        <v>94</v>
      </c>
      <c r="F293" t="s">
        <v>25</v>
      </c>
      <c r="G293" s="3">
        <v>24.12</v>
      </c>
      <c r="H293" t="s">
        <v>58</v>
      </c>
      <c r="I293" t="s">
        <v>50</v>
      </c>
      <c r="J293" s="4" t="s">
        <v>1029</v>
      </c>
      <c r="K293" t="s">
        <v>29</v>
      </c>
      <c r="L293" t="s">
        <v>30</v>
      </c>
      <c r="M293" t="s">
        <v>96</v>
      </c>
      <c r="N293" t="s">
        <v>32</v>
      </c>
      <c r="O293">
        <v>5</v>
      </c>
      <c r="P293">
        <v>2</v>
      </c>
      <c r="Q293" t="s">
        <v>33</v>
      </c>
      <c r="R293" t="s">
        <v>34</v>
      </c>
      <c r="S293" s="3">
        <v>24.12</v>
      </c>
      <c r="T293" t="s">
        <v>110</v>
      </c>
      <c r="U293" t="s">
        <v>53</v>
      </c>
    </row>
    <row r="294" spans="1:21" ht="27.6">
      <c r="A294" t="s">
        <v>1030</v>
      </c>
      <c r="B294" t="s">
        <v>1031</v>
      </c>
      <c r="C294" t="s">
        <v>1032</v>
      </c>
      <c r="D294" s="2">
        <v>46036</v>
      </c>
      <c r="E294" t="s">
        <v>24</v>
      </c>
      <c r="F294" t="s">
        <v>82</v>
      </c>
      <c r="G294" s="3">
        <v>61.65</v>
      </c>
      <c r="H294" t="s">
        <v>41</v>
      </c>
      <c r="I294" t="s">
        <v>50</v>
      </c>
      <c r="J294" s="4" t="s">
        <v>114</v>
      </c>
      <c r="K294" t="s">
        <v>29</v>
      </c>
      <c r="L294" t="s">
        <v>30</v>
      </c>
      <c r="M294" t="s">
        <v>31</v>
      </c>
      <c r="N294" t="s">
        <v>32</v>
      </c>
      <c r="O294">
        <v>7</v>
      </c>
      <c r="P294">
        <v>5</v>
      </c>
      <c r="Q294" t="s">
        <v>33</v>
      </c>
      <c r="R294" t="s">
        <v>85</v>
      </c>
      <c r="S294" s="3">
        <v>0</v>
      </c>
      <c r="T294" t="s">
        <v>69</v>
      </c>
      <c r="U294" t="s">
        <v>53</v>
      </c>
    </row>
    <row r="295" spans="1:21" ht="27.6">
      <c r="A295" t="s">
        <v>1033</v>
      </c>
      <c r="B295" t="s">
        <v>1034</v>
      </c>
      <c r="C295" t="s">
        <v>1035</v>
      </c>
      <c r="D295" s="2">
        <v>46114</v>
      </c>
      <c r="E295" t="s">
        <v>94</v>
      </c>
      <c r="F295" t="s">
        <v>118</v>
      </c>
      <c r="G295" s="3">
        <v>10.08</v>
      </c>
      <c r="H295" t="s">
        <v>89</v>
      </c>
      <c r="I295" t="s">
        <v>67</v>
      </c>
      <c r="J295" s="4" t="s">
        <v>119</v>
      </c>
      <c r="K295" t="s">
        <v>29</v>
      </c>
      <c r="L295" t="s">
        <v>120</v>
      </c>
      <c r="M295" t="s">
        <v>96</v>
      </c>
      <c r="N295" t="s">
        <v>32</v>
      </c>
      <c r="O295">
        <v>5</v>
      </c>
      <c r="P295">
        <v>5</v>
      </c>
      <c r="Q295" t="s">
        <v>33</v>
      </c>
      <c r="R295" t="s">
        <v>85</v>
      </c>
      <c r="S295" s="3">
        <v>10.08</v>
      </c>
      <c r="T295" t="s">
        <v>121</v>
      </c>
      <c r="U295" t="s">
        <v>53</v>
      </c>
    </row>
    <row r="296" spans="1:21" ht="27.6">
      <c r="A296" t="s">
        <v>1036</v>
      </c>
      <c r="B296" t="s">
        <v>1037</v>
      </c>
      <c r="C296" t="s">
        <v>1038</v>
      </c>
      <c r="D296" s="2">
        <v>46159</v>
      </c>
      <c r="E296" t="s">
        <v>24</v>
      </c>
      <c r="F296" t="s">
        <v>82</v>
      </c>
      <c r="G296" s="3">
        <v>54.39</v>
      </c>
      <c r="H296" t="s">
        <v>108</v>
      </c>
      <c r="I296" t="s">
        <v>27</v>
      </c>
      <c r="J296" s="4" t="s">
        <v>1039</v>
      </c>
      <c r="K296" t="s">
        <v>29</v>
      </c>
      <c r="L296" t="s">
        <v>30</v>
      </c>
      <c r="M296" t="s">
        <v>31</v>
      </c>
      <c r="N296" t="s">
        <v>84</v>
      </c>
      <c r="O296">
        <v>7</v>
      </c>
      <c r="P296">
        <v>5</v>
      </c>
      <c r="Q296" t="s">
        <v>33</v>
      </c>
      <c r="R296" t="s">
        <v>85</v>
      </c>
      <c r="S296" s="3">
        <v>0</v>
      </c>
      <c r="T296" t="s">
        <v>43</v>
      </c>
      <c r="U296" t="s">
        <v>36</v>
      </c>
    </row>
    <row r="297" spans="1:21" ht="27.6">
      <c r="A297" t="s">
        <v>1040</v>
      </c>
      <c r="B297" t="s">
        <v>1041</v>
      </c>
      <c r="C297" t="s">
        <v>1042</v>
      </c>
      <c r="D297" s="2">
        <v>46025</v>
      </c>
      <c r="E297" t="s">
        <v>40</v>
      </c>
      <c r="F297" t="s">
        <v>82</v>
      </c>
      <c r="G297" s="3">
        <v>68.849999999999994</v>
      </c>
      <c r="H297" t="s">
        <v>49</v>
      </c>
      <c r="I297" t="s">
        <v>27</v>
      </c>
      <c r="J297" s="4" t="s">
        <v>114</v>
      </c>
      <c r="K297" t="s">
        <v>33</v>
      </c>
      <c r="L297" t="s">
        <v>30</v>
      </c>
      <c r="M297" t="s">
        <v>31</v>
      </c>
      <c r="N297" t="s">
        <v>126</v>
      </c>
      <c r="O297">
        <v>7</v>
      </c>
      <c r="P297">
        <v>6</v>
      </c>
      <c r="Q297" t="s">
        <v>33</v>
      </c>
      <c r="R297" t="s">
        <v>85</v>
      </c>
      <c r="S297" s="3">
        <v>0</v>
      </c>
      <c r="T297" t="s">
        <v>43</v>
      </c>
      <c r="U297" t="s">
        <v>36</v>
      </c>
    </row>
    <row r="298" spans="1:21" ht="27.6">
      <c r="A298" t="s">
        <v>1043</v>
      </c>
      <c r="B298" t="s">
        <v>1044</v>
      </c>
      <c r="C298" t="s">
        <v>1045</v>
      </c>
      <c r="D298" s="2">
        <v>46134</v>
      </c>
      <c r="E298" t="s">
        <v>24</v>
      </c>
      <c r="F298" t="s">
        <v>25</v>
      </c>
      <c r="G298" s="3">
        <v>71.28</v>
      </c>
      <c r="H298" t="s">
        <v>108</v>
      </c>
      <c r="I298" t="s">
        <v>27</v>
      </c>
      <c r="J298" s="4" t="s">
        <v>42</v>
      </c>
      <c r="K298" t="s">
        <v>33</v>
      </c>
      <c r="L298" t="s">
        <v>30</v>
      </c>
      <c r="M298" t="s">
        <v>31</v>
      </c>
      <c r="N298" t="s">
        <v>126</v>
      </c>
      <c r="O298">
        <v>5</v>
      </c>
      <c r="P298">
        <v>6</v>
      </c>
      <c r="Q298" t="s">
        <v>29</v>
      </c>
      <c r="R298" t="s">
        <v>34</v>
      </c>
      <c r="S298" s="3">
        <v>0</v>
      </c>
      <c r="T298" t="s">
        <v>35</v>
      </c>
      <c r="U298" t="s">
        <v>63</v>
      </c>
    </row>
    <row r="299" spans="1:21" ht="27.6">
      <c r="A299" t="s">
        <v>1046</v>
      </c>
      <c r="B299" t="s">
        <v>1047</v>
      </c>
      <c r="C299" t="s">
        <v>1048</v>
      </c>
      <c r="D299" s="2">
        <v>46159</v>
      </c>
      <c r="E299" t="s">
        <v>40</v>
      </c>
      <c r="F299" t="s">
        <v>82</v>
      </c>
      <c r="G299" s="3">
        <v>75.98</v>
      </c>
      <c r="H299" t="s">
        <v>41</v>
      </c>
      <c r="I299" t="s">
        <v>27</v>
      </c>
      <c r="J299" s="4" t="s">
        <v>114</v>
      </c>
      <c r="K299" t="s">
        <v>29</v>
      </c>
      <c r="L299" t="s">
        <v>30</v>
      </c>
      <c r="M299" t="s">
        <v>31</v>
      </c>
      <c r="N299" t="s">
        <v>32</v>
      </c>
      <c r="O299">
        <v>7</v>
      </c>
      <c r="P299">
        <v>11</v>
      </c>
      <c r="Q299" t="s">
        <v>29</v>
      </c>
      <c r="R299" t="s">
        <v>85</v>
      </c>
      <c r="S299" s="3">
        <v>0</v>
      </c>
      <c r="T299" t="s">
        <v>69</v>
      </c>
      <c r="U299" t="s">
        <v>63</v>
      </c>
    </row>
    <row r="300" spans="1:21" ht="27.6">
      <c r="A300" t="s">
        <v>1049</v>
      </c>
      <c r="B300" t="s">
        <v>1050</v>
      </c>
      <c r="C300" t="s">
        <v>1051</v>
      </c>
      <c r="D300" s="2">
        <v>46061</v>
      </c>
      <c r="E300" t="s">
        <v>24</v>
      </c>
      <c r="F300" t="s">
        <v>172</v>
      </c>
      <c r="G300" s="3">
        <v>24.29</v>
      </c>
      <c r="H300" t="s">
        <v>41</v>
      </c>
      <c r="I300" t="s">
        <v>27</v>
      </c>
      <c r="J300" s="4" t="s">
        <v>285</v>
      </c>
      <c r="K300" t="s">
        <v>29</v>
      </c>
      <c r="L300" t="s">
        <v>30</v>
      </c>
      <c r="M300" t="s">
        <v>31</v>
      </c>
      <c r="N300" t="s">
        <v>32</v>
      </c>
      <c r="O300">
        <v>7</v>
      </c>
      <c r="P300">
        <v>8</v>
      </c>
      <c r="Q300" t="s">
        <v>29</v>
      </c>
      <c r="R300" t="s">
        <v>174</v>
      </c>
      <c r="S300" s="3">
        <v>18.22</v>
      </c>
      <c r="T300" t="s">
        <v>69</v>
      </c>
      <c r="U300" t="s">
        <v>63</v>
      </c>
    </row>
    <row r="301" spans="1:21" ht="27.6">
      <c r="A301" t="s">
        <v>1052</v>
      </c>
      <c r="B301" t="s">
        <v>1053</v>
      </c>
      <c r="C301" t="s">
        <v>1054</v>
      </c>
      <c r="D301" s="2">
        <v>46031</v>
      </c>
      <c r="E301" t="s">
        <v>24</v>
      </c>
      <c r="F301" t="s">
        <v>57</v>
      </c>
      <c r="G301" s="3">
        <v>62.36</v>
      </c>
      <c r="H301" t="s">
        <v>108</v>
      </c>
      <c r="I301" t="s">
        <v>27</v>
      </c>
      <c r="J301" s="4" t="s">
        <v>59</v>
      </c>
      <c r="K301" t="s">
        <v>33</v>
      </c>
      <c r="L301" t="s">
        <v>60</v>
      </c>
      <c r="M301" t="s">
        <v>31</v>
      </c>
      <c r="N301" t="s">
        <v>84</v>
      </c>
      <c r="O301">
        <v>10</v>
      </c>
      <c r="P301">
        <v>15</v>
      </c>
      <c r="Q301" t="s">
        <v>29</v>
      </c>
      <c r="R301" t="s">
        <v>61</v>
      </c>
      <c r="S301" s="3">
        <v>0</v>
      </c>
      <c r="T301" t="s">
        <v>52</v>
      </c>
      <c r="U301" t="s">
        <v>63</v>
      </c>
    </row>
    <row r="302" spans="1:21" ht="27.6">
      <c r="A302" t="s">
        <v>1055</v>
      </c>
      <c r="B302" t="s">
        <v>1056</v>
      </c>
      <c r="C302" t="s">
        <v>1057</v>
      </c>
      <c r="D302" s="2">
        <v>46136</v>
      </c>
      <c r="E302" t="s">
        <v>24</v>
      </c>
      <c r="F302" t="s">
        <v>48</v>
      </c>
      <c r="G302" s="3">
        <v>7.71</v>
      </c>
      <c r="H302" t="s">
        <v>26</v>
      </c>
      <c r="I302" t="s">
        <v>50</v>
      </c>
      <c r="J302" s="4" t="s">
        <v>51</v>
      </c>
      <c r="K302" t="s">
        <v>33</v>
      </c>
      <c r="L302" t="s">
        <v>30</v>
      </c>
      <c r="M302" t="s">
        <v>31</v>
      </c>
      <c r="N302" t="s">
        <v>84</v>
      </c>
      <c r="O302">
        <v>10</v>
      </c>
      <c r="P302">
        <v>3</v>
      </c>
      <c r="Q302" t="s">
        <v>33</v>
      </c>
      <c r="R302" t="s">
        <v>34</v>
      </c>
      <c r="S302" s="3">
        <v>0</v>
      </c>
      <c r="T302" t="s">
        <v>52</v>
      </c>
      <c r="U302" t="s">
        <v>53</v>
      </c>
    </row>
    <row r="303" spans="1:21" ht="27.6">
      <c r="A303" t="s">
        <v>1058</v>
      </c>
      <c r="B303" t="s">
        <v>1059</v>
      </c>
      <c r="C303" t="s">
        <v>1060</v>
      </c>
      <c r="D303" s="2">
        <v>46099</v>
      </c>
      <c r="E303" t="s">
        <v>24</v>
      </c>
      <c r="F303" t="s">
        <v>73</v>
      </c>
      <c r="G303" s="3">
        <v>79.67</v>
      </c>
      <c r="H303" t="s">
        <v>26</v>
      </c>
      <c r="I303" t="s">
        <v>27</v>
      </c>
      <c r="J303" s="4" t="s">
        <v>389</v>
      </c>
      <c r="K303" t="s">
        <v>29</v>
      </c>
      <c r="L303" t="s">
        <v>60</v>
      </c>
      <c r="M303" t="s">
        <v>31</v>
      </c>
      <c r="N303" t="s">
        <v>32</v>
      </c>
      <c r="O303">
        <v>10</v>
      </c>
      <c r="P303">
        <v>15</v>
      </c>
      <c r="Q303" t="s">
        <v>29</v>
      </c>
      <c r="R303" t="s">
        <v>61</v>
      </c>
      <c r="S303" s="3">
        <v>39.840000000000003</v>
      </c>
      <c r="T303" t="s">
        <v>156</v>
      </c>
      <c r="U303" t="s">
        <v>63</v>
      </c>
    </row>
    <row r="304" spans="1:21" ht="27.6">
      <c r="A304" t="s">
        <v>1061</v>
      </c>
      <c r="B304" t="s">
        <v>1062</v>
      </c>
      <c r="C304" t="s">
        <v>1063</v>
      </c>
      <c r="D304" s="2">
        <v>46033</v>
      </c>
      <c r="E304" t="s">
        <v>47</v>
      </c>
      <c r="F304" t="s">
        <v>103</v>
      </c>
      <c r="G304" s="3">
        <v>55.99</v>
      </c>
      <c r="H304" t="s">
        <v>49</v>
      </c>
      <c r="I304" t="s">
        <v>27</v>
      </c>
      <c r="J304" s="4" t="s">
        <v>134</v>
      </c>
      <c r="K304" t="s">
        <v>33</v>
      </c>
      <c r="L304" t="s">
        <v>30</v>
      </c>
      <c r="M304" t="s">
        <v>31</v>
      </c>
      <c r="N304" t="s">
        <v>126</v>
      </c>
      <c r="O304">
        <v>5</v>
      </c>
      <c r="P304">
        <v>4</v>
      </c>
      <c r="Q304" t="s">
        <v>33</v>
      </c>
      <c r="R304" t="s">
        <v>34</v>
      </c>
      <c r="S304" s="3">
        <v>0</v>
      </c>
      <c r="T304" t="s">
        <v>35</v>
      </c>
      <c r="U304" t="s">
        <v>53</v>
      </c>
    </row>
    <row r="305" spans="1:21" ht="27.6">
      <c r="A305" t="s">
        <v>1064</v>
      </c>
      <c r="B305" t="s">
        <v>1065</v>
      </c>
      <c r="C305" t="s">
        <v>1066</v>
      </c>
      <c r="D305" s="2">
        <v>46062</v>
      </c>
      <c r="E305" t="s">
        <v>40</v>
      </c>
      <c r="F305" t="s">
        <v>57</v>
      </c>
      <c r="G305" s="3">
        <v>19.86</v>
      </c>
      <c r="H305" t="s">
        <v>89</v>
      </c>
      <c r="I305" t="s">
        <v>67</v>
      </c>
      <c r="J305" s="4" t="s">
        <v>155</v>
      </c>
      <c r="K305" t="s">
        <v>33</v>
      </c>
      <c r="L305" t="s">
        <v>60</v>
      </c>
      <c r="M305" t="s">
        <v>31</v>
      </c>
      <c r="N305" t="s">
        <v>32</v>
      </c>
      <c r="O305">
        <v>10</v>
      </c>
      <c r="P305">
        <v>11</v>
      </c>
      <c r="Q305" t="s">
        <v>29</v>
      </c>
      <c r="R305" t="s">
        <v>61</v>
      </c>
      <c r="S305" s="3">
        <v>14.89</v>
      </c>
      <c r="T305" t="s">
        <v>52</v>
      </c>
      <c r="U305" t="s">
        <v>63</v>
      </c>
    </row>
    <row r="306" spans="1:21" ht="27.6">
      <c r="A306" t="s">
        <v>1067</v>
      </c>
      <c r="B306" t="s">
        <v>1068</v>
      </c>
      <c r="C306" t="s">
        <v>1069</v>
      </c>
      <c r="D306" s="2">
        <v>46033</v>
      </c>
      <c r="E306" t="s">
        <v>47</v>
      </c>
      <c r="F306" t="s">
        <v>82</v>
      </c>
      <c r="G306" s="3">
        <v>15.06</v>
      </c>
      <c r="H306" t="s">
        <v>74</v>
      </c>
      <c r="I306" t="s">
        <v>50</v>
      </c>
      <c r="J306" s="4" t="s">
        <v>114</v>
      </c>
      <c r="K306" t="s">
        <v>33</v>
      </c>
      <c r="L306" t="s">
        <v>30</v>
      </c>
      <c r="M306" t="s">
        <v>31</v>
      </c>
      <c r="N306" t="s">
        <v>126</v>
      </c>
      <c r="O306">
        <v>7</v>
      </c>
      <c r="P306">
        <v>5</v>
      </c>
      <c r="Q306" t="s">
        <v>33</v>
      </c>
      <c r="R306" t="s">
        <v>85</v>
      </c>
      <c r="S306" s="3">
        <v>0</v>
      </c>
      <c r="T306" t="s">
        <v>69</v>
      </c>
      <c r="U306" t="s">
        <v>53</v>
      </c>
    </row>
    <row r="307" spans="1:21" ht="27.6">
      <c r="A307" t="s">
        <v>1070</v>
      </c>
      <c r="B307" t="s">
        <v>1071</v>
      </c>
      <c r="C307" t="s">
        <v>1072</v>
      </c>
      <c r="D307" s="2">
        <v>46138</v>
      </c>
      <c r="E307" t="s">
        <v>24</v>
      </c>
      <c r="F307" t="s">
        <v>118</v>
      </c>
      <c r="G307" s="3">
        <v>55.93</v>
      </c>
      <c r="H307" t="s">
        <v>74</v>
      </c>
      <c r="I307" t="s">
        <v>67</v>
      </c>
      <c r="J307" s="4" t="s">
        <v>119</v>
      </c>
      <c r="K307" t="s">
        <v>29</v>
      </c>
      <c r="L307" t="s">
        <v>120</v>
      </c>
      <c r="M307" t="s">
        <v>96</v>
      </c>
      <c r="N307" t="s">
        <v>32</v>
      </c>
      <c r="O307">
        <v>5</v>
      </c>
      <c r="P307">
        <v>1</v>
      </c>
      <c r="Q307" t="s">
        <v>33</v>
      </c>
      <c r="R307" t="s">
        <v>85</v>
      </c>
      <c r="S307" s="3">
        <v>55.93</v>
      </c>
      <c r="T307" t="s">
        <v>121</v>
      </c>
      <c r="U307" t="s">
        <v>53</v>
      </c>
    </row>
    <row r="308" spans="1:21" ht="27.6">
      <c r="A308" t="s">
        <v>1073</v>
      </c>
      <c r="B308" t="s">
        <v>1074</v>
      </c>
      <c r="C308" t="s">
        <v>1075</v>
      </c>
      <c r="D308" s="2">
        <v>46160</v>
      </c>
      <c r="E308" t="s">
        <v>40</v>
      </c>
      <c r="F308" t="s">
        <v>25</v>
      </c>
      <c r="G308" s="3">
        <v>126.53</v>
      </c>
      <c r="H308" t="s">
        <v>74</v>
      </c>
      <c r="I308" t="s">
        <v>50</v>
      </c>
      <c r="J308" s="4" t="s">
        <v>1076</v>
      </c>
      <c r="K308" t="s">
        <v>29</v>
      </c>
      <c r="L308" t="s">
        <v>30</v>
      </c>
      <c r="M308" t="s">
        <v>96</v>
      </c>
      <c r="N308" t="s">
        <v>32</v>
      </c>
      <c r="O308">
        <v>5</v>
      </c>
      <c r="P308">
        <v>5</v>
      </c>
      <c r="Q308" t="s">
        <v>33</v>
      </c>
      <c r="R308" t="s">
        <v>34</v>
      </c>
      <c r="S308" s="3">
        <v>126.53</v>
      </c>
      <c r="T308" t="s">
        <v>35</v>
      </c>
      <c r="U308" t="s">
        <v>53</v>
      </c>
    </row>
    <row r="309" spans="1:21" ht="27.6">
      <c r="A309" t="s">
        <v>1077</v>
      </c>
      <c r="B309" t="s">
        <v>1078</v>
      </c>
      <c r="C309" t="s">
        <v>1079</v>
      </c>
      <c r="D309" s="2">
        <v>46074</v>
      </c>
      <c r="E309" t="s">
        <v>24</v>
      </c>
      <c r="F309" t="s">
        <v>25</v>
      </c>
      <c r="G309" s="3">
        <v>29.42</v>
      </c>
      <c r="H309" t="s">
        <v>89</v>
      </c>
      <c r="I309" t="s">
        <v>50</v>
      </c>
      <c r="J309" s="4" t="s">
        <v>1080</v>
      </c>
      <c r="K309" t="s">
        <v>29</v>
      </c>
      <c r="L309" t="s">
        <v>30</v>
      </c>
      <c r="M309" t="s">
        <v>96</v>
      </c>
      <c r="N309" t="s">
        <v>32</v>
      </c>
      <c r="O309">
        <v>5</v>
      </c>
      <c r="P309">
        <v>7</v>
      </c>
      <c r="Q309" t="s">
        <v>29</v>
      </c>
      <c r="R309" t="s">
        <v>34</v>
      </c>
      <c r="S309" s="3">
        <v>29.42</v>
      </c>
      <c r="T309" t="s">
        <v>43</v>
      </c>
      <c r="U309" t="s">
        <v>63</v>
      </c>
    </row>
    <row r="310" spans="1:21" ht="27.6">
      <c r="A310" t="s">
        <v>1081</v>
      </c>
      <c r="B310" t="s">
        <v>1082</v>
      </c>
      <c r="C310" t="s">
        <v>1083</v>
      </c>
      <c r="D310" s="2">
        <v>46148</v>
      </c>
      <c r="E310" t="s">
        <v>94</v>
      </c>
      <c r="F310" t="s">
        <v>57</v>
      </c>
      <c r="G310" s="3">
        <v>35.549999999999997</v>
      </c>
      <c r="H310" t="s">
        <v>41</v>
      </c>
      <c r="I310" t="s">
        <v>50</v>
      </c>
      <c r="J310" s="4" t="s">
        <v>59</v>
      </c>
      <c r="K310" t="s">
        <v>33</v>
      </c>
      <c r="L310" t="s">
        <v>60</v>
      </c>
      <c r="M310" t="s">
        <v>31</v>
      </c>
      <c r="N310" t="s">
        <v>32</v>
      </c>
      <c r="O310">
        <v>10</v>
      </c>
      <c r="P310">
        <v>16</v>
      </c>
      <c r="Q310" t="s">
        <v>29</v>
      </c>
      <c r="R310" t="s">
        <v>61</v>
      </c>
      <c r="S310" s="3">
        <v>0</v>
      </c>
      <c r="T310" t="s">
        <v>52</v>
      </c>
      <c r="U310" t="s">
        <v>63</v>
      </c>
    </row>
    <row r="311" spans="1:21" ht="27.6">
      <c r="A311" t="s">
        <v>1084</v>
      </c>
      <c r="B311" t="s">
        <v>1085</v>
      </c>
      <c r="C311" t="s">
        <v>1086</v>
      </c>
      <c r="D311" s="2">
        <v>46078</v>
      </c>
      <c r="E311" t="s">
        <v>94</v>
      </c>
      <c r="F311" t="s">
        <v>25</v>
      </c>
      <c r="G311" s="3">
        <v>81.540000000000006</v>
      </c>
      <c r="H311" t="s">
        <v>74</v>
      </c>
      <c r="I311" t="s">
        <v>27</v>
      </c>
      <c r="J311" s="4" t="s">
        <v>1087</v>
      </c>
      <c r="K311" t="s">
        <v>29</v>
      </c>
      <c r="L311" t="s">
        <v>30</v>
      </c>
      <c r="M311" t="s">
        <v>31</v>
      </c>
      <c r="N311" t="s">
        <v>32</v>
      </c>
      <c r="O311">
        <v>5</v>
      </c>
      <c r="P311">
        <v>1</v>
      </c>
      <c r="Q311" t="s">
        <v>33</v>
      </c>
      <c r="R311" t="s">
        <v>34</v>
      </c>
      <c r="S311" s="3">
        <v>81.540000000000006</v>
      </c>
      <c r="T311" t="s">
        <v>35</v>
      </c>
      <c r="U311" t="s">
        <v>36</v>
      </c>
    </row>
    <row r="312" spans="1:21" ht="27.6">
      <c r="A312" t="s">
        <v>1088</v>
      </c>
      <c r="B312" t="s">
        <v>1089</v>
      </c>
      <c r="C312" t="s">
        <v>1090</v>
      </c>
      <c r="D312" s="2">
        <v>46140</v>
      </c>
      <c r="E312" t="s">
        <v>40</v>
      </c>
      <c r="F312" t="s">
        <v>82</v>
      </c>
      <c r="G312" s="3">
        <v>46.86</v>
      </c>
      <c r="H312" t="s">
        <v>58</v>
      </c>
      <c r="I312" t="s">
        <v>27</v>
      </c>
      <c r="J312" s="4" t="s">
        <v>1091</v>
      </c>
      <c r="K312" t="s">
        <v>33</v>
      </c>
      <c r="L312" t="s">
        <v>30</v>
      </c>
      <c r="M312" t="s">
        <v>31</v>
      </c>
      <c r="N312" t="s">
        <v>32</v>
      </c>
      <c r="O312">
        <v>7</v>
      </c>
      <c r="P312">
        <v>14</v>
      </c>
      <c r="Q312" t="s">
        <v>29</v>
      </c>
      <c r="R312" t="s">
        <v>85</v>
      </c>
      <c r="S312" s="3">
        <v>0</v>
      </c>
      <c r="T312" t="s">
        <v>69</v>
      </c>
      <c r="U312" t="s">
        <v>63</v>
      </c>
    </row>
    <row r="313" spans="1:21" ht="27.6">
      <c r="A313" t="s">
        <v>1092</v>
      </c>
      <c r="B313" t="s">
        <v>1093</v>
      </c>
      <c r="C313" t="s">
        <v>1094</v>
      </c>
      <c r="D313" s="2">
        <v>46133</v>
      </c>
      <c r="E313" t="s">
        <v>40</v>
      </c>
      <c r="F313" t="s">
        <v>118</v>
      </c>
      <c r="G313" s="3">
        <v>17.600000000000001</v>
      </c>
      <c r="H313" t="s">
        <v>108</v>
      </c>
      <c r="I313" t="s">
        <v>50</v>
      </c>
      <c r="J313" s="4" t="s">
        <v>119</v>
      </c>
      <c r="K313" t="s">
        <v>33</v>
      </c>
      <c r="L313" t="s">
        <v>30</v>
      </c>
      <c r="M313" t="s">
        <v>31</v>
      </c>
      <c r="N313" t="s">
        <v>32</v>
      </c>
      <c r="O313">
        <v>5</v>
      </c>
      <c r="P313">
        <v>6</v>
      </c>
      <c r="Q313" t="s">
        <v>29</v>
      </c>
      <c r="R313" t="s">
        <v>85</v>
      </c>
      <c r="S313" s="3">
        <v>0</v>
      </c>
      <c r="T313" t="s">
        <v>121</v>
      </c>
      <c r="U313" t="s">
        <v>63</v>
      </c>
    </row>
    <row r="314" spans="1:21" ht="27.6">
      <c r="A314" t="s">
        <v>1095</v>
      </c>
      <c r="B314" t="s">
        <v>1096</v>
      </c>
      <c r="C314" t="s">
        <v>1097</v>
      </c>
      <c r="D314" s="2">
        <v>46031</v>
      </c>
      <c r="E314" t="s">
        <v>94</v>
      </c>
      <c r="F314" t="s">
        <v>172</v>
      </c>
      <c r="G314" s="3">
        <v>26.76</v>
      </c>
      <c r="H314" t="s">
        <v>74</v>
      </c>
      <c r="I314" t="s">
        <v>27</v>
      </c>
      <c r="J314" s="4" t="s">
        <v>173</v>
      </c>
      <c r="K314" t="s">
        <v>29</v>
      </c>
      <c r="L314" t="s">
        <v>30</v>
      </c>
      <c r="M314" t="s">
        <v>31</v>
      </c>
      <c r="N314" t="s">
        <v>32</v>
      </c>
      <c r="O314">
        <v>7</v>
      </c>
      <c r="P314">
        <v>10</v>
      </c>
      <c r="Q314" t="s">
        <v>29</v>
      </c>
      <c r="R314" t="s">
        <v>174</v>
      </c>
      <c r="S314" s="3">
        <v>0</v>
      </c>
      <c r="T314" t="s">
        <v>110</v>
      </c>
      <c r="U314" t="s">
        <v>63</v>
      </c>
    </row>
    <row r="315" spans="1:21" ht="27.6">
      <c r="A315" t="s">
        <v>1098</v>
      </c>
      <c r="B315" t="s">
        <v>1099</v>
      </c>
      <c r="C315" t="s">
        <v>1100</v>
      </c>
      <c r="D315" s="2">
        <v>46140</v>
      </c>
      <c r="E315" t="s">
        <v>24</v>
      </c>
      <c r="F315" t="s">
        <v>25</v>
      </c>
      <c r="G315" s="3">
        <v>25.44</v>
      </c>
      <c r="H315" t="s">
        <v>74</v>
      </c>
      <c r="I315" t="s">
        <v>27</v>
      </c>
      <c r="J315" s="4" t="s">
        <v>42</v>
      </c>
      <c r="K315" t="s">
        <v>29</v>
      </c>
      <c r="L315" t="s">
        <v>30</v>
      </c>
      <c r="M315" t="s">
        <v>31</v>
      </c>
      <c r="N315" t="s">
        <v>32</v>
      </c>
      <c r="O315">
        <v>5</v>
      </c>
      <c r="P315">
        <v>1</v>
      </c>
      <c r="Q315" t="s">
        <v>33</v>
      </c>
      <c r="R315" t="s">
        <v>34</v>
      </c>
      <c r="S315" s="3">
        <v>0</v>
      </c>
      <c r="T315" t="s">
        <v>35</v>
      </c>
      <c r="U315" t="s">
        <v>53</v>
      </c>
    </row>
    <row r="316" spans="1:21" ht="27.6">
      <c r="A316" t="s">
        <v>1101</v>
      </c>
      <c r="B316" t="s">
        <v>1102</v>
      </c>
      <c r="C316" t="s">
        <v>1103</v>
      </c>
      <c r="D316" s="2">
        <v>46147</v>
      </c>
      <c r="E316" t="s">
        <v>40</v>
      </c>
      <c r="F316" t="s">
        <v>103</v>
      </c>
      <c r="G316" s="3">
        <v>134.80000000000001</v>
      </c>
      <c r="H316" t="s">
        <v>89</v>
      </c>
      <c r="I316" t="s">
        <v>50</v>
      </c>
      <c r="J316" s="4" t="s">
        <v>104</v>
      </c>
      <c r="K316" t="s">
        <v>29</v>
      </c>
      <c r="L316" t="s">
        <v>30</v>
      </c>
      <c r="M316" t="s">
        <v>31</v>
      </c>
      <c r="N316" t="s">
        <v>32</v>
      </c>
      <c r="O316">
        <v>5</v>
      </c>
      <c r="P316">
        <v>6</v>
      </c>
      <c r="Q316" t="s">
        <v>29</v>
      </c>
      <c r="R316" t="s">
        <v>34</v>
      </c>
      <c r="S316" s="3">
        <v>101.1</v>
      </c>
      <c r="T316" t="s">
        <v>247</v>
      </c>
      <c r="U316" t="s">
        <v>63</v>
      </c>
    </row>
    <row r="317" spans="1:21" ht="27.6">
      <c r="A317" t="s">
        <v>1104</v>
      </c>
      <c r="B317" t="s">
        <v>1105</v>
      </c>
      <c r="C317" t="s">
        <v>1106</v>
      </c>
      <c r="D317" s="2">
        <v>46081</v>
      </c>
      <c r="E317" t="s">
        <v>40</v>
      </c>
      <c r="F317" t="s">
        <v>57</v>
      </c>
      <c r="G317" s="3">
        <v>49.59</v>
      </c>
      <c r="H317" t="s">
        <v>89</v>
      </c>
      <c r="I317" t="s">
        <v>27</v>
      </c>
      <c r="J317" s="4" t="s">
        <v>155</v>
      </c>
      <c r="K317" t="s">
        <v>29</v>
      </c>
      <c r="L317" t="s">
        <v>60</v>
      </c>
      <c r="M317" t="s">
        <v>31</v>
      </c>
      <c r="N317" t="s">
        <v>32</v>
      </c>
      <c r="O317">
        <v>10</v>
      </c>
      <c r="P317">
        <v>11</v>
      </c>
      <c r="Q317" t="s">
        <v>29</v>
      </c>
      <c r="R317" t="s">
        <v>61</v>
      </c>
      <c r="S317" s="3">
        <v>49.59</v>
      </c>
      <c r="T317" t="s">
        <v>156</v>
      </c>
      <c r="U317" t="s">
        <v>63</v>
      </c>
    </row>
    <row r="318" spans="1:21" ht="27.6">
      <c r="A318" t="s">
        <v>1107</v>
      </c>
      <c r="B318" t="s">
        <v>1108</v>
      </c>
      <c r="C318" t="s">
        <v>1109</v>
      </c>
      <c r="D318" s="2">
        <v>46079</v>
      </c>
      <c r="E318" t="s">
        <v>47</v>
      </c>
      <c r="F318" t="s">
        <v>57</v>
      </c>
      <c r="G318" s="3">
        <v>18.670000000000002</v>
      </c>
      <c r="H318" t="s">
        <v>108</v>
      </c>
      <c r="I318" t="s">
        <v>50</v>
      </c>
      <c r="J318" s="4" t="s">
        <v>155</v>
      </c>
      <c r="K318" t="s">
        <v>29</v>
      </c>
      <c r="L318" t="s">
        <v>60</v>
      </c>
      <c r="M318" t="s">
        <v>31</v>
      </c>
      <c r="N318" t="s">
        <v>32</v>
      </c>
      <c r="O318">
        <v>10</v>
      </c>
      <c r="P318">
        <v>10</v>
      </c>
      <c r="Q318" t="s">
        <v>33</v>
      </c>
      <c r="R318" t="s">
        <v>61</v>
      </c>
      <c r="S318" s="3">
        <v>0</v>
      </c>
      <c r="T318" t="s">
        <v>52</v>
      </c>
      <c r="U318" t="s">
        <v>63</v>
      </c>
    </row>
    <row r="319" spans="1:21" ht="27.6">
      <c r="A319" t="s">
        <v>1110</v>
      </c>
      <c r="B319" t="s">
        <v>1111</v>
      </c>
      <c r="C319" t="s">
        <v>1112</v>
      </c>
      <c r="D319" s="2">
        <v>46124</v>
      </c>
      <c r="E319" t="s">
        <v>40</v>
      </c>
      <c r="F319" t="s">
        <v>25</v>
      </c>
      <c r="G319" s="3">
        <v>76.7</v>
      </c>
      <c r="H319" t="s">
        <v>74</v>
      </c>
      <c r="I319" t="s">
        <v>27</v>
      </c>
      <c r="J319" s="4" t="s">
        <v>1113</v>
      </c>
      <c r="K319" t="s">
        <v>29</v>
      </c>
      <c r="L319" t="s">
        <v>30</v>
      </c>
      <c r="M319" t="s">
        <v>31</v>
      </c>
      <c r="N319" t="s">
        <v>32</v>
      </c>
      <c r="O319">
        <v>5</v>
      </c>
      <c r="P319">
        <v>9</v>
      </c>
      <c r="Q319" t="s">
        <v>29</v>
      </c>
      <c r="R319" t="s">
        <v>34</v>
      </c>
      <c r="S319" s="3">
        <v>0</v>
      </c>
      <c r="T319" t="s">
        <v>43</v>
      </c>
      <c r="U319" t="s">
        <v>63</v>
      </c>
    </row>
    <row r="320" spans="1:21" ht="27.6">
      <c r="A320" t="s">
        <v>1114</v>
      </c>
      <c r="B320" t="s">
        <v>1115</v>
      </c>
      <c r="C320" t="s">
        <v>1116</v>
      </c>
      <c r="D320" s="2">
        <v>46128</v>
      </c>
      <c r="E320" t="s">
        <v>47</v>
      </c>
      <c r="F320" t="s">
        <v>82</v>
      </c>
      <c r="G320" s="3">
        <v>21.25</v>
      </c>
      <c r="H320" t="s">
        <v>26</v>
      </c>
      <c r="I320" t="s">
        <v>50</v>
      </c>
      <c r="J320" s="4" t="s">
        <v>114</v>
      </c>
      <c r="K320" t="s">
        <v>29</v>
      </c>
      <c r="L320" t="s">
        <v>30</v>
      </c>
      <c r="M320" t="s">
        <v>31</v>
      </c>
      <c r="N320" t="s">
        <v>32</v>
      </c>
      <c r="O320">
        <v>7</v>
      </c>
      <c r="P320">
        <v>1</v>
      </c>
      <c r="Q320" t="s">
        <v>33</v>
      </c>
      <c r="R320" t="s">
        <v>85</v>
      </c>
      <c r="S320" s="3">
        <v>10.62</v>
      </c>
      <c r="T320" t="s">
        <v>69</v>
      </c>
      <c r="U320" t="s">
        <v>53</v>
      </c>
    </row>
    <row r="321" spans="1:21" ht="27.6">
      <c r="A321" t="s">
        <v>1117</v>
      </c>
      <c r="B321" t="s">
        <v>1118</v>
      </c>
      <c r="C321" t="s">
        <v>1119</v>
      </c>
      <c r="D321" s="2">
        <v>46044</v>
      </c>
      <c r="E321" t="s">
        <v>24</v>
      </c>
      <c r="F321" t="s">
        <v>25</v>
      </c>
      <c r="G321" s="3">
        <v>14.43</v>
      </c>
      <c r="H321" t="s">
        <v>26</v>
      </c>
      <c r="I321" t="s">
        <v>27</v>
      </c>
      <c r="J321" s="4" t="s">
        <v>1120</v>
      </c>
      <c r="K321" t="s">
        <v>33</v>
      </c>
      <c r="L321" t="s">
        <v>30</v>
      </c>
      <c r="M321" t="s">
        <v>31</v>
      </c>
      <c r="N321" t="s">
        <v>32</v>
      </c>
      <c r="O321">
        <v>5</v>
      </c>
      <c r="P321">
        <v>2</v>
      </c>
      <c r="Q321" t="s">
        <v>33</v>
      </c>
      <c r="R321" t="s">
        <v>34</v>
      </c>
      <c r="S321" s="3">
        <v>10.82</v>
      </c>
      <c r="T321" t="s">
        <v>110</v>
      </c>
      <c r="U321" t="s">
        <v>36</v>
      </c>
    </row>
    <row r="322" spans="1:21" ht="27.6">
      <c r="A322" t="s">
        <v>1121</v>
      </c>
      <c r="B322" t="s">
        <v>1122</v>
      </c>
      <c r="C322" t="s">
        <v>1123</v>
      </c>
      <c r="D322" s="2">
        <v>46172</v>
      </c>
      <c r="E322" t="s">
        <v>94</v>
      </c>
      <c r="F322" t="s">
        <v>172</v>
      </c>
      <c r="G322" s="3">
        <v>27.68</v>
      </c>
      <c r="H322" t="s">
        <v>74</v>
      </c>
      <c r="I322" t="s">
        <v>67</v>
      </c>
      <c r="J322" s="4" t="s">
        <v>173</v>
      </c>
      <c r="K322" t="s">
        <v>29</v>
      </c>
      <c r="L322" t="s">
        <v>30</v>
      </c>
      <c r="M322" t="s">
        <v>31</v>
      </c>
      <c r="N322" t="s">
        <v>32</v>
      </c>
      <c r="O322">
        <v>7</v>
      </c>
      <c r="P322">
        <v>1</v>
      </c>
      <c r="Q322" t="s">
        <v>33</v>
      </c>
      <c r="R322" t="s">
        <v>174</v>
      </c>
      <c r="S322" s="3">
        <v>0</v>
      </c>
      <c r="T322" t="s">
        <v>69</v>
      </c>
      <c r="U322" t="s">
        <v>36</v>
      </c>
    </row>
    <row r="323" spans="1:21" ht="27.6">
      <c r="A323" t="s">
        <v>1124</v>
      </c>
      <c r="B323" t="s">
        <v>1125</v>
      </c>
      <c r="C323" t="s">
        <v>1126</v>
      </c>
      <c r="D323" s="2">
        <v>46121</v>
      </c>
      <c r="E323" t="s">
        <v>24</v>
      </c>
      <c r="F323" t="s">
        <v>82</v>
      </c>
      <c r="G323" s="3">
        <v>5.37</v>
      </c>
      <c r="H323" t="s">
        <v>89</v>
      </c>
      <c r="I323" t="s">
        <v>27</v>
      </c>
      <c r="J323" s="4" t="s">
        <v>114</v>
      </c>
      <c r="K323" t="s">
        <v>29</v>
      </c>
      <c r="L323" t="s">
        <v>30</v>
      </c>
      <c r="M323" t="s">
        <v>31</v>
      </c>
      <c r="N323" t="s">
        <v>32</v>
      </c>
      <c r="O323">
        <v>7</v>
      </c>
      <c r="P323">
        <v>7</v>
      </c>
      <c r="Q323" t="s">
        <v>33</v>
      </c>
      <c r="R323" t="s">
        <v>85</v>
      </c>
      <c r="S323" s="3">
        <v>0</v>
      </c>
      <c r="T323" t="s">
        <v>69</v>
      </c>
      <c r="U323" t="s">
        <v>53</v>
      </c>
    </row>
    <row r="324" spans="1:21" ht="27.6">
      <c r="A324" t="s">
        <v>1127</v>
      </c>
      <c r="B324" t="s">
        <v>1128</v>
      </c>
      <c r="C324" t="s">
        <v>1129</v>
      </c>
      <c r="D324" s="2">
        <v>46108</v>
      </c>
      <c r="E324" t="s">
        <v>47</v>
      </c>
      <c r="F324" t="s">
        <v>103</v>
      </c>
      <c r="G324" s="3">
        <v>29.9</v>
      </c>
      <c r="H324" t="s">
        <v>89</v>
      </c>
      <c r="I324" t="s">
        <v>27</v>
      </c>
      <c r="J324" s="4" t="s">
        <v>104</v>
      </c>
      <c r="K324" t="s">
        <v>29</v>
      </c>
      <c r="L324" t="s">
        <v>30</v>
      </c>
      <c r="M324" t="s">
        <v>31</v>
      </c>
      <c r="N324" t="s">
        <v>84</v>
      </c>
      <c r="O324">
        <v>5</v>
      </c>
      <c r="P324">
        <v>10</v>
      </c>
      <c r="Q324" t="s">
        <v>29</v>
      </c>
      <c r="R324" t="s">
        <v>34</v>
      </c>
      <c r="S324" s="3">
        <v>0</v>
      </c>
      <c r="T324" t="s">
        <v>247</v>
      </c>
      <c r="U324" t="s">
        <v>63</v>
      </c>
    </row>
    <row r="325" spans="1:21" ht="27.6">
      <c r="A325" t="s">
        <v>1130</v>
      </c>
      <c r="B325" t="s">
        <v>1131</v>
      </c>
      <c r="C325" t="s">
        <v>1132</v>
      </c>
      <c r="D325" s="2">
        <v>46110</v>
      </c>
      <c r="E325" t="s">
        <v>94</v>
      </c>
      <c r="F325" t="s">
        <v>172</v>
      </c>
      <c r="G325" s="3">
        <v>15.29</v>
      </c>
      <c r="H325" t="s">
        <v>58</v>
      </c>
      <c r="I325" t="s">
        <v>50</v>
      </c>
      <c r="J325" s="4" t="s">
        <v>285</v>
      </c>
      <c r="K325" t="s">
        <v>29</v>
      </c>
      <c r="L325" t="s">
        <v>30</v>
      </c>
      <c r="M325" t="s">
        <v>31</v>
      </c>
      <c r="N325" t="s">
        <v>32</v>
      </c>
      <c r="O325">
        <v>7</v>
      </c>
      <c r="P325">
        <v>3</v>
      </c>
      <c r="Q325" t="s">
        <v>33</v>
      </c>
      <c r="R325" t="s">
        <v>174</v>
      </c>
      <c r="S325" s="3">
        <v>0</v>
      </c>
      <c r="T325" t="s">
        <v>69</v>
      </c>
      <c r="U325" t="s">
        <v>36</v>
      </c>
    </row>
    <row r="326" spans="1:21" ht="27.6">
      <c r="A326" t="s">
        <v>1133</v>
      </c>
      <c r="B326" t="s">
        <v>1134</v>
      </c>
      <c r="C326" t="s">
        <v>1135</v>
      </c>
      <c r="D326" s="2">
        <v>46161</v>
      </c>
      <c r="E326" t="s">
        <v>24</v>
      </c>
      <c r="F326" t="s">
        <v>172</v>
      </c>
      <c r="G326" s="3">
        <v>58.79</v>
      </c>
      <c r="H326" t="s">
        <v>74</v>
      </c>
      <c r="I326" t="s">
        <v>67</v>
      </c>
      <c r="J326" s="4" t="s">
        <v>173</v>
      </c>
      <c r="K326" t="s">
        <v>29</v>
      </c>
      <c r="L326" t="s">
        <v>30</v>
      </c>
      <c r="M326" t="s">
        <v>31</v>
      </c>
      <c r="N326" t="s">
        <v>32</v>
      </c>
      <c r="O326">
        <v>7</v>
      </c>
      <c r="P326">
        <v>13</v>
      </c>
      <c r="Q326" t="s">
        <v>29</v>
      </c>
      <c r="R326" t="s">
        <v>174</v>
      </c>
      <c r="S326" s="3">
        <v>0</v>
      </c>
      <c r="T326" t="s">
        <v>110</v>
      </c>
      <c r="U326" t="s">
        <v>63</v>
      </c>
    </row>
    <row r="327" spans="1:21" ht="27.6">
      <c r="A327" t="s">
        <v>1136</v>
      </c>
      <c r="B327" t="s">
        <v>1137</v>
      </c>
      <c r="C327" t="s">
        <v>1138</v>
      </c>
      <c r="D327" s="2">
        <v>46040</v>
      </c>
      <c r="E327" t="s">
        <v>47</v>
      </c>
      <c r="F327" t="s">
        <v>48</v>
      </c>
      <c r="G327" s="3">
        <v>17.899999999999999</v>
      </c>
      <c r="H327" t="s">
        <v>74</v>
      </c>
      <c r="I327" t="s">
        <v>50</v>
      </c>
      <c r="J327" s="4" t="s">
        <v>68</v>
      </c>
      <c r="K327" t="s">
        <v>33</v>
      </c>
      <c r="L327" t="s">
        <v>30</v>
      </c>
      <c r="M327" t="s">
        <v>31</v>
      </c>
      <c r="N327" t="s">
        <v>90</v>
      </c>
      <c r="O327">
        <v>10</v>
      </c>
      <c r="P327">
        <v>5</v>
      </c>
      <c r="Q327" t="s">
        <v>33</v>
      </c>
      <c r="R327" t="s">
        <v>34</v>
      </c>
      <c r="S327" s="3">
        <v>0</v>
      </c>
      <c r="T327" t="s">
        <v>52</v>
      </c>
      <c r="U327" t="s">
        <v>36</v>
      </c>
    </row>
    <row r="328" spans="1:21" ht="27.6">
      <c r="A328" t="s">
        <v>1139</v>
      </c>
      <c r="B328" t="s">
        <v>1140</v>
      </c>
      <c r="C328" t="s">
        <v>1141</v>
      </c>
      <c r="D328" s="2">
        <v>46071</v>
      </c>
      <c r="E328" t="s">
        <v>24</v>
      </c>
      <c r="F328" t="s">
        <v>25</v>
      </c>
      <c r="G328" s="3">
        <v>108.45</v>
      </c>
      <c r="H328" t="s">
        <v>41</v>
      </c>
      <c r="I328" t="s">
        <v>50</v>
      </c>
      <c r="J328" s="4" t="s">
        <v>42</v>
      </c>
      <c r="K328" t="s">
        <v>29</v>
      </c>
      <c r="L328" t="s">
        <v>30</v>
      </c>
      <c r="M328" t="s">
        <v>96</v>
      </c>
      <c r="N328" t="s">
        <v>32</v>
      </c>
      <c r="O328">
        <v>5</v>
      </c>
      <c r="P328">
        <v>6</v>
      </c>
      <c r="Q328" t="s">
        <v>29</v>
      </c>
      <c r="R328" t="s">
        <v>34</v>
      </c>
      <c r="S328" s="3">
        <v>108.45</v>
      </c>
      <c r="T328" t="s">
        <v>35</v>
      </c>
      <c r="U328" t="s">
        <v>63</v>
      </c>
    </row>
    <row r="329" spans="1:21" ht="27.6">
      <c r="A329" t="s">
        <v>1142</v>
      </c>
      <c r="B329" t="s">
        <v>1143</v>
      </c>
      <c r="C329" t="s">
        <v>1144</v>
      </c>
      <c r="D329" s="2">
        <v>46143</v>
      </c>
      <c r="E329" t="s">
        <v>40</v>
      </c>
      <c r="F329" t="s">
        <v>82</v>
      </c>
      <c r="G329" s="3">
        <v>111.02</v>
      </c>
      <c r="H329" t="s">
        <v>74</v>
      </c>
      <c r="I329" t="s">
        <v>27</v>
      </c>
      <c r="J329" s="4" t="s">
        <v>1145</v>
      </c>
      <c r="K329" t="s">
        <v>29</v>
      </c>
      <c r="L329" t="s">
        <v>30</v>
      </c>
      <c r="M329" t="s">
        <v>31</v>
      </c>
      <c r="N329" t="s">
        <v>32</v>
      </c>
      <c r="O329">
        <v>7</v>
      </c>
      <c r="P329">
        <v>10</v>
      </c>
      <c r="Q329" t="s">
        <v>29</v>
      </c>
      <c r="R329" t="s">
        <v>85</v>
      </c>
      <c r="S329" s="3">
        <v>83.27</v>
      </c>
      <c r="T329" t="s">
        <v>69</v>
      </c>
      <c r="U329" t="s">
        <v>63</v>
      </c>
    </row>
    <row r="330" spans="1:21" ht="27.6">
      <c r="A330" t="s">
        <v>1146</v>
      </c>
      <c r="B330" t="s">
        <v>1147</v>
      </c>
      <c r="C330" t="s">
        <v>1148</v>
      </c>
      <c r="D330" s="2">
        <v>46074</v>
      </c>
      <c r="E330" t="s">
        <v>40</v>
      </c>
      <c r="F330" t="s">
        <v>25</v>
      </c>
      <c r="G330" s="3">
        <v>115.54</v>
      </c>
      <c r="H330" t="s">
        <v>41</v>
      </c>
      <c r="I330" t="s">
        <v>67</v>
      </c>
      <c r="J330" s="4" t="s">
        <v>42</v>
      </c>
      <c r="K330" t="s">
        <v>33</v>
      </c>
      <c r="L330" t="s">
        <v>30</v>
      </c>
      <c r="M330" t="s">
        <v>31</v>
      </c>
      <c r="N330" t="s">
        <v>32</v>
      </c>
      <c r="O330">
        <v>5</v>
      </c>
      <c r="P330">
        <v>8</v>
      </c>
      <c r="Q330" t="s">
        <v>29</v>
      </c>
      <c r="R330" t="s">
        <v>34</v>
      </c>
      <c r="S330" s="3">
        <v>86.66</v>
      </c>
      <c r="T330" t="s">
        <v>43</v>
      </c>
      <c r="U330" t="s">
        <v>63</v>
      </c>
    </row>
    <row r="331" spans="1:21" ht="27.6">
      <c r="A331" t="s">
        <v>1149</v>
      </c>
      <c r="B331" t="s">
        <v>1150</v>
      </c>
      <c r="C331" t="s">
        <v>1151</v>
      </c>
      <c r="D331" s="2">
        <v>46032</v>
      </c>
      <c r="E331" t="s">
        <v>47</v>
      </c>
      <c r="F331" t="s">
        <v>82</v>
      </c>
      <c r="G331" s="3">
        <v>22.76</v>
      </c>
      <c r="H331" t="s">
        <v>89</v>
      </c>
      <c r="I331" t="s">
        <v>27</v>
      </c>
      <c r="J331" s="4" t="s">
        <v>527</v>
      </c>
      <c r="K331" t="s">
        <v>33</v>
      </c>
      <c r="L331" t="s">
        <v>30</v>
      </c>
      <c r="M331" t="s">
        <v>31</v>
      </c>
      <c r="N331" t="s">
        <v>32</v>
      </c>
      <c r="O331">
        <v>7</v>
      </c>
      <c r="P331">
        <v>9</v>
      </c>
      <c r="Q331" t="s">
        <v>29</v>
      </c>
      <c r="R331" t="s">
        <v>85</v>
      </c>
      <c r="S331" s="3">
        <v>17.07</v>
      </c>
      <c r="T331" t="s">
        <v>43</v>
      </c>
      <c r="U331" t="s">
        <v>63</v>
      </c>
    </row>
    <row r="332" spans="1:21" ht="27.6">
      <c r="A332" t="s">
        <v>1152</v>
      </c>
      <c r="B332" t="s">
        <v>1153</v>
      </c>
      <c r="C332" t="s">
        <v>1154</v>
      </c>
      <c r="D332" s="2">
        <v>46131</v>
      </c>
      <c r="E332" t="s">
        <v>24</v>
      </c>
      <c r="F332" t="s">
        <v>73</v>
      </c>
      <c r="G332" s="3">
        <v>34.81</v>
      </c>
      <c r="H332" t="s">
        <v>26</v>
      </c>
      <c r="I332" t="s">
        <v>50</v>
      </c>
      <c r="J332" s="4" t="s">
        <v>75</v>
      </c>
      <c r="K332" t="s">
        <v>29</v>
      </c>
      <c r="L332" t="s">
        <v>60</v>
      </c>
      <c r="M332" t="s">
        <v>31</v>
      </c>
      <c r="N332" t="s">
        <v>32</v>
      </c>
      <c r="O332">
        <v>10</v>
      </c>
      <c r="P332">
        <v>15</v>
      </c>
      <c r="Q332" t="s">
        <v>29</v>
      </c>
      <c r="R332" t="s">
        <v>61</v>
      </c>
      <c r="S332" s="3">
        <v>26.11</v>
      </c>
      <c r="T332" t="s">
        <v>62</v>
      </c>
      <c r="U332" t="s">
        <v>63</v>
      </c>
    </row>
    <row r="333" spans="1:21" ht="27.6">
      <c r="A333" t="s">
        <v>1155</v>
      </c>
      <c r="B333" t="s">
        <v>1156</v>
      </c>
      <c r="C333" t="s">
        <v>1157</v>
      </c>
      <c r="D333" s="2">
        <v>46074</v>
      </c>
      <c r="E333" t="s">
        <v>94</v>
      </c>
      <c r="F333" t="s">
        <v>25</v>
      </c>
      <c r="G333" s="3">
        <v>19.489999999999998</v>
      </c>
      <c r="H333" t="s">
        <v>58</v>
      </c>
      <c r="I333" t="s">
        <v>67</v>
      </c>
      <c r="J333" s="4" t="s">
        <v>1158</v>
      </c>
      <c r="K333" t="s">
        <v>29</v>
      </c>
      <c r="L333" t="s">
        <v>30</v>
      </c>
      <c r="M333" t="s">
        <v>31</v>
      </c>
      <c r="N333" t="s">
        <v>32</v>
      </c>
      <c r="O333">
        <v>5</v>
      </c>
      <c r="P333">
        <v>4</v>
      </c>
      <c r="Q333" t="s">
        <v>33</v>
      </c>
      <c r="R333" t="s">
        <v>34</v>
      </c>
      <c r="S333" s="3">
        <v>0</v>
      </c>
      <c r="T333" t="s">
        <v>110</v>
      </c>
      <c r="U333" t="s">
        <v>36</v>
      </c>
    </row>
    <row r="334" spans="1:21" ht="27.6">
      <c r="A334" t="s">
        <v>1159</v>
      </c>
      <c r="B334" t="s">
        <v>1160</v>
      </c>
      <c r="C334" t="s">
        <v>1161</v>
      </c>
      <c r="D334" s="2">
        <v>46121</v>
      </c>
      <c r="E334" t="s">
        <v>40</v>
      </c>
      <c r="F334" t="s">
        <v>48</v>
      </c>
      <c r="G334" s="3">
        <v>49.13</v>
      </c>
      <c r="H334" t="s">
        <v>89</v>
      </c>
      <c r="I334" t="s">
        <v>27</v>
      </c>
      <c r="J334" s="4" t="s">
        <v>51</v>
      </c>
      <c r="K334" t="s">
        <v>33</v>
      </c>
      <c r="L334" t="s">
        <v>30</v>
      </c>
      <c r="M334" t="s">
        <v>31</v>
      </c>
      <c r="N334" t="s">
        <v>32</v>
      </c>
      <c r="O334">
        <v>10</v>
      </c>
      <c r="P334">
        <v>4</v>
      </c>
      <c r="Q334" t="s">
        <v>33</v>
      </c>
      <c r="R334" t="s">
        <v>34</v>
      </c>
      <c r="S334" s="3">
        <v>0</v>
      </c>
      <c r="T334" t="s">
        <v>52</v>
      </c>
      <c r="U334" t="s">
        <v>53</v>
      </c>
    </row>
    <row r="335" spans="1:21" ht="27.6">
      <c r="A335" t="s">
        <v>1162</v>
      </c>
      <c r="B335" t="s">
        <v>1163</v>
      </c>
      <c r="C335" t="s">
        <v>1164</v>
      </c>
      <c r="D335" s="2">
        <v>46102</v>
      </c>
      <c r="E335" t="s">
        <v>40</v>
      </c>
      <c r="F335" t="s">
        <v>48</v>
      </c>
      <c r="G335" s="3">
        <v>27.77</v>
      </c>
      <c r="H335" t="s">
        <v>74</v>
      </c>
      <c r="I335" t="s">
        <v>67</v>
      </c>
      <c r="J335" s="4" t="s">
        <v>68</v>
      </c>
      <c r="K335" t="s">
        <v>29</v>
      </c>
      <c r="L335" t="s">
        <v>30</v>
      </c>
      <c r="M335" t="s">
        <v>31</v>
      </c>
      <c r="N335" t="s">
        <v>32</v>
      </c>
      <c r="O335">
        <v>10</v>
      </c>
      <c r="P335">
        <v>4</v>
      </c>
      <c r="Q335" t="s">
        <v>33</v>
      </c>
      <c r="R335" t="s">
        <v>34</v>
      </c>
      <c r="S335" s="3">
        <v>20.83</v>
      </c>
      <c r="T335" t="s">
        <v>52</v>
      </c>
      <c r="U335" t="s">
        <v>53</v>
      </c>
    </row>
    <row r="336" spans="1:21" ht="27.6">
      <c r="A336" t="s">
        <v>1165</v>
      </c>
      <c r="B336" t="s">
        <v>1166</v>
      </c>
      <c r="C336" t="s">
        <v>1167</v>
      </c>
      <c r="D336" s="2">
        <v>46173</v>
      </c>
      <c r="E336" t="s">
        <v>40</v>
      </c>
      <c r="F336" t="s">
        <v>82</v>
      </c>
      <c r="G336" s="3">
        <v>32.700000000000003</v>
      </c>
      <c r="H336" t="s">
        <v>26</v>
      </c>
      <c r="I336" t="s">
        <v>27</v>
      </c>
      <c r="J336" s="4" t="s">
        <v>114</v>
      </c>
      <c r="K336" t="s">
        <v>29</v>
      </c>
      <c r="L336" t="s">
        <v>30</v>
      </c>
      <c r="M336" t="s">
        <v>31</v>
      </c>
      <c r="N336" t="s">
        <v>32</v>
      </c>
      <c r="O336">
        <v>7</v>
      </c>
      <c r="P336">
        <v>2</v>
      </c>
      <c r="Q336" t="s">
        <v>33</v>
      </c>
      <c r="R336" t="s">
        <v>85</v>
      </c>
      <c r="S336" s="3">
        <v>16.350000000000001</v>
      </c>
      <c r="T336" t="s">
        <v>62</v>
      </c>
      <c r="U336" t="s">
        <v>36</v>
      </c>
    </row>
    <row r="337" spans="1:21" ht="27.6">
      <c r="A337" t="s">
        <v>1168</v>
      </c>
      <c r="B337" t="s">
        <v>977</v>
      </c>
      <c r="C337" t="s">
        <v>1169</v>
      </c>
      <c r="D337" s="2">
        <v>46031</v>
      </c>
      <c r="E337" t="s">
        <v>40</v>
      </c>
      <c r="F337" t="s">
        <v>57</v>
      </c>
      <c r="G337" s="3">
        <v>13.09</v>
      </c>
      <c r="H337" t="s">
        <v>74</v>
      </c>
      <c r="I337" t="s">
        <v>27</v>
      </c>
      <c r="J337" s="4" t="s">
        <v>59</v>
      </c>
      <c r="K337" t="s">
        <v>29</v>
      </c>
      <c r="L337" t="s">
        <v>60</v>
      </c>
      <c r="M337" t="s">
        <v>31</v>
      </c>
      <c r="N337" t="s">
        <v>32</v>
      </c>
      <c r="O337">
        <v>10</v>
      </c>
      <c r="P337">
        <v>6</v>
      </c>
      <c r="Q337" t="s">
        <v>33</v>
      </c>
      <c r="R337" t="s">
        <v>61</v>
      </c>
      <c r="S337" s="3">
        <v>0</v>
      </c>
      <c r="T337" t="s">
        <v>62</v>
      </c>
      <c r="U337" t="s">
        <v>63</v>
      </c>
    </row>
    <row r="338" spans="1:21" ht="27.6">
      <c r="A338" t="s">
        <v>1170</v>
      </c>
      <c r="B338" t="s">
        <v>1171</v>
      </c>
      <c r="C338" t="s">
        <v>1172</v>
      </c>
      <c r="D338" s="2">
        <v>46171</v>
      </c>
      <c r="E338" t="s">
        <v>24</v>
      </c>
      <c r="F338" t="s">
        <v>25</v>
      </c>
      <c r="G338" s="3">
        <v>72.11</v>
      </c>
      <c r="H338" t="s">
        <v>108</v>
      </c>
      <c r="I338" t="s">
        <v>67</v>
      </c>
      <c r="J338" s="4" t="s">
        <v>42</v>
      </c>
      <c r="K338" t="s">
        <v>33</v>
      </c>
      <c r="L338" t="s">
        <v>30</v>
      </c>
      <c r="M338" t="s">
        <v>31</v>
      </c>
      <c r="N338" t="s">
        <v>32</v>
      </c>
      <c r="O338">
        <v>5</v>
      </c>
      <c r="P338">
        <v>12</v>
      </c>
      <c r="Q338" t="s">
        <v>29</v>
      </c>
      <c r="R338" t="s">
        <v>34</v>
      </c>
      <c r="S338" s="3">
        <v>0</v>
      </c>
      <c r="T338" t="s">
        <v>35</v>
      </c>
      <c r="U338" t="s">
        <v>63</v>
      </c>
    </row>
    <row r="339" spans="1:21" ht="27.6">
      <c r="A339" t="s">
        <v>1173</v>
      </c>
      <c r="B339" t="s">
        <v>1174</v>
      </c>
      <c r="C339" t="s">
        <v>1175</v>
      </c>
      <c r="D339" s="2">
        <v>46157</v>
      </c>
      <c r="E339" t="s">
        <v>24</v>
      </c>
      <c r="F339" t="s">
        <v>118</v>
      </c>
      <c r="G339" s="3">
        <v>9</v>
      </c>
      <c r="H339" t="s">
        <v>58</v>
      </c>
      <c r="I339" t="s">
        <v>50</v>
      </c>
      <c r="J339" s="4" t="s">
        <v>119</v>
      </c>
      <c r="K339" t="s">
        <v>29</v>
      </c>
      <c r="L339" t="s">
        <v>120</v>
      </c>
      <c r="M339" t="s">
        <v>96</v>
      </c>
      <c r="N339" t="s">
        <v>32</v>
      </c>
      <c r="O339">
        <v>5</v>
      </c>
      <c r="P339">
        <v>4</v>
      </c>
      <c r="Q339" t="s">
        <v>33</v>
      </c>
      <c r="R339" t="s">
        <v>85</v>
      </c>
      <c r="S339" s="3">
        <v>9</v>
      </c>
      <c r="T339" t="s">
        <v>121</v>
      </c>
      <c r="U339" t="s">
        <v>36</v>
      </c>
    </row>
    <row r="340" spans="1:21" ht="27.6">
      <c r="A340" t="s">
        <v>1176</v>
      </c>
      <c r="B340" t="s">
        <v>670</v>
      </c>
      <c r="C340" t="s">
        <v>1177</v>
      </c>
      <c r="D340" s="2">
        <v>46157</v>
      </c>
      <c r="E340" t="s">
        <v>47</v>
      </c>
      <c r="F340" t="s">
        <v>172</v>
      </c>
      <c r="G340" s="3">
        <v>203.3</v>
      </c>
      <c r="H340" t="s">
        <v>108</v>
      </c>
      <c r="I340" t="s">
        <v>50</v>
      </c>
      <c r="J340" s="4" t="s">
        <v>173</v>
      </c>
      <c r="K340" t="s">
        <v>29</v>
      </c>
      <c r="L340" t="s">
        <v>30</v>
      </c>
      <c r="M340" t="s">
        <v>31</v>
      </c>
      <c r="N340" t="s">
        <v>32</v>
      </c>
      <c r="O340">
        <v>7</v>
      </c>
      <c r="P340">
        <v>10</v>
      </c>
      <c r="Q340" t="s">
        <v>29</v>
      </c>
      <c r="R340" t="s">
        <v>174</v>
      </c>
      <c r="S340" s="3">
        <v>101.65</v>
      </c>
      <c r="T340" t="s">
        <v>286</v>
      </c>
      <c r="U340" t="s">
        <v>63</v>
      </c>
    </row>
    <row r="341" spans="1:21" ht="27.6">
      <c r="A341" t="s">
        <v>1178</v>
      </c>
      <c r="B341" t="s">
        <v>1179</v>
      </c>
      <c r="C341" t="s">
        <v>1180</v>
      </c>
      <c r="D341" s="2">
        <v>46142</v>
      </c>
      <c r="E341" t="s">
        <v>47</v>
      </c>
      <c r="F341" t="s">
        <v>25</v>
      </c>
      <c r="G341" s="3">
        <v>140.02000000000001</v>
      </c>
      <c r="H341" t="s">
        <v>41</v>
      </c>
      <c r="I341" t="s">
        <v>27</v>
      </c>
      <c r="J341" s="4" t="s">
        <v>1181</v>
      </c>
      <c r="K341" t="s">
        <v>33</v>
      </c>
      <c r="L341" t="s">
        <v>30</v>
      </c>
      <c r="M341" t="s">
        <v>31</v>
      </c>
      <c r="N341" t="s">
        <v>32</v>
      </c>
      <c r="O341">
        <v>5</v>
      </c>
      <c r="P341">
        <v>3</v>
      </c>
      <c r="Q341" t="s">
        <v>33</v>
      </c>
      <c r="R341" t="s">
        <v>34</v>
      </c>
      <c r="S341" s="3">
        <v>105.02</v>
      </c>
      <c r="T341" t="s">
        <v>110</v>
      </c>
      <c r="U341" t="s">
        <v>36</v>
      </c>
    </row>
    <row r="342" spans="1:21" ht="27.6">
      <c r="A342" t="s">
        <v>1182</v>
      </c>
      <c r="B342" t="s">
        <v>1183</v>
      </c>
      <c r="C342" t="s">
        <v>1184</v>
      </c>
      <c r="D342" s="2">
        <v>46152</v>
      </c>
      <c r="E342" t="s">
        <v>47</v>
      </c>
      <c r="F342" t="s">
        <v>57</v>
      </c>
      <c r="G342" s="3">
        <v>17.38</v>
      </c>
      <c r="H342" t="s">
        <v>108</v>
      </c>
      <c r="I342" t="s">
        <v>50</v>
      </c>
      <c r="J342" s="4" t="s">
        <v>155</v>
      </c>
      <c r="K342" t="s">
        <v>33</v>
      </c>
      <c r="L342" t="s">
        <v>60</v>
      </c>
      <c r="M342" t="s">
        <v>31</v>
      </c>
      <c r="N342" t="s">
        <v>126</v>
      </c>
      <c r="O342">
        <v>10</v>
      </c>
      <c r="P342">
        <v>11</v>
      </c>
      <c r="Q342" t="s">
        <v>29</v>
      </c>
      <c r="R342" t="s">
        <v>61</v>
      </c>
      <c r="S342" s="3">
        <v>0</v>
      </c>
      <c r="T342" t="s">
        <v>156</v>
      </c>
      <c r="U342" t="s">
        <v>63</v>
      </c>
    </row>
    <row r="343" spans="1:21" ht="27.6">
      <c r="A343" t="s">
        <v>1185</v>
      </c>
      <c r="B343" t="s">
        <v>1186</v>
      </c>
      <c r="C343" t="s">
        <v>1187</v>
      </c>
      <c r="D343" s="2">
        <v>46032</v>
      </c>
      <c r="E343" t="s">
        <v>40</v>
      </c>
      <c r="F343" t="s">
        <v>82</v>
      </c>
      <c r="G343" s="3">
        <v>225.51</v>
      </c>
      <c r="H343" t="s">
        <v>89</v>
      </c>
      <c r="I343" t="s">
        <v>67</v>
      </c>
      <c r="J343" s="4" t="s">
        <v>1188</v>
      </c>
      <c r="K343" t="s">
        <v>29</v>
      </c>
      <c r="L343" t="s">
        <v>30</v>
      </c>
      <c r="M343" t="s">
        <v>31</v>
      </c>
      <c r="N343" t="s">
        <v>84</v>
      </c>
      <c r="O343">
        <v>7</v>
      </c>
      <c r="P343">
        <v>4</v>
      </c>
      <c r="Q343" t="s">
        <v>33</v>
      </c>
      <c r="R343" t="s">
        <v>85</v>
      </c>
      <c r="S343" s="3">
        <v>0</v>
      </c>
      <c r="T343" t="s">
        <v>69</v>
      </c>
      <c r="U343" t="s">
        <v>36</v>
      </c>
    </row>
    <row r="344" spans="1:21" ht="27.6">
      <c r="A344" t="s">
        <v>1189</v>
      </c>
      <c r="B344" t="s">
        <v>1190</v>
      </c>
      <c r="C344" t="s">
        <v>1191</v>
      </c>
      <c r="D344" s="2">
        <v>46076</v>
      </c>
      <c r="E344" t="s">
        <v>47</v>
      </c>
      <c r="F344" t="s">
        <v>82</v>
      </c>
      <c r="G344" s="3">
        <v>85.79</v>
      </c>
      <c r="H344" t="s">
        <v>108</v>
      </c>
      <c r="I344" t="s">
        <v>50</v>
      </c>
      <c r="J344" s="4" t="s">
        <v>1192</v>
      </c>
      <c r="K344" t="s">
        <v>33</v>
      </c>
      <c r="L344" t="s">
        <v>30</v>
      </c>
      <c r="M344" t="s">
        <v>31</v>
      </c>
      <c r="N344" t="s">
        <v>32</v>
      </c>
      <c r="O344">
        <v>7</v>
      </c>
      <c r="P344">
        <v>7</v>
      </c>
      <c r="Q344" t="s">
        <v>33</v>
      </c>
      <c r="R344" t="s">
        <v>85</v>
      </c>
      <c r="S344" s="3">
        <v>0</v>
      </c>
      <c r="T344" t="s">
        <v>62</v>
      </c>
      <c r="U344" t="s">
        <v>36</v>
      </c>
    </row>
    <row r="345" spans="1:21" ht="27.6">
      <c r="A345" t="s">
        <v>1193</v>
      </c>
      <c r="B345" t="s">
        <v>1194</v>
      </c>
      <c r="C345" t="s">
        <v>1195</v>
      </c>
      <c r="D345" s="2">
        <v>46128</v>
      </c>
      <c r="E345" t="s">
        <v>24</v>
      </c>
      <c r="F345" t="s">
        <v>73</v>
      </c>
      <c r="G345" s="3">
        <v>13.49</v>
      </c>
      <c r="H345" t="s">
        <v>41</v>
      </c>
      <c r="I345" t="s">
        <v>27</v>
      </c>
      <c r="J345" s="4" t="s">
        <v>75</v>
      </c>
      <c r="K345" t="s">
        <v>29</v>
      </c>
      <c r="L345" t="s">
        <v>60</v>
      </c>
      <c r="M345" t="s">
        <v>31</v>
      </c>
      <c r="N345" t="s">
        <v>32</v>
      </c>
      <c r="O345">
        <v>10</v>
      </c>
      <c r="P345">
        <v>9</v>
      </c>
      <c r="Q345" t="s">
        <v>33</v>
      </c>
      <c r="R345" t="s">
        <v>61</v>
      </c>
      <c r="S345" s="3">
        <v>6.75</v>
      </c>
      <c r="T345" t="s">
        <v>156</v>
      </c>
      <c r="U345" t="s">
        <v>63</v>
      </c>
    </row>
    <row r="346" spans="1:21" ht="27.6">
      <c r="A346" t="s">
        <v>1196</v>
      </c>
      <c r="B346" t="s">
        <v>1197</v>
      </c>
      <c r="C346" t="s">
        <v>1198</v>
      </c>
      <c r="D346" s="2">
        <v>46029</v>
      </c>
      <c r="E346" t="s">
        <v>40</v>
      </c>
      <c r="F346" t="s">
        <v>73</v>
      </c>
      <c r="G346" s="3">
        <v>18.829999999999998</v>
      </c>
      <c r="H346" t="s">
        <v>108</v>
      </c>
      <c r="I346" t="s">
        <v>50</v>
      </c>
      <c r="J346" s="4" t="s">
        <v>75</v>
      </c>
      <c r="K346" t="s">
        <v>33</v>
      </c>
      <c r="L346" t="s">
        <v>60</v>
      </c>
      <c r="M346" t="s">
        <v>31</v>
      </c>
      <c r="N346" t="s">
        <v>126</v>
      </c>
      <c r="O346">
        <v>10</v>
      </c>
      <c r="P346">
        <v>14</v>
      </c>
      <c r="Q346" t="s">
        <v>29</v>
      </c>
      <c r="R346" t="s">
        <v>61</v>
      </c>
      <c r="S346" s="3">
        <v>0</v>
      </c>
      <c r="T346" t="s">
        <v>52</v>
      </c>
      <c r="U346" t="s">
        <v>63</v>
      </c>
    </row>
    <row r="347" spans="1:21" ht="27.6">
      <c r="A347" t="s">
        <v>1199</v>
      </c>
      <c r="B347" t="s">
        <v>699</v>
      </c>
      <c r="C347" t="s">
        <v>1200</v>
      </c>
      <c r="D347" s="2">
        <v>46032</v>
      </c>
      <c r="E347" t="s">
        <v>47</v>
      </c>
      <c r="F347" t="s">
        <v>103</v>
      </c>
      <c r="G347" s="3">
        <v>41.79</v>
      </c>
      <c r="H347" t="s">
        <v>26</v>
      </c>
      <c r="I347" t="s">
        <v>50</v>
      </c>
      <c r="J347" s="4" t="s">
        <v>134</v>
      </c>
      <c r="K347" t="s">
        <v>29</v>
      </c>
      <c r="L347" t="s">
        <v>30</v>
      </c>
      <c r="M347" t="s">
        <v>31</v>
      </c>
      <c r="N347" t="s">
        <v>32</v>
      </c>
      <c r="O347">
        <v>5</v>
      </c>
      <c r="P347">
        <v>10</v>
      </c>
      <c r="Q347" t="s">
        <v>29</v>
      </c>
      <c r="R347" t="s">
        <v>34</v>
      </c>
      <c r="S347" s="3">
        <v>0</v>
      </c>
      <c r="T347" t="s">
        <v>35</v>
      </c>
      <c r="U347" t="s">
        <v>63</v>
      </c>
    </row>
    <row r="348" spans="1:21" ht="27.6">
      <c r="A348" t="s">
        <v>1201</v>
      </c>
      <c r="B348" t="s">
        <v>1202</v>
      </c>
      <c r="C348" t="s">
        <v>1203</v>
      </c>
      <c r="D348" s="2">
        <v>46102</v>
      </c>
      <c r="E348" t="s">
        <v>24</v>
      </c>
      <c r="F348" t="s">
        <v>57</v>
      </c>
      <c r="G348" s="3">
        <v>52.26</v>
      </c>
      <c r="H348" t="s">
        <v>74</v>
      </c>
      <c r="I348" t="s">
        <v>27</v>
      </c>
      <c r="J348" s="4" t="s">
        <v>59</v>
      </c>
      <c r="K348" t="s">
        <v>29</v>
      </c>
      <c r="L348" t="s">
        <v>60</v>
      </c>
      <c r="M348" t="s">
        <v>31</v>
      </c>
      <c r="N348" t="s">
        <v>32</v>
      </c>
      <c r="O348">
        <v>10</v>
      </c>
      <c r="P348">
        <v>11</v>
      </c>
      <c r="Q348" t="s">
        <v>29</v>
      </c>
      <c r="R348" t="s">
        <v>61</v>
      </c>
      <c r="S348" s="3">
        <v>26.13</v>
      </c>
      <c r="T348" t="s">
        <v>52</v>
      </c>
      <c r="U348" t="s">
        <v>63</v>
      </c>
    </row>
    <row r="349" spans="1:21" ht="27.6">
      <c r="A349" t="s">
        <v>1204</v>
      </c>
      <c r="B349" t="s">
        <v>1205</v>
      </c>
      <c r="C349" t="s">
        <v>1206</v>
      </c>
      <c r="D349" s="2">
        <v>46075</v>
      </c>
      <c r="E349" t="s">
        <v>47</v>
      </c>
      <c r="F349" t="s">
        <v>172</v>
      </c>
      <c r="G349" s="3">
        <v>114.53</v>
      </c>
      <c r="H349" t="s">
        <v>74</v>
      </c>
      <c r="I349" t="s">
        <v>27</v>
      </c>
      <c r="J349" s="4" t="s">
        <v>173</v>
      </c>
      <c r="K349" t="s">
        <v>29</v>
      </c>
      <c r="L349" t="s">
        <v>30</v>
      </c>
      <c r="M349" t="s">
        <v>31</v>
      </c>
      <c r="N349" t="s">
        <v>32</v>
      </c>
      <c r="O349">
        <v>7</v>
      </c>
      <c r="P349">
        <v>3</v>
      </c>
      <c r="Q349" t="s">
        <v>33</v>
      </c>
      <c r="R349" t="s">
        <v>174</v>
      </c>
      <c r="S349" s="3">
        <v>57.27</v>
      </c>
      <c r="T349" t="s">
        <v>286</v>
      </c>
      <c r="U349" t="s">
        <v>36</v>
      </c>
    </row>
    <row r="350" spans="1:21" ht="27.6">
      <c r="A350" t="s">
        <v>1207</v>
      </c>
      <c r="B350" t="s">
        <v>1208</v>
      </c>
      <c r="C350" t="s">
        <v>1209</v>
      </c>
      <c r="D350" s="2">
        <v>46036</v>
      </c>
      <c r="E350" t="s">
        <v>24</v>
      </c>
      <c r="F350" t="s">
        <v>82</v>
      </c>
      <c r="G350" s="3">
        <v>74.39</v>
      </c>
      <c r="H350" t="s">
        <v>108</v>
      </c>
      <c r="I350" t="s">
        <v>50</v>
      </c>
      <c r="J350" s="4" t="s">
        <v>114</v>
      </c>
      <c r="K350" t="s">
        <v>29</v>
      </c>
      <c r="L350" t="s">
        <v>30</v>
      </c>
      <c r="M350" t="s">
        <v>31</v>
      </c>
      <c r="N350" t="s">
        <v>32</v>
      </c>
      <c r="O350">
        <v>7</v>
      </c>
      <c r="P350">
        <v>4</v>
      </c>
      <c r="Q350" t="s">
        <v>33</v>
      </c>
      <c r="R350" t="s">
        <v>85</v>
      </c>
      <c r="S350" s="3">
        <v>0</v>
      </c>
      <c r="T350" t="s">
        <v>43</v>
      </c>
      <c r="U350" t="s">
        <v>36</v>
      </c>
    </row>
    <row r="351" spans="1:21" ht="27.6">
      <c r="A351" t="s">
        <v>1210</v>
      </c>
      <c r="B351" t="s">
        <v>1211</v>
      </c>
      <c r="C351" t="s">
        <v>1212</v>
      </c>
      <c r="D351" s="2">
        <v>46142</v>
      </c>
      <c r="E351" t="s">
        <v>24</v>
      </c>
      <c r="F351" t="s">
        <v>118</v>
      </c>
      <c r="G351" s="3">
        <v>99.67</v>
      </c>
      <c r="H351" t="s">
        <v>108</v>
      </c>
      <c r="I351" t="s">
        <v>27</v>
      </c>
      <c r="J351" s="4" t="s">
        <v>119</v>
      </c>
      <c r="K351" t="s">
        <v>33</v>
      </c>
      <c r="L351" t="s">
        <v>120</v>
      </c>
      <c r="M351" t="s">
        <v>96</v>
      </c>
      <c r="N351" t="s">
        <v>126</v>
      </c>
      <c r="O351">
        <v>5</v>
      </c>
      <c r="P351">
        <v>1</v>
      </c>
      <c r="Q351" t="s">
        <v>33</v>
      </c>
      <c r="R351" t="s">
        <v>85</v>
      </c>
      <c r="S351" s="3">
        <v>0</v>
      </c>
      <c r="T351" t="s">
        <v>121</v>
      </c>
      <c r="U351" t="s">
        <v>36</v>
      </c>
    </row>
    <row r="352" spans="1:21" ht="27.6">
      <c r="A352" t="s">
        <v>1213</v>
      </c>
      <c r="B352" t="s">
        <v>1214</v>
      </c>
      <c r="C352" t="s">
        <v>1215</v>
      </c>
      <c r="D352" s="2">
        <v>46107</v>
      </c>
      <c r="E352" t="s">
        <v>40</v>
      </c>
      <c r="F352" t="s">
        <v>73</v>
      </c>
      <c r="G352" s="3">
        <v>37.700000000000003</v>
      </c>
      <c r="H352" t="s">
        <v>108</v>
      </c>
      <c r="I352" t="s">
        <v>27</v>
      </c>
      <c r="J352" s="4" t="s">
        <v>75</v>
      </c>
      <c r="K352" t="s">
        <v>29</v>
      </c>
      <c r="L352" t="s">
        <v>60</v>
      </c>
      <c r="M352" t="s">
        <v>31</v>
      </c>
      <c r="N352" t="s">
        <v>32</v>
      </c>
      <c r="O352">
        <v>10</v>
      </c>
      <c r="P352">
        <v>10</v>
      </c>
      <c r="Q352" t="s">
        <v>33</v>
      </c>
      <c r="R352" t="s">
        <v>61</v>
      </c>
      <c r="S352" s="3">
        <v>28.28</v>
      </c>
      <c r="T352" t="s">
        <v>156</v>
      </c>
      <c r="U352" t="s">
        <v>63</v>
      </c>
    </row>
    <row r="353" spans="1:21" ht="27.6">
      <c r="A353" t="s">
        <v>1216</v>
      </c>
      <c r="B353" t="s">
        <v>1217</v>
      </c>
      <c r="C353" t="s">
        <v>1218</v>
      </c>
      <c r="D353" s="2">
        <v>46041</v>
      </c>
      <c r="E353" t="s">
        <v>40</v>
      </c>
      <c r="F353" t="s">
        <v>172</v>
      </c>
      <c r="G353" s="3">
        <v>31.61</v>
      </c>
      <c r="H353" t="s">
        <v>89</v>
      </c>
      <c r="I353" t="s">
        <v>27</v>
      </c>
      <c r="J353" s="4" t="s">
        <v>285</v>
      </c>
      <c r="K353" t="s">
        <v>29</v>
      </c>
      <c r="L353" t="s">
        <v>30</v>
      </c>
      <c r="M353" t="s">
        <v>31</v>
      </c>
      <c r="N353" t="s">
        <v>32</v>
      </c>
      <c r="O353">
        <v>7</v>
      </c>
      <c r="P353">
        <v>10</v>
      </c>
      <c r="Q353" t="s">
        <v>29</v>
      </c>
      <c r="R353" t="s">
        <v>174</v>
      </c>
      <c r="S353" s="3">
        <v>31.61</v>
      </c>
      <c r="T353" t="s">
        <v>286</v>
      </c>
      <c r="U353" t="s">
        <v>63</v>
      </c>
    </row>
    <row r="354" spans="1:21" ht="27.6">
      <c r="A354" t="s">
        <v>1219</v>
      </c>
      <c r="B354" t="s">
        <v>1220</v>
      </c>
      <c r="C354" t="s">
        <v>1221</v>
      </c>
      <c r="D354" s="2">
        <v>46110</v>
      </c>
      <c r="E354" t="s">
        <v>47</v>
      </c>
      <c r="F354" t="s">
        <v>118</v>
      </c>
      <c r="G354" s="3">
        <v>52.31</v>
      </c>
      <c r="H354" t="s">
        <v>58</v>
      </c>
      <c r="I354" t="s">
        <v>50</v>
      </c>
      <c r="J354" s="4" t="s">
        <v>1222</v>
      </c>
      <c r="K354" t="s">
        <v>29</v>
      </c>
      <c r="L354" t="s">
        <v>120</v>
      </c>
      <c r="M354" t="s">
        <v>96</v>
      </c>
      <c r="N354" t="s">
        <v>32</v>
      </c>
      <c r="O354">
        <v>5</v>
      </c>
      <c r="P354">
        <v>1</v>
      </c>
      <c r="Q354" t="s">
        <v>33</v>
      </c>
      <c r="R354" t="s">
        <v>85</v>
      </c>
      <c r="S354" s="3">
        <v>52.31</v>
      </c>
      <c r="T354" t="s">
        <v>121</v>
      </c>
      <c r="U354" t="s">
        <v>36</v>
      </c>
    </row>
    <row r="355" spans="1:21" ht="27.6">
      <c r="A355" t="s">
        <v>1223</v>
      </c>
      <c r="B355" t="s">
        <v>1224</v>
      </c>
      <c r="C355" t="s">
        <v>1225</v>
      </c>
      <c r="D355" s="2">
        <v>46040</v>
      </c>
      <c r="E355" t="s">
        <v>47</v>
      </c>
      <c r="F355" t="s">
        <v>103</v>
      </c>
      <c r="G355" s="3">
        <v>88.27</v>
      </c>
      <c r="H355" t="s">
        <v>41</v>
      </c>
      <c r="I355" t="s">
        <v>50</v>
      </c>
      <c r="J355" s="4" t="s">
        <v>134</v>
      </c>
      <c r="K355" t="s">
        <v>29</v>
      </c>
      <c r="L355" t="s">
        <v>30</v>
      </c>
      <c r="M355" t="s">
        <v>31</v>
      </c>
      <c r="N355" t="s">
        <v>32</v>
      </c>
      <c r="O355">
        <v>5</v>
      </c>
      <c r="P355">
        <v>4</v>
      </c>
      <c r="Q355" t="s">
        <v>33</v>
      </c>
      <c r="R355" t="s">
        <v>34</v>
      </c>
      <c r="S355" s="3">
        <v>88.27</v>
      </c>
      <c r="T355" t="s">
        <v>35</v>
      </c>
      <c r="U355" t="s">
        <v>53</v>
      </c>
    </row>
    <row r="356" spans="1:21" ht="27.6">
      <c r="A356" t="s">
        <v>1226</v>
      </c>
      <c r="B356" t="s">
        <v>1227</v>
      </c>
      <c r="C356" t="s">
        <v>1228</v>
      </c>
      <c r="D356" s="2">
        <v>46159</v>
      </c>
      <c r="E356" t="s">
        <v>24</v>
      </c>
      <c r="F356" t="s">
        <v>172</v>
      </c>
      <c r="G356" s="3">
        <v>36.71</v>
      </c>
      <c r="H356" t="s">
        <v>41</v>
      </c>
      <c r="I356" t="s">
        <v>27</v>
      </c>
      <c r="J356" s="4" t="s">
        <v>285</v>
      </c>
      <c r="K356" t="s">
        <v>33</v>
      </c>
      <c r="L356" t="s">
        <v>30</v>
      </c>
      <c r="M356" t="s">
        <v>31</v>
      </c>
      <c r="N356" t="s">
        <v>32</v>
      </c>
      <c r="O356">
        <v>7</v>
      </c>
      <c r="P356">
        <v>8</v>
      </c>
      <c r="Q356" t="s">
        <v>29</v>
      </c>
      <c r="R356" t="s">
        <v>174</v>
      </c>
      <c r="S356" s="3">
        <v>0</v>
      </c>
      <c r="T356" t="s">
        <v>110</v>
      </c>
      <c r="U356" t="s">
        <v>63</v>
      </c>
    </row>
    <row r="357" spans="1:21" ht="27.6">
      <c r="A357" t="s">
        <v>1229</v>
      </c>
      <c r="B357" t="s">
        <v>1230</v>
      </c>
      <c r="C357" t="s">
        <v>1231</v>
      </c>
      <c r="D357" s="2">
        <v>46025</v>
      </c>
      <c r="E357" t="s">
        <v>47</v>
      </c>
      <c r="F357" t="s">
        <v>172</v>
      </c>
      <c r="G357" s="3">
        <v>18.3</v>
      </c>
      <c r="H357" t="s">
        <v>26</v>
      </c>
      <c r="I357" t="s">
        <v>27</v>
      </c>
      <c r="J357" s="4" t="s">
        <v>285</v>
      </c>
      <c r="K357" t="s">
        <v>29</v>
      </c>
      <c r="L357" t="s">
        <v>30</v>
      </c>
      <c r="M357" t="s">
        <v>31</v>
      </c>
      <c r="N357" t="s">
        <v>32</v>
      </c>
      <c r="O357">
        <v>7</v>
      </c>
      <c r="P357">
        <v>14</v>
      </c>
      <c r="Q357" t="s">
        <v>29</v>
      </c>
      <c r="R357" t="s">
        <v>174</v>
      </c>
      <c r="S357" s="3">
        <v>0</v>
      </c>
      <c r="T357" t="s">
        <v>286</v>
      </c>
      <c r="U357" t="s">
        <v>63</v>
      </c>
    </row>
    <row r="358" spans="1:21" ht="27.6">
      <c r="A358" t="s">
        <v>1232</v>
      </c>
      <c r="B358" t="s">
        <v>1233</v>
      </c>
      <c r="C358" t="s">
        <v>1234</v>
      </c>
      <c r="D358" s="2">
        <v>46162</v>
      </c>
      <c r="E358" t="s">
        <v>24</v>
      </c>
      <c r="F358" t="s">
        <v>25</v>
      </c>
      <c r="G358" s="3">
        <v>12.38</v>
      </c>
      <c r="H358" t="s">
        <v>49</v>
      </c>
      <c r="I358" t="s">
        <v>67</v>
      </c>
      <c r="J358" s="4" t="s">
        <v>1235</v>
      </c>
      <c r="K358" t="s">
        <v>33</v>
      </c>
      <c r="L358" t="s">
        <v>30</v>
      </c>
      <c r="M358" t="s">
        <v>31</v>
      </c>
      <c r="N358" t="s">
        <v>32</v>
      </c>
      <c r="O358">
        <v>5</v>
      </c>
      <c r="P358">
        <v>7</v>
      </c>
      <c r="Q358" t="s">
        <v>29</v>
      </c>
      <c r="R358" t="s">
        <v>34</v>
      </c>
      <c r="S358" s="3">
        <v>12.38</v>
      </c>
      <c r="T358" t="s">
        <v>110</v>
      </c>
      <c r="U358" t="s">
        <v>63</v>
      </c>
    </row>
    <row r="359" spans="1:21" ht="27.6">
      <c r="A359" t="s">
        <v>1236</v>
      </c>
      <c r="B359" t="s">
        <v>1237</v>
      </c>
      <c r="C359" t="s">
        <v>1238</v>
      </c>
      <c r="D359" s="2">
        <v>46147</v>
      </c>
      <c r="E359" t="s">
        <v>40</v>
      </c>
      <c r="F359" t="s">
        <v>48</v>
      </c>
      <c r="G359" s="3">
        <v>21.85</v>
      </c>
      <c r="H359" t="s">
        <v>49</v>
      </c>
      <c r="I359" t="s">
        <v>27</v>
      </c>
      <c r="J359" s="4" t="s">
        <v>68</v>
      </c>
      <c r="K359" t="s">
        <v>29</v>
      </c>
      <c r="L359" t="s">
        <v>30</v>
      </c>
      <c r="M359" t="s">
        <v>31</v>
      </c>
      <c r="N359" t="s">
        <v>32</v>
      </c>
      <c r="O359">
        <v>10</v>
      </c>
      <c r="P359">
        <v>11</v>
      </c>
      <c r="Q359" t="s">
        <v>29</v>
      </c>
      <c r="R359" t="s">
        <v>34</v>
      </c>
      <c r="S359" s="3">
        <v>10.93</v>
      </c>
      <c r="T359" t="s">
        <v>62</v>
      </c>
      <c r="U359" t="s">
        <v>63</v>
      </c>
    </row>
    <row r="360" spans="1:21" ht="27.6">
      <c r="A360" t="s">
        <v>1239</v>
      </c>
      <c r="B360" t="s">
        <v>158</v>
      </c>
      <c r="C360" t="s">
        <v>1240</v>
      </c>
      <c r="D360" s="2">
        <v>46164</v>
      </c>
      <c r="E360" t="s">
        <v>40</v>
      </c>
      <c r="F360" t="s">
        <v>82</v>
      </c>
      <c r="G360" s="3">
        <v>20.18</v>
      </c>
      <c r="H360" t="s">
        <v>26</v>
      </c>
      <c r="I360" t="s">
        <v>50</v>
      </c>
      <c r="J360" s="4" t="s">
        <v>1241</v>
      </c>
      <c r="K360" t="s">
        <v>33</v>
      </c>
      <c r="L360" t="s">
        <v>30</v>
      </c>
      <c r="M360" t="s">
        <v>31</v>
      </c>
      <c r="N360" t="s">
        <v>126</v>
      </c>
      <c r="O360">
        <v>7</v>
      </c>
      <c r="P360">
        <v>8</v>
      </c>
      <c r="Q360" t="s">
        <v>29</v>
      </c>
      <c r="R360" t="s">
        <v>85</v>
      </c>
      <c r="S360" s="3">
        <v>0</v>
      </c>
      <c r="T360" t="s">
        <v>43</v>
      </c>
      <c r="U360" t="s">
        <v>63</v>
      </c>
    </row>
    <row r="361" spans="1:21" ht="27.6">
      <c r="A361" t="s">
        <v>1242</v>
      </c>
      <c r="B361" t="s">
        <v>1243</v>
      </c>
      <c r="C361" t="s">
        <v>1244</v>
      </c>
      <c r="D361" s="2">
        <v>46168</v>
      </c>
      <c r="E361" t="s">
        <v>47</v>
      </c>
      <c r="F361" t="s">
        <v>82</v>
      </c>
      <c r="G361" s="3">
        <v>861.86</v>
      </c>
      <c r="H361" t="s">
        <v>26</v>
      </c>
      <c r="I361" t="s">
        <v>27</v>
      </c>
      <c r="J361" s="4" t="s">
        <v>114</v>
      </c>
      <c r="K361" t="s">
        <v>33</v>
      </c>
      <c r="L361" t="s">
        <v>60</v>
      </c>
      <c r="M361" t="s">
        <v>31</v>
      </c>
      <c r="N361" t="s">
        <v>32</v>
      </c>
      <c r="O361">
        <v>7</v>
      </c>
      <c r="P361">
        <v>9</v>
      </c>
      <c r="Q361" t="s">
        <v>29</v>
      </c>
      <c r="R361" t="s">
        <v>85</v>
      </c>
      <c r="S361" s="3">
        <v>861.86</v>
      </c>
      <c r="T361" t="s">
        <v>69</v>
      </c>
      <c r="U361" t="s">
        <v>63</v>
      </c>
    </row>
    <row r="362" spans="1:21" ht="27.6">
      <c r="A362" t="s">
        <v>1245</v>
      </c>
      <c r="B362" t="s">
        <v>1246</v>
      </c>
      <c r="C362" t="s">
        <v>1247</v>
      </c>
      <c r="D362" s="2">
        <v>46042</v>
      </c>
      <c r="E362" t="s">
        <v>40</v>
      </c>
      <c r="F362" t="s">
        <v>172</v>
      </c>
      <c r="G362" s="3">
        <v>54.6</v>
      </c>
      <c r="H362" t="s">
        <v>41</v>
      </c>
      <c r="I362" t="s">
        <v>50</v>
      </c>
      <c r="J362" s="4" t="s">
        <v>173</v>
      </c>
      <c r="K362" t="s">
        <v>29</v>
      </c>
      <c r="L362" t="s">
        <v>30</v>
      </c>
      <c r="M362" t="s">
        <v>31</v>
      </c>
      <c r="N362" t="s">
        <v>32</v>
      </c>
      <c r="O362">
        <v>7</v>
      </c>
      <c r="P362">
        <v>4</v>
      </c>
      <c r="Q362" t="s">
        <v>33</v>
      </c>
      <c r="R362" t="s">
        <v>174</v>
      </c>
      <c r="S362" s="3">
        <v>40.950000000000003</v>
      </c>
      <c r="T362" t="s">
        <v>286</v>
      </c>
      <c r="U362" t="s">
        <v>36</v>
      </c>
    </row>
    <row r="363" spans="1:21" ht="27.6">
      <c r="A363" t="s">
        <v>1248</v>
      </c>
      <c r="B363" t="s">
        <v>1249</v>
      </c>
      <c r="C363" t="s">
        <v>1250</v>
      </c>
      <c r="D363" s="2">
        <v>46100</v>
      </c>
      <c r="E363" t="s">
        <v>40</v>
      </c>
      <c r="F363" t="s">
        <v>172</v>
      </c>
      <c r="G363" s="3">
        <v>12.01</v>
      </c>
      <c r="H363" t="s">
        <v>74</v>
      </c>
      <c r="I363" t="s">
        <v>50</v>
      </c>
      <c r="J363" s="4" t="s">
        <v>285</v>
      </c>
      <c r="K363" t="s">
        <v>33</v>
      </c>
      <c r="L363" t="s">
        <v>30</v>
      </c>
      <c r="M363" t="s">
        <v>31</v>
      </c>
      <c r="N363" t="s">
        <v>126</v>
      </c>
      <c r="O363">
        <v>7</v>
      </c>
      <c r="P363">
        <v>7</v>
      </c>
      <c r="Q363" t="s">
        <v>33</v>
      </c>
      <c r="R363" t="s">
        <v>174</v>
      </c>
      <c r="S363" s="3">
        <v>0</v>
      </c>
      <c r="T363" t="s">
        <v>286</v>
      </c>
      <c r="U363" t="s">
        <v>53</v>
      </c>
    </row>
    <row r="364" spans="1:21" ht="27.6">
      <c r="A364" t="s">
        <v>1251</v>
      </c>
      <c r="B364" t="s">
        <v>1252</v>
      </c>
      <c r="C364" t="s">
        <v>1253</v>
      </c>
      <c r="D364" s="2">
        <v>46055</v>
      </c>
      <c r="E364" t="s">
        <v>47</v>
      </c>
      <c r="F364" t="s">
        <v>73</v>
      </c>
      <c r="G364" s="3">
        <v>27.84</v>
      </c>
      <c r="H364" t="s">
        <v>41</v>
      </c>
      <c r="I364" t="s">
        <v>27</v>
      </c>
      <c r="J364" s="4" t="s">
        <v>389</v>
      </c>
      <c r="K364" t="s">
        <v>29</v>
      </c>
      <c r="L364" t="s">
        <v>60</v>
      </c>
      <c r="M364" t="s">
        <v>31</v>
      </c>
      <c r="N364" t="s">
        <v>32</v>
      </c>
      <c r="O364">
        <v>10</v>
      </c>
      <c r="P364">
        <v>12</v>
      </c>
      <c r="Q364" t="s">
        <v>29</v>
      </c>
      <c r="R364" t="s">
        <v>61</v>
      </c>
      <c r="S364" s="3">
        <v>20.88</v>
      </c>
      <c r="T364" t="s">
        <v>62</v>
      </c>
      <c r="U364" t="s">
        <v>63</v>
      </c>
    </row>
    <row r="365" spans="1:21" ht="27.6">
      <c r="A365" t="s">
        <v>1254</v>
      </c>
      <c r="B365" t="s">
        <v>1255</v>
      </c>
      <c r="C365" t="s">
        <v>1256</v>
      </c>
      <c r="D365" s="2">
        <v>46083</v>
      </c>
      <c r="E365" t="s">
        <v>47</v>
      </c>
      <c r="F365" t="s">
        <v>57</v>
      </c>
      <c r="G365" s="3">
        <v>90.31</v>
      </c>
      <c r="H365" t="s">
        <v>26</v>
      </c>
      <c r="I365" t="s">
        <v>67</v>
      </c>
      <c r="J365" s="4" t="s">
        <v>155</v>
      </c>
      <c r="K365" t="s">
        <v>29</v>
      </c>
      <c r="L365" t="s">
        <v>60</v>
      </c>
      <c r="M365" t="s">
        <v>31</v>
      </c>
      <c r="N365" t="s">
        <v>90</v>
      </c>
      <c r="O365">
        <v>10</v>
      </c>
      <c r="P365">
        <v>12</v>
      </c>
      <c r="Q365" t="s">
        <v>29</v>
      </c>
      <c r="R365" t="s">
        <v>61</v>
      </c>
      <c r="S365" s="3">
        <v>0</v>
      </c>
      <c r="T365" t="s">
        <v>156</v>
      </c>
      <c r="U365" t="s">
        <v>63</v>
      </c>
    </row>
    <row r="366" spans="1:21" ht="27.6">
      <c r="A366" t="s">
        <v>1257</v>
      </c>
      <c r="B366" t="s">
        <v>1258</v>
      </c>
      <c r="C366" t="s">
        <v>1259</v>
      </c>
      <c r="D366" s="2">
        <v>46135</v>
      </c>
      <c r="E366" t="s">
        <v>40</v>
      </c>
      <c r="F366" t="s">
        <v>25</v>
      </c>
      <c r="G366" s="3">
        <v>82.84</v>
      </c>
      <c r="H366" t="s">
        <v>26</v>
      </c>
      <c r="I366" t="s">
        <v>50</v>
      </c>
      <c r="J366" s="4" t="s">
        <v>1260</v>
      </c>
      <c r="K366" t="s">
        <v>33</v>
      </c>
      <c r="L366" t="s">
        <v>30</v>
      </c>
      <c r="M366" t="s">
        <v>31</v>
      </c>
      <c r="N366" t="s">
        <v>32</v>
      </c>
      <c r="O366">
        <v>5</v>
      </c>
      <c r="P366">
        <v>12</v>
      </c>
      <c r="Q366" t="s">
        <v>29</v>
      </c>
      <c r="R366" t="s">
        <v>34</v>
      </c>
      <c r="S366" s="3">
        <v>82.84</v>
      </c>
      <c r="T366" t="s">
        <v>110</v>
      </c>
      <c r="U366" t="s">
        <v>63</v>
      </c>
    </row>
    <row r="367" spans="1:21" ht="27.6">
      <c r="A367" t="s">
        <v>1261</v>
      </c>
      <c r="B367" t="s">
        <v>1262</v>
      </c>
      <c r="C367" t="s">
        <v>1263</v>
      </c>
      <c r="D367" s="2">
        <v>46122</v>
      </c>
      <c r="E367" t="s">
        <v>47</v>
      </c>
      <c r="F367" t="s">
        <v>25</v>
      </c>
      <c r="G367" s="3">
        <v>125.24</v>
      </c>
      <c r="H367" t="s">
        <v>58</v>
      </c>
      <c r="I367" t="s">
        <v>27</v>
      </c>
      <c r="J367" s="4" t="s">
        <v>42</v>
      </c>
      <c r="K367" t="s">
        <v>29</v>
      </c>
      <c r="L367" t="s">
        <v>30</v>
      </c>
      <c r="M367" t="s">
        <v>31</v>
      </c>
      <c r="N367" t="s">
        <v>32</v>
      </c>
      <c r="O367">
        <v>5</v>
      </c>
      <c r="P367">
        <v>7</v>
      </c>
      <c r="Q367" t="s">
        <v>29</v>
      </c>
      <c r="R367" t="s">
        <v>34</v>
      </c>
      <c r="S367" s="3">
        <v>93.93</v>
      </c>
      <c r="T367" t="s">
        <v>110</v>
      </c>
      <c r="U367" t="s">
        <v>63</v>
      </c>
    </row>
    <row r="368" spans="1:21" ht="27.6">
      <c r="A368" t="s">
        <v>1264</v>
      </c>
      <c r="B368" t="s">
        <v>1265</v>
      </c>
      <c r="C368" t="s">
        <v>1266</v>
      </c>
      <c r="D368" s="2">
        <v>46092</v>
      </c>
      <c r="E368" t="s">
        <v>24</v>
      </c>
      <c r="F368" t="s">
        <v>25</v>
      </c>
      <c r="G368" s="3">
        <v>58.54</v>
      </c>
      <c r="H368" t="s">
        <v>49</v>
      </c>
      <c r="I368" t="s">
        <v>50</v>
      </c>
      <c r="J368" s="4" t="s">
        <v>42</v>
      </c>
      <c r="K368" t="s">
        <v>29</v>
      </c>
      <c r="L368" t="s">
        <v>30</v>
      </c>
      <c r="M368" t="s">
        <v>96</v>
      </c>
      <c r="N368" t="s">
        <v>32</v>
      </c>
      <c r="O368">
        <v>5</v>
      </c>
      <c r="P368">
        <v>4</v>
      </c>
      <c r="Q368" t="s">
        <v>33</v>
      </c>
      <c r="R368" t="s">
        <v>34</v>
      </c>
      <c r="S368" s="3">
        <v>58.54</v>
      </c>
      <c r="T368" t="s">
        <v>35</v>
      </c>
      <c r="U368" t="s">
        <v>53</v>
      </c>
    </row>
    <row r="369" spans="1:21" ht="27.6">
      <c r="A369" t="s">
        <v>1267</v>
      </c>
      <c r="B369" t="s">
        <v>1268</v>
      </c>
      <c r="C369" t="s">
        <v>1269</v>
      </c>
      <c r="D369" s="2">
        <v>46025</v>
      </c>
      <c r="E369" t="s">
        <v>40</v>
      </c>
      <c r="F369" t="s">
        <v>25</v>
      </c>
      <c r="G369" s="3">
        <v>36.56</v>
      </c>
      <c r="H369" t="s">
        <v>41</v>
      </c>
      <c r="I369" t="s">
        <v>27</v>
      </c>
      <c r="J369" s="4" t="s">
        <v>1270</v>
      </c>
      <c r="K369" t="s">
        <v>29</v>
      </c>
      <c r="L369" t="s">
        <v>30</v>
      </c>
      <c r="M369" t="s">
        <v>31</v>
      </c>
      <c r="N369" t="s">
        <v>32</v>
      </c>
      <c r="O369">
        <v>5</v>
      </c>
      <c r="P369">
        <v>4</v>
      </c>
      <c r="Q369" t="s">
        <v>33</v>
      </c>
      <c r="R369" t="s">
        <v>34</v>
      </c>
      <c r="S369" s="3">
        <v>0</v>
      </c>
      <c r="T369" t="s">
        <v>35</v>
      </c>
      <c r="U369" t="s">
        <v>53</v>
      </c>
    </row>
    <row r="370" spans="1:21" ht="27.6">
      <c r="A370" t="s">
        <v>1271</v>
      </c>
      <c r="B370" t="s">
        <v>1272</v>
      </c>
      <c r="C370" t="s">
        <v>1273</v>
      </c>
      <c r="D370" s="2">
        <v>46056</v>
      </c>
      <c r="E370" t="s">
        <v>24</v>
      </c>
      <c r="F370" t="s">
        <v>57</v>
      </c>
      <c r="G370" s="3">
        <v>121.02</v>
      </c>
      <c r="H370" t="s">
        <v>74</v>
      </c>
      <c r="I370" t="s">
        <v>67</v>
      </c>
      <c r="J370" s="4" t="s">
        <v>155</v>
      </c>
      <c r="K370" t="s">
        <v>29</v>
      </c>
      <c r="L370" t="s">
        <v>60</v>
      </c>
      <c r="M370" t="s">
        <v>31</v>
      </c>
      <c r="N370" t="s">
        <v>32</v>
      </c>
      <c r="O370">
        <v>10</v>
      </c>
      <c r="P370">
        <v>9</v>
      </c>
      <c r="Q370" t="s">
        <v>33</v>
      </c>
      <c r="R370" t="s">
        <v>61</v>
      </c>
      <c r="S370" s="3">
        <v>90.77</v>
      </c>
      <c r="T370" t="s">
        <v>52</v>
      </c>
      <c r="U370" t="s">
        <v>63</v>
      </c>
    </row>
    <row r="371" spans="1:21" ht="27.6">
      <c r="A371" t="s">
        <v>1274</v>
      </c>
      <c r="B371" t="s">
        <v>1275</v>
      </c>
      <c r="C371" t="s">
        <v>1276</v>
      </c>
      <c r="D371" s="2">
        <v>46064</v>
      </c>
      <c r="E371" t="s">
        <v>40</v>
      </c>
      <c r="F371" t="s">
        <v>118</v>
      </c>
      <c r="G371" s="3">
        <v>14.24</v>
      </c>
      <c r="H371" t="s">
        <v>26</v>
      </c>
      <c r="I371" t="s">
        <v>27</v>
      </c>
      <c r="J371" s="4" t="s">
        <v>119</v>
      </c>
      <c r="K371" t="s">
        <v>33</v>
      </c>
      <c r="L371" t="s">
        <v>30</v>
      </c>
      <c r="M371" t="s">
        <v>31</v>
      </c>
      <c r="N371" t="s">
        <v>32</v>
      </c>
      <c r="O371">
        <v>5</v>
      </c>
      <c r="P371">
        <v>13</v>
      </c>
      <c r="Q371" t="s">
        <v>29</v>
      </c>
      <c r="R371" t="s">
        <v>85</v>
      </c>
      <c r="S371" s="3">
        <v>7.12</v>
      </c>
      <c r="T371" t="s">
        <v>121</v>
      </c>
      <c r="U371" t="s">
        <v>63</v>
      </c>
    </row>
    <row r="372" spans="1:21" ht="27.6">
      <c r="A372" t="s">
        <v>1277</v>
      </c>
      <c r="B372" t="s">
        <v>1278</v>
      </c>
      <c r="C372" t="s">
        <v>1279</v>
      </c>
      <c r="D372" s="2">
        <v>46148</v>
      </c>
      <c r="E372" t="s">
        <v>24</v>
      </c>
      <c r="F372" t="s">
        <v>172</v>
      </c>
      <c r="G372" s="3">
        <v>31.2</v>
      </c>
      <c r="H372" t="s">
        <v>26</v>
      </c>
      <c r="I372" t="s">
        <v>67</v>
      </c>
      <c r="J372" s="4" t="s">
        <v>173</v>
      </c>
      <c r="K372" t="s">
        <v>29</v>
      </c>
      <c r="L372" t="s">
        <v>30</v>
      </c>
      <c r="M372" t="s">
        <v>31</v>
      </c>
      <c r="N372" t="s">
        <v>32</v>
      </c>
      <c r="O372">
        <v>7</v>
      </c>
      <c r="P372">
        <v>9</v>
      </c>
      <c r="Q372" t="s">
        <v>29</v>
      </c>
      <c r="R372" t="s">
        <v>174</v>
      </c>
      <c r="S372" s="3">
        <v>0</v>
      </c>
      <c r="T372" t="s">
        <v>69</v>
      </c>
      <c r="U372" t="s">
        <v>63</v>
      </c>
    </row>
    <row r="373" spans="1:21" ht="27.6">
      <c r="A373" t="s">
        <v>1280</v>
      </c>
      <c r="B373" t="s">
        <v>1281</v>
      </c>
      <c r="C373" t="s">
        <v>1282</v>
      </c>
      <c r="D373" s="2">
        <v>46023</v>
      </c>
      <c r="E373" t="s">
        <v>94</v>
      </c>
      <c r="F373" t="s">
        <v>172</v>
      </c>
      <c r="G373" s="3">
        <v>12.99</v>
      </c>
      <c r="H373" t="s">
        <v>108</v>
      </c>
      <c r="I373" t="s">
        <v>50</v>
      </c>
      <c r="J373" s="4" t="s">
        <v>173</v>
      </c>
      <c r="K373" t="s">
        <v>29</v>
      </c>
      <c r="L373" t="s">
        <v>30</v>
      </c>
      <c r="M373" t="s">
        <v>31</v>
      </c>
      <c r="N373" t="s">
        <v>32</v>
      </c>
      <c r="O373">
        <v>7</v>
      </c>
      <c r="P373">
        <v>8</v>
      </c>
      <c r="Q373" t="s">
        <v>29</v>
      </c>
      <c r="R373" t="s">
        <v>174</v>
      </c>
      <c r="S373" s="3">
        <v>12.99</v>
      </c>
      <c r="T373" t="s">
        <v>286</v>
      </c>
      <c r="U373" t="s">
        <v>63</v>
      </c>
    </row>
    <row r="374" spans="1:21" ht="27.6">
      <c r="A374" t="s">
        <v>1283</v>
      </c>
      <c r="B374" t="s">
        <v>186</v>
      </c>
      <c r="C374" t="s">
        <v>1284</v>
      </c>
      <c r="D374" s="2">
        <v>46023</v>
      </c>
      <c r="E374" t="s">
        <v>24</v>
      </c>
      <c r="F374" t="s">
        <v>103</v>
      </c>
      <c r="G374" s="3">
        <v>64.349999999999994</v>
      </c>
      <c r="H374" t="s">
        <v>89</v>
      </c>
      <c r="I374" t="s">
        <v>67</v>
      </c>
      <c r="J374" s="4" t="s">
        <v>104</v>
      </c>
      <c r="K374" t="s">
        <v>29</v>
      </c>
      <c r="L374" t="s">
        <v>30</v>
      </c>
      <c r="M374" t="s">
        <v>31</v>
      </c>
      <c r="N374" t="s">
        <v>84</v>
      </c>
      <c r="O374">
        <v>5</v>
      </c>
      <c r="P374">
        <v>2</v>
      </c>
      <c r="Q374" t="s">
        <v>33</v>
      </c>
      <c r="R374" t="s">
        <v>34</v>
      </c>
      <c r="S374" s="3">
        <v>0</v>
      </c>
      <c r="T374" t="s">
        <v>247</v>
      </c>
      <c r="U374" t="s">
        <v>36</v>
      </c>
    </row>
    <row r="375" spans="1:21" ht="27.6">
      <c r="A375" t="s">
        <v>1285</v>
      </c>
      <c r="B375" t="s">
        <v>1286</v>
      </c>
      <c r="C375" t="s">
        <v>1287</v>
      </c>
      <c r="D375" s="2">
        <v>46140</v>
      </c>
      <c r="E375" t="s">
        <v>40</v>
      </c>
      <c r="F375" t="s">
        <v>118</v>
      </c>
      <c r="G375" s="3">
        <v>15.31</v>
      </c>
      <c r="H375" t="s">
        <v>108</v>
      </c>
      <c r="I375" t="s">
        <v>50</v>
      </c>
      <c r="J375" s="4" t="s">
        <v>119</v>
      </c>
      <c r="K375" t="s">
        <v>29</v>
      </c>
      <c r="L375" t="s">
        <v>120</v>
      </c>
      <c r="M375" t="s">
        <v>96</v>
      </c>
      <c r="N375" t="s">
        <v>32</v>
      </c>
      <c r="O375">
        <v>5</v>
      </c>
      <c r="P375">
        <v>5</v>
      </c>
      <c r="Q375" t="s">
        <v>33</v>
      </c>
      <c r="R375" t="s">
        <v>85</v>
      </c>
      <c r="S375" s="3">
        <v>15.31</v>
      </c>
      <c r="T375" t="s">
        <v>121</v>
      </c>
      <c r="U375" t="s">
        <v>53</v>
      </c>
    </row>
    <row r="376" spans="1:21" ht="27.6">
      <c r="A376" t="s">
        <v>1288</v>
      </c>
      <c r="B376" t="s">
        <v>1289</v>
      </c>
      <c r="C376" t="s">
        <v>1290</v>
      </c>
      <c r="D376" s="2">
        <v>46135</v>
      </c>
      <c r="E376" t="s">
        <v>40</v>
      </c>
      <c r="F376" t="s">
        <v>25</v>
      </c>
      <c r="G376" s="3">
        <v>8.19</v>
      </c>
      <c r="H376" t="s">
        <v>89</v>
      </c>
      <c r="I376" t="s">
        <v>27</v>
      </c>
      <c r="J376" s="4" t="s">
        <v>1291</v>
      </c>
      <c r="K376" t="s">
        <v>29</v>
      </c>
      <c r="L376" t="s">
        <v>30</v>
      </c>
      <c r="M376" t="s">
        <v>31</v>
      </c>
      <c r="N376" t="s">
        <v>90</v>
      </c>
      <c r="O376">
        <v>5</v>
      </c>
      <c r="P376">
        <v>3</v>
      </c>
      <c r="Q376" t="s">
        <v>33</v>
      </c>
      <c r="R376" t="s">
        <v>34</v>
      </c>
      <c r="S376" s="3">
        <v>0</v>
      </c>
      <c r="T376" t="s">
        <v>35</v>
      </c>
      <c r="U376" t="s">
        <v>53</v>
      </c>
    </row>
    <row r="377" spans="1:21" ht="27.6">
      <c r="A377" t="s">
        <v>1292</v>
      </c>
      <c r="B377" t="s">
        <v>1293</v>
      </c>
      <c r="C377" t="s">
        <v>1294</v>
      </c>
      <c r="D377" s="2">
        <v>46109</v>
      </c>
      <c r="E377" t="s">
        <v>40</v>
      </c>
      <c r="F377" t="s">
        <v>25</v>
      </c>
      <c r="G377" s="3">
        <v>63.46</v>
      </c>
      <c r="H377" t="s">
        <v>58</v>
      </c>
      <c r="I377" t="s">
        <v>67</v>
      </c>
      <c r="J377" s="4" t="s">
        <v>1295</v>
      </c>
      <c r="K377" t="s">
        <v>29</v>
      </c>
      <c r="L377" t="s">
        <v>30</v>
      </c>
      <c r="M377" t="s">
        <v>31</v>
      </c>
      <c r="N377" t="s">
        <v>32</v>
      </c>
      <c r="O377">
        <v>5</v>
      </c>
      <c r="P377">
        <v>3</v>
      </c>
      <c r="Q377" t="s">
        <v>33</v>
      </c>
      <c r="R377" t="s">
        <v>34</v>
      </c>
      <c r="S377" s="3">
        <v>0</v>
      </c>
      <c r="T377" t="s">
        <v>35</v>
      </c>
      <c r="U377" t="s">
        <v>53</v>
      </c>
    </row>
    <row r="378" spans="1:21" ht="27.6">
      <c r="A378" t="s">
        <v>1296</v>
      </c>
      <c r="B378" t="s">
        <v>1297</v>
      </c>
      <c r="C378" t="s">
        <v>1298</v>
      </c>
      <c r="D378" s="2">
        <v>46027</v>
      </c>
      <c r="E378" t="s">
        <v>47</v>
      </c>
      <c r="F378" t="s">
        <v>73</v>
      </c>
      <c r="G378" s="3">
        <v>21.1</v>
      </c>
      <c r="H378" t="s">
        <v>26</v>
      </c>
      <c r="I378" t="s">
        <v>67</v>
      </c>
      <c r="J378" s="4" t="s">
        <v>75</v>
      </c>
      <c r="K378" t="s">
        <v>33</v>
      </c>
      <c r="L378" t="s">
        <v>60</v>
      </c>
      <c r="M378" t="s">
        <v>31</v>
      </c>
      <c r="N378" t="s">
        <v>32</v>
      </c>
      <c r="O378">
        <v>10</v>
      </c>
      <c r="P378">
        <v>12</v>
      </c>
      <c r="Q378" t="s">
        <v>29</v>
      </c>
      <c r="R378" t="s">
        <v>61</v>
      </c>
      <c r="S378" s="3">
        <v>21.1</v>
      </c>
      <c r="T378" t="s">
        <v>156</v>
      </c>
      <c r="U378" t="s">
        <v>63</v>
      </c>
    </row>
    <row r="379" spans="1:21" ht="27.6">
      <c r="A379" t="s">
        <v>1299</v>
      </c>
      <c r="B379" t="s">
        <v>1300</v>
      </c>
      <c r="C379" t="s">
        <v>1301</v>
      </c>
      <c r="D379" s="2">
        <v>46074</v>
      </c>
      <c r="E379" t="s">
        <v>47</v>
      </c>
      <c r="F379" t="s">
        <v>57</v>
      </c>
      <c r="G379" s="3">
        <v>45.99</v>
      </c>
      <c r="H379" t="s">
        <v>49</v>
      </c>
      <c r="I379" t="s">
        <v>67</v>
      </c>
      <c r="J379" s="4" t="s">
        <v>155</v>
      </c>
      <c r="K379" t="s">
        <v>29</v>
      </c>
      <c r="L379" t="s">
        <v>60</v>
      </c>
      <c r="M379" t="s">
        <v>31</v>
      </c>
      <c r="N379" t="s">
        <v>32</v>
      </c>
      <c r="O379">
        <v>10</v>
      </c>
      <c r="P379">
        <v>11</v>
      </c>
      <c r="Q379" t="s">
        <v>29</v>
      </c>
      <c r="R379" t="s">
        <v>61</v>
      </c>
      <c r="S379" s="3">
        <v>23</v>
      </c>
      <c r="T379" t="s">
        <v>156</v>
      </c>
      <c r="U379" t="s">
        <v>63</v>
      </c>
    </row>
    <row r="380" spans="1:21" ht="27.6">
      <c r="A380" t="s">
        <v>1302</v>
      </c>
      <c r="B380" t="s">
        <v>1303</v>
      </c>
      <c r="C380" t="s">
        <v>1304</v>
      </c>
      <c r="D380" s="2">
        <v>46129</v>
      </c>
      <c r="E380" t="s">
        <v>24</v>
      </c>
      <c r="F380" t="s">
        <v>82</v>
      </c>
      <c r="G380" s="3">
        <v>21.2</v>
      </c>
      <c r="H380" t="s">
        <v>89</v>
      </c>
      <c r="I380" t="s">
        <v>27</v>
      </c>
      <c r="J380" s="4" t="s">
        <v>114</v>
      </c>
      <c r="K380" t="s">
        <v>29</v>
      </c>
      <c r="L380" t="s">
        <v>30</v>
      </c>
      <c r="M380" t="s">
        <v>31</v>
      </c>
      <c r="N380" t="s">
        <v>32</v>
      </c>
      <c r="O380">
        <v>7</v>
      </c>
      <c r="P380">
        <v>2</v>
      </c>
      <c r="Q380" t="s">
        <v>33</v>
      </c>
      <c r="R380" t="s">
        <v>85</v>
      </c>
      <c r="S380" s="3">
        <v>10.6</v>
      </c>
      <c r="T380" t="s">
        <v>62</v>
      </c>
      <c r="U380" t="s">
        <v>53</v>
      </c>
    </row>
    <row r="381" spans="1:21" ht="27.6">
      <c r="A381" t="s">
        <v>1305</v>
      </c>
      <c r="B381" t="s">
        <v>1306</v>
      </c>
      <c r="C381" t="s">
        <v>1307</v>
      </c>
      <c r="D381" s="2">
        <v>46095</v>
      </c>
      <c r="E381" t="s">
        <v>24</v>
      </c>
      <c r="F381" t="s">
        <v>57</v>
      </c>
      <c r="G381" s="3">
        <v>147.22</v>
      </c>
      <c r="H381" t="s">
        <v>74</v>
      </c>
      <c r="I381" t="s">
        <v>27</v>
      </c>
      <c r="J381" s="4" t="s">
        <v>59</v>
      </c>
      <c r="K381" t="s">
        <v>29</v>
      </c>
      <c r="L381" t="s">
        <v>60</v>
      </c>
      <c r="M381" t="s">
        <v>31</v>
      </c>
      <c r="N381" t="s">
        <v>32</v>
      </c>
      <c r="O381">
        <v>10</v>
      </c>
      <c r="P381">
        <v>7</v>
      </c>
      <c r="Q381" t="s">
        <v>33</v>
      </c>
      <c r="R381" t="s">
        <v>61</v>
      </c>
      <c r="S381" s="3">
        <v>0</v>
      </c>
      <c r="T381" t="s">
        <v>52</v>
      </c>
      <c r="U381" t="s">
        <v>63</v>
      </c>
    </row>
    <row r="382" spans="1:21" ht="27.6">
      <c r="A382" t="s">
        <v>1308</v>
      </c>
      <c r="B382" t="s">
        <v>1309</v>
      </c>
      <c r="C382" t="s">
        <v>1310</v>
      </c>
      <c r="D382" s="2">
        <v>46150</v>
      </c>
      <c r="E382" t="s">
        <v>47</v>
      </c>
      <c r="F382" t="s">
        <v>25</v>
      </c>
      <c r="G382" s="3">
        <v>79.94</v>
      </c>
      <c r="H382" t="s">
        <v>108</v>
      </c>
      <c r="I382" t="s">
        <v>27</v>
      </c>
      <c r="J382" s="4" t="s">
        <v>1311</v>
      </c>
      <c r="K382" t="s">
        <v>29</v>
      </c>
      <c r="L382" t="s">
        <v>30</v>
      </c>
      <c r="M382" t="s">
        <v>31</v>
      </c>
      <c r="N382" t="s">
        <v>32</v>
      </c>
      <c r="O382">
        <v>5</v>
      </c>
      <c r="P382">
        <v>14</v>
      </c>
      <c r="Q382" t="s">
        <v>29</v>
      </c>
      <c r="R382" t="s">
        <v>34</v>
      </c>
      <c r="S382" s="3">
        <v>0</v>
      </c>
      <c r="T382" t="s">
        <v>110</v>
      </c>
      <c r="U382" t="s">
        <v>63</v>
      </c>
    </row>
    <row r="383" spans="1:21" ht="27.6">
      <c r="A383" t="s">
        <v>1312</v>
      </c>
      <c r="B383" t="s">
        <v>1313</v>
      </c>
      <c r="C383" t="s">
        <v>1314</v>
      </c>
      <c r="D383" s="2">
        <v>46076</v>
      </c>
      <c r="E383" t="s">
        <v>24</v>
      </c>
      <c r="F383" t="s">
        <v>25</v>
      </c>
      <c r="G383" s="3">
        <v>159.84</v>
      </c>
      <c r="H383" t="s">
        <v>108</v>
      </c>
      <c r="I383" t="s">
        <v>50</v>
      </c>
      <c r="J383" s="4" t="s">
        <v>42</v>
      </c>
      <c r="K383" t="s">
        <v>29</v>
      </c>
      <c r="L383" t="s">
        <v>30</v>
      </c>
      <c r="M383" t="s">
        <v>96</v>
      </c>
      <c r="N383" t="s">
        <v>32</v>
      </c>
      <c r="O383">
        <v>5</v>
      </c>
      <c r="P383">
        <v>5</v>
      </c>
      <c r="Q383" t="s">
        <v>33</v>
      </c>
      <c r="R383" t="s">
        <v>34</v>
      </c>
      <c r="S383" s="3">
        <v>159.84</v>
      </c>
      <c r="T383" t="s">
        <v>110</v>
      </c>
      <c r="U383" t="s">
        <v>36</v>
      </c>
    </row>
    <row r="384" spans="1:21" ht="27.6">
      <c r="A384" t="s">
        <v>1315</v>
      </c>
      <c r="B384" t="s">
        <v>1316</v>
      </c>
      <c r="C384" t="s">
        <v>1317</v>
      </c>
      <c r="D384" s="2">
        <v>46087</v>
      </c>
      <c r="E384" t="s">
        <v>24</v>
      </c>
      <c r="F384" t="s">
        <v>57</v>
      </c>
      <c r="G384" s="3">
        <v>39.46</v>
      </c>
      <c r="H384" t="s">
        <v>74</v>
      </c>
      <c r="I384" t="s">
        <v>50</v>
      </c>
      <c r="J384" s="4" t="s">
        <v>59</v>
      </c>
      <c r="K384" t="s">
        <v>29</v>
      </c>
      <c r="L384" t="s">
        <v>60</v>
      </c>
      <c r="M384" t="s">
        <v>31</v>
      </c>
      <c r="N384" t="s">
        <v>84</v>
      </c>
      <c r="O384">
        <v>10</v>
      </c>
      <c r="P384">
        <v>6</v>
      </c>
      <c r="Q384" t="s">
        <v>33</v>
      </c>
      <c r="R384" t="s">
        <v>61</v>
      </c>
      <c r="S384" s="3">
        <v>0</v>
      </c>
      <c r="T384" t="s">
        <v>52</v>
      </c>
      <c r="U384" t="s">
        <v>63</v>
      </c>
    </row>
    <row r="385" spans="1:21" ht="27.6">
      <c r="A385" t="s">
        <v>1318</v>
      </c>
      <c r="B385" t="s">
        <v>1319</v>
      </c>
      <c r="C385" t="s">
        <v>1320</v>
      </c>
      <c r="D385" s="2">
        <v>46048</v>
      </c>
      <c r="E385" t="s">
        <v>24</v>
      </c>
      <c r="F385" t="s">
        <v>82</v>
      </c>
      <c r="G385" s="3">
        <v>9.0399999999999991</v>
      </c>
      <c r="H385" t="s">
        <v>26</v>
      </c>
      <c r="I385" t="s">
        <v>67</v>
      </c>
      <c r="J385" s="4" t="s">
        <v>1321</v>
      </c>
      <c r="K385" t="s">
        <v>29</v>
      </c>
      <c r="L385" t="s">
        <v>30</v>
      </c>
      <c r="M385" t="s">
        <v>31</v>
      </c>
      <c r="N385" t="s">
        <v>32</v>
      </c>
      <c r="O385">
        <v>7</v>
      </c>
      <c r="P385">
        <v>8</v>
      </c>
      <c r="Q385" t="s">
        <v>29</v>
      </c>
      <c r="R385" t="s">
        <v>85</v>
      </c>
      <c r="S385" s="3">
        <v>4.5199999999999996</v>
      </c>
      <c r="T385" t="s">
        <v>62</v>
      </c>
      <c r="U385" t="s">
        <v>63</v>
      </c>
    </row>
    <row r="386" spans="1:21" ht="27.6">
      <c r="A386" t="s">
        <v>1322</v>
      </c>
      <c r="B386" t="s">
        <v>1323</v>
      </c>
      <c r="C386" t="s">
        <v>1324</v>
      </c>
      <c r="D386" s="2">
        <v>46114</v>
      </c>
      <c r="E386" t="s">
        <v>94</v>
      </c>
      <c r="F386" t="s">
        <v>118</v>
      </c>
      <c r="G386" s="3">
        <v>6.92</v>
      </c>
      <c r="H386" t="s">
        <v>26</v>
      </c>
      <c r="I386" t="s">
        <v>27</v>
      </c>
      <c r="J386" s="4" t="s">
        <v>119</v>
      </c>
      <c r="K386" t="s">
        <v>29</v>
      </c>
      <c r="L386" t="s">
        <v>120</v>
      </c>
      <c r="M386" t="s">
        <v>96</v>
      </c>
      <c r="N386" t="s">
        <v>32</v>
      </c>
      <c r="O386">
        <v>5</v>
      </c>
      <c r="P386">
        <v>1</v>
      </c>
      <c r="Q386" t="s">
        <v>33</v>
      </c>
      <c r="R386" t="s">
        <v>85</v>
      </c>
      <c r="S386" s="3">
        <v>6.92</v>
      </c>
      <c r="T386" t="s">
        <v>121</v>
      </c>
      <c r="U386" t="s">
        <v>53</v>
      </c>
    </row>
    <row r="387" spans="1:21" ht="27.6">
      <c r="A387" t="s">
        <v>1325</v>
      </c>
      <c r="B387" t="s">
        <v>1326</v>
      </c>
      <c r="C387" t="s">
        <v>1327</v>
      </c>
      <c r="D387" s="2">
        <v>46066</v>
      </c>
      <c r="E387" t="s">
        <v>47</v>
      </c>
      <c r="F387" t="s">
        <v>172</v>
      </c>
      <c r="G387" s="3">
        <v>20.7</v>
      </c>
      <c r="H387" t="s">
        <v>89</v>
      </c>
      <c r="I387" t="s">
        <v>50</v>
      </c>
      <c r="J387" s="4" t="s">
        <v>285</v>
      </c>
      <c r="K387" t="s">
        <v>33</v>
      </c>
      <c r="L387" t="s">
        <v>30</v>
      </c>
      <c r="M387" t="s">
        <v>31</v>
      </c>
      <c r="N387" t="s">
        <v>32</v>
      </c>
      <c r="O387">
        <v>7</v>
      </c>
      <c r="P387">
        <v>11</v>
      </c>
      <c r="Q387" t="s">
        <v>29</v>
      </c>
      <c r="R387" t="s">
        <v>174</v>
      </c>
      <c r="S387" s="3">
        <v>10.35</v>
      </c>
      <c r="T387" t="s">
        <v>110</v>
      </c>
      <c r="U387" t="s">
        <v>63</v>
      </c>
    </row>
    <row r="388" spans="1:21" ht="27.6">
      <c r="A388" t="s">
        <v>1328</v>
      </c>
      <c r="B388" t="s">
        <v>1329</v>
      </c>
      <c r="C388" t="s">
        <v>1330</v>
      </c>
      <c r="D388" s="2">
        <v>46106</v>
      </c>
      <c r="E388" t="s">
        <v>47</v>
      </c>
      <c r="F388" t="s">
        <v>118</v>
      </c>
      <c r="G388" s="3">
        <v>35.68</v>
      </c>
      <c r="H388" t="s">
        <v>108</v>
      </c>
      <c r="I388" t="s">
        <v>50</v>
      </c>
      <c r="J388" s="4" t="s">
        <v>119</v>
      </c>
      <c r="K388" t="s">
        <v>33</v>
      </c>
      <c r="L388" t="s">
        <v>120</v>
      </c>
      <c r="M388" t="s">
        <v>96</v>
      </c>
      <c r="N388" t="s">
        <v>126</v>
      </c>
      <c r="O388">
        <v>5</v>
      </c>
      <c r="P388">
        <v>1</v>
      </c>
      <c r="Q388" t="s">
        <v>33</v>
      </c>
      <c r="R388" t="s">
        <v>85</v>
      </c>
      <c r="S388" s="3">
        <v>0</v>
      </c>
      <c r="T388" t="s">
        <v>121</v>
      </c>
      <c r="U388" t="s">
        <v>53</v>
      </c>
    </row>
    <row r="389" spans="1:21" ht="27.6">
      <c r="A389" t="s">
        <v>1331</v>
      </c>
      <c r="B389" t="s">
        <v>1332</v>
      </c>
      <c r="C389" t="s">
        <v>1333</v>
      </c>
      <c r="D389" s="2">
        <v>46044</v>
      </c>
      <c r="E389" t="s">
        <v>47</v>
      </c>
      <c r="F389" t="s">
        <v>25</v>
      </c>
      <c r="G389" s="3">
        <v>18.91</v>
      </c>
      <c r="H389" t="s">
        <v>58</v>
      </c>
      <c r="I389" t="s">
        <v>67</v>
      </c>
      <c r="J389" s="4" t="s">
        <v>1334</v>
      </c>
      <c r="K389" t="s">
        <v>29</v>
      </c>
      <c r="L389" t="s">
        <v>30</v>
      </c>
      <c r="M389" t="s">
        <v>31</v>
      </c>
      <c r="N389" t="s">
        <v>32</v>
      </c>
      <c r="O389">
        <v>5</v>
      </c>
      <c r="P389">
        <v>7</v>
      </c>
      <c r="Q389" t="s">
        <v>29</v>
      </c>
      <c r="R389" t="s">
        <v>34</v>
      </c>
      <c r="S389" s="3">
        <v>0</v>
      </c>
      <c r="T389" t="s">
        <v>35</v>
      </c>
      <c r="U389" t="s">
        <v>63</v>
      </c>
    </row>
    <row r="390" spans="1:21" ht="27.6">
      <c r="A390" t="s">
        <v>1335</v>
      </c>
      <c r="B390" t="s">
        <v>1336</v>
      </c>
      <c r="C390" t="s">
        <v>1337</v>
      </c>
      <c r="D390" s="2">
        <v>46058</v>
      </c>
      <c r="E390" t="s">
        <v>94</v>
      </c>
      <c r="F390" t="s">
        <v>82</v>
      </c>
      <c r="G390" s="3">
        <v>79.150000000000006</v>
      </c>
      <c r="H390" t="s">
        <v>108</v>
      </c>
      <c r="I390" t="s">
        <v>50</v>
      </c>
      <c r="J390" s="4" t="s">
        <v>1338</v>
      </c>
      <c r="K390" t="s">
        <v>29</v>
      </c>
      <c r="L390" t="s">
        <v>30</v>
      </c>
      <c r="M390" t="s">
        <v>31</v>
      </c>
      <c r="N390" t="s">
        <v>32</v>
      </c>
      <c r="O390">
        <v>7</v>
      </c>
      <c r="P390">
        <v>11</v>
      </c>
      <c r="Q390" t="s">
        <v>29</v>
      </c>
      <c r="R390" t="s">
        <v>85</v>
      </c>
      <c r="S390" s="3">
        <v>59.36</v>
      </c>
      <c r="T390" t="s">
        <v>62</v>
      </c>
      <c r="U390" t="s">
        <v>63</v>
      </c>
    </row>
    <row r="391" spans="1:21" ht="27.6">
      <c r="A391" t="s">
        <v>1339</v>
      </c>
      <c r="B391" t="s">
        <v>1340</v>
      </c>
      <c r="C391" t="s">
        <v>1341</v>
      </c>
      <c r="D391" s="2">
        <v>46076</v>
      </c>
      <c r="E391" t="s">
        <v>40</v>
      </c>
      <c r="F391" t="s">
        <v>25</v>
      </c>
      <c r="G391" s="3">
        <v>392.87</v>
      </c>
      <c r="H391" t="s">
        <v>26</v>
      </c>
      <c r="I391" t="s">
        <v>27</v>
      </c>
      <c r="J391" s="4" t="s">
        <v>1342</v>
      </c>
      <c r="K391" t="s">
        <v>29</v>
      </c>
      <c r="L391" t="s">
        <v>30</v>
      </c>
      <c r="M391" t="s">
        <v>31</v>
      </c>
      <c r="N391" t="s">
        <v>32</v>
      </c>
      <c r="O391">
        <v>5</v>
      </c>
      <c r="P391">
        <v>8</v>
      </c>
      <c r="Q391" t="s">
        <v>29</v>
      </c>
      <c r="R391" t="s">
        <v>34</v>
      </c>
      <c r="S391" s="3">
        <v>392.87</v>
      </c>
      <c r="T391" t="s">
        <v>110</v>
      </c>
      <c r="U391" t="s">
        <v>63</v>
      </c>
    </row>
    <row r="392" spans="1:21" ht="27.6">
      <c r="A392" t="s">
        <v>1343</v>
      </c>
      <c r="B392" t="s">
        <v>1344</v>
      </c>
      <c r="C392" t="s">
        <v>1345</v>
      </c>
      <c r="D392" s="2">
        <v>46108</v>
      </c>
      <c r="E392" t="s">
        <v>24</v>
      </c>
      <c r="F392" t="s">
        <v>25</v>
      </c>
      <c r="G392" s="3">
        <v>24.16</v>
      </c>
      <c r="H392" t="s">
        <v>89</v>
      </c>
      <c r="I392" t="s">
        <v>67</v>
      </c>
      <c r="J392" s="4" t="s">
        <v>42</v>
      </c>
      <c r="K392" t="s">
        <v>33</v>
      </c>
      <c r="L392" t="s">
        <v>30</v>
      </c>
      <c r="M392" t="s">
        <v>31</v>
      </c>
      <c r="N392" t="s">
        <v>126</v>
      </c>
      <c r="O392">
        <v>5</v>
      </c>
      <c r="P392">
        <v>6</v>
      </c>
      <c r="Q392" t="s">
        <v>29</v>
      </c>
      <c r="R392" t="s">
        <v>34</v>
      </c>
      <c r="S392" s="3">
        <v>0</v>
      </c>
      <c r="T392" t="s">
        <v>35</v>
      </c>
      <c r="U392" t="s">
        <v>63</v>
      </c>
    </row>
    <row r="393" spans="1:21" ht="27.6">
      <c r="A393" t="s">
        <v>1346</v>
      </c>
      <c r="B393" t="s">
        <v>1347</v>
      </c>
      <c r="C393" t="s">
        <v>1348</v>
      </c>
      <c r="D393" s="2">
        <v>46039</v>
      </c>
      <c r="E393" t="s">
        <v>24</v>
      </c>
      <c r="F393" t="s">
        <v>82</v>
      </c>
      <c r="G393" s="3">
        <v>40.950000000000003</v>
      </c>
      <c r="H393" t="s">
        <v>108</v>
      </c>
      <c r="I393" t="s">
        <v>50</v>
      </c>
      <c r="J393" s="4" t="s">
        <v>114</v>
      </c>
      <c r="K393" t="s">
        <v>29</v>
      </c>
      <c r="L393" t="s">
        <v>30</v>
      </c>
      <c r="M393" t="s">
        <v>31</v>
      </c>
      <c r="N393" t="s">
        <v>90</v>
      </c>
      <c r="O393">
        <v>7</v>
      </c>
      <c r="P393">
        <v>3</v>
      </c>
      <c r="Q393" t="s">
        <v>33</v>
      </c>
      <c r="R393" t="s">
        <v>85</v>
      </c>
      <c r="S393" s="3">
        <v>0</v>
      </c>
      <c r="T393" t="s">
        <v>62</v>
      </c>
      <c r="U393" t="s">
        <v>36</v>
      </c>
    </row>
    <row r="394" spans="1:21" ht="27.6">
      <c r="A394" t="s">
        <v>1349</v>
      </c>
      <c r="B394" t="s">
        <v>1350</v>
      </c>
      <c r="C394" t="s">
        <v>1351</v>
      </c>
      <c r="D394" s="2">
        <v>46045</v>
      </c>
      <c r="E394" t="s">
        <v>24</v>
      </c>
      <c r="F394" t="s">
        <v>73</v>
      </c>
      <c r="G394" s="3">
        <v>18.420000000000002</v>
      </c>
      <c r="H394" t="s">
        <v>58</v>
      </c>
      <c r="I394" t="s">
        <v>27</v>
      </c>
      <c r="J394" s="4" t="s">
        <v>75</v>
      </c>
      <c r="K394" t="s">
        <v>29</v>
      </c>
      <c r="L394" t="s">
        <v>60</v>
      </c>
      <c r="M394" t="s">
        <v>31</v>
      </c>
      <c r="N394" t="s">
        <v>32</v>
      </c>
      <c r="O394">
        <v>10</v>
      </c>
      <c r="P394">
        <v>6</v>
      </c>
      <c r="Q394" t="s">
        <v>33</v>
      </c>
      <c r="R394" t="s">
        <v>61</v>
      </c>
      <c r="S394" s="3">
        <v>0</v>
      </c>
      <c r="T394" t="s">
        <v>156</v>
      </c>
      <c r="U394" t="s">
        <v>63</v>
      </c>
    </row>
    <row r="395" spans="1:21" ht="27.6">
      <c r="A395" t="s">
        <v>1352</v>
      </c>
      <c r="B395" t="s">
        <v>1353</v>
      </c>
      <c r="C395" t="s">
        <v>1354</v>
      </c>
      <c r="D395" s="2">
        <v>46130</v>
      </c>
      <c r="E395" t="s">
        <v>47</v>
      </c>
      <c r="F395" t="s">
        <v>172</v>
      </c>
      <c r="G395" s="3">
        <v>29.24</v>
      </c>
      <c r="H395" t="s">
        <v>49</v>
      </c>
      <c r="I395" t="s">
        <v>67</v>
      </c>
      <c r="J395" s="4" t="s">
        <v>285</v>
      </c>
      <c r="K395" t="s">
        <v>33</v>
      </c>
      <c r="L395" t="s">
        <v>30</v>
      </c>
      <c r="M395" t="s">
        <v>31</v>
      </c>
      <c r="N395" t="s">
        <v>32</v>
      </c>
      <c r="O395">
        <v>7</v>
      </c>
      <c r="P395">
        <v>10</v>
      </c>
      <c r="Q395" t="s">
        <v>29</v>
      </c>
      <c r="R395" t="s">
        <v>174</v>
      </c>
      <c r="S395" s="3">
        <v>21.93</v>
      </c>
      <c r="T395" t="s">
        <v>110</v>
      </c>
      <c r="U395" t="s">
        <v>63</v>
      </c>
    </row>
    <row r="396" spans="1:21" ht="27.6">
      <c r="A396" t="s">
        <v>1355</v>
      </c>
      <c r="B396" t="s">
        <v>1356</v>
      </c>
      <c r="C396" t="s">
        <v>1357</v>
      </c>
      <c r="D396" s="2">
        <v>46158</v>
      </c>
      <c r="E396" t="s">
        <v>94</v>
      </c>
      <c r="F396" t="s">
        <v>82</v>
      </c>
      <c r="G396" s="3">
        <v>29.1</v>
      </c>
      <c r="H396" t="s">
        <v>49</v>
      </c>
      <c r="I396" t="s">
        <v>27</v>
      </c>
      <c r="J396" s="4" t="s">
        <v>1358</v>
      </c>
      <c r="K396" t="s">
        <v>33</v>
      </c>
      <c r="L396" t="s">
        <v>30</v>
      </c>
      <c r="M396" t="s">
        <v>31</v>
      </c>
      <c r="N396" t="s">
        <v>32</v>
      </c>
      <c r="O396">
        <v>7</v>
      </c>
      <c r="P396">
        <v>1</v>
      </c>
      <c r="Q396" t="s">
        <v>33</v>
      </c>
      <c r="R396" t="s">
        <v>85</v>
      </c>
      <c r="S396" s="3">
        <v>21.83</v>
      </c>
      <c r="T396" t="s">
        <v>43</v>
      </c>
      <c r="U396" t="s">
        <v>36</v>
      </c>
    </row>
    <row r="397" spans="1:21" ht="27.6">
      <c r="A397" t="s">
        <v>1359</v>
      </c>
      <c r="B397" t="s">
        <v>1360</v>
      </c>
      <c r="C397" t="s">
        <v>1361</v>
      </c>
      <c r="D397" s="2">
        <v>46064</v>
      </c>
      <c r="E397" t="s">
        <v>40</v>
      </c>
      <c r="F397" t="s">
        <v>118</v>
      </c>
      <c r="G397" s="3">
        <v>93.96</v>
      </c>
      <c r="H397" t="s">
        <v>74</v>
      </c>
      <c r="I397" t="s">
        <v>27</v>
      </c>
      <c r="J397" s="4" t="s">
        <v>119</v>
      </c>
      <c r="K397" t="s">
        <v>33</v>
      </c>
      <c r="L397" t="s">
        <v>120</v>
      </c>
      <c r="M397" t="s">
        <v>96</v>
      </c>
      <c r="N397" t="s">
        <v>126</v>
      </c>
      <c r="O397">
        <v>5</v>
      </c>
      <c r="P397">
        <v>3</v>
      </c>
      <c r="Q397" t="s">
        <v>33</v>
      </c>
      <c r="R397" t="s">
        <v>85</v>
      </c>
      <c r="S397" s="3">
        <v>0</v>
      </c>
      <c r="T397" t="s">
        <v>121</v>
      </c>
      <c r="U397" t="s">
        <v>53</v>
      </c>
    </row>
    <row r="398" spans="1:21" ht="27.6">
      <c r="A398" t="s">
        <v>1362</v>
      </c>
      <c r="B398" t="s">
        <v>1363</v>
      </c>
      <c r="C398" t="s">
        <v>1364</v>
      </c>
      <c r="D398" s="2">
        <v>46070</v>
      </c>
      <c r="E398" t="s">
        <v>24</v>
      </c>
      <c r="F398" t="s">
        <v>103</v>
      </c>
      <c r="G398" s="3">
        <v>15.95</v>
      </c>
      <c r="H398" t="s">
        <v>74</v>
      </c>
      <c r="I398" t="s">
        <v>50</v>
      </c>
      <c r="J398" s="4" t="s">
        <v>134</v>
      </c>
      <c r="K398" t="s">
        <v>29</v>
      </c>
      <c r="L398" t="s">
        <v>30</v>
      </c>
      <c r="M398" t="s">
        <v>31</v>
      </c>
      <c r="N398" t="s">
        <v>32</v>
      </c>
      <c r="O398">
        <v>5</v>
      </c>
      <c r="P398">
        <v>3</v>
      </c>
      <c r="Q398" t="s">
        <v>33</v>
      </c>
      <c r="R398" t="s">
        <v>34</v>
      </c>
      <c r="S398" s="3">
        <v>11.96</v>
      </c>
      <c r="T398" t="s">
        <v>35</v>
      </c>
      <c r="U398" t="s">
        <v>53</v>
      </c>
    </row>
    <row r="399" spans="1:21" ht="27.6">
      <c r="A399" t="s">
        <v>1365</v>
      </c>
      <c r="B399" t="s">
        <v>1366</v>
      </c>
      <c r="C399" t="s">
        <v>1367</v>
      </c>
      <c r="D399" s="2">
        <v>46107</v>
      </c>
      <c r="E399" t="s">
        <v>40</v>
      </c>
      <c r="F399" t="s">
        <v>118</v>
      </c>
      <c r="G399" s="3">
        <v>136.21</v>
      </c>
      <c r="H399" t="s">
        <v>58</v>
      </c>
      <c r="I399" t="s">
        <v>67</v>
      </c>
      <c r="J399" s="4" t="s">
        <v>1368</v>
      </c>
      <c r="K399" t="s">
        <v>29</v>
      </c>
      <c r="L399" t="s">
        <v>120</v>
      </c>
      <c r="M399" t="s">
        <v>96</v>
      </c>
      <c r="N399" t="s">
        <v>32</v>
      </c>
      <c r="O399">
        <v>5</v>
      </c>
      <c r="P399">
        <v>4</v>
      </c>
      <c r="Q399" t="s">
        <v>33</v>
      </c>
      <c r="R399" t="s">
        <v>85</v>
      </c>
      <c r="S399" s="3">
        <v>136.21</v>
      </c>
      <c r="T399" t="s">
        <v>121</v>
      </c>
      <c r="U399" t="s">
        <v>36</v>
      </c>
    </row>
    <row r="400" spans="1:21" ht="27.6">
      <c r="A400" t="s">
        <v>1369</v>
      </c>
      <c r="B400" t="s">
        <v>1370</v>
      </c>
      <c r="C400" t="s">
        <v>1371</v>
      </c>
      <c r="D400" s="2">
        <v>46164</v>
      </c>
      <c r="E400" t="s">
        <v>24</v>
      </c>
      <c r="F400" t="s">
        <v>25</v>
      </c>
      <c r="G400" s="3">
        <v>50.39</v>
      </c>
      <c r="H400" t="s">
        <v>41</v>
      </c>
      <c r="I400" t="s">
        <v>27</v>
      </c>
      <c r="J400" s="4" t="s">
        <v>1372</v>
      </c>
      <c r="K400" t="s">
        <v>29</v>
      </c>
      <c r="L400" t="s">
        <v>30</v>
      </c>
      <c r="M400" t="s">
        <v>31</v>
      </c>
      <c r="N400" t="s">
        <v>90</v>
      </c>
      <c r="O400">
        <v>5</v>
      </c>
      <c r="P400">
        <v>7</v>
      </c>
      <c r="Q400" t="s">
        <v>29</v>
      </c>
      <c r="R400" t="s">
        <v>34</v>
      </c>
      <c r="S400" s="3">
        <v>0</v>
      </c>
      <c r="T400" t="s">
        <v>35</v>
      </c>
      <c r="U400" t="s">
        <v>63</v>
      </c>
    </row>
    <row r="401" spans="1:21" ht="27.6">
      <c r="A401" t="s">
        <v>1373</v>
      </c>
      <c r="B401" t="s">
        <v>1374</v>
      </c>
      <c r="C401" t="s">
        <v>1375</v>
      </c>
      <c r="D401" s="2">
        <v>46160</v>
      </c>
      <c r="E401" t="s">
        <v>94</v>
      </c>
      <c r="F401" t="s">
        <v>103</v>
      </c>
      <c r="G401" s="3">
        <v>29.9</v>
      </c>
      <c r="H401" t="s">
        <v>89</v>
      </c>
      <c r="I401" t="s">
        <v>50</v>
      </c>
      <c r="J401" s="4" t="s">
        <v>104</v>
      </c>
      <c r="K401" t="s">
        <v>33</v>
      </c>
      <c r="L401" t="s">
        <v>30</v>
      </c>
      <c r="M401" t="s">
        <v>31</v>
      </c>
      <c r="N401" t="s">
        <v>32</v>
      </c>
      <c r="O401">
        <v>5</v>
      </c>
      <c r="P401">
        <v>12</v>
      </c>
      <c r="Q401" t="s">
        <v>29</v>
      </c>
      <c r="R401" t="s">
        <v>34</v>
      </c>
      <c r="S401" s="3">
        <v>0</v>
      </c>
      <c r="T401" t="s">
        <v>247</v>
      </c>
      <c r="U401" t="s">
        <v>63</v>
      </c>
    </row>
    <row r="402" spans="1:21" ht="27.6">
      <c r="A402" t="s">
        <v>1376</v>
      </c>
      <c r="B402" t="s">
        <v>1377</v>
      </c>
      <c r="C402" t="s">
        <v>1378</v>
      </c>
      <c r="D402" s="2">
        <v>46118</v>
      </c>
      <c r="E402" t="s">
        <v>24</v>
      </c>
      <c r="F402" t="s">
        <v>82</v>
      </c>
      <c r="G402" s="3">
        <v>24.42</v>
      </c>
      <c r="H402" t="s">
        <v>89</v>
      </c>
      <c r="I402" t="s">
        <v>27</v>
      </c>
      <c r="J402" s="4" t="s">
        <v>1379</v>
      </c>
      <c r="K402" t="s">
        <v>33</v>
      </c>
      <c r="L402" t="s">
        <v>30</v>
      </c>
      <c r="M402" t="s">
        <v>31</v>
      </c>
      <c r="N402" t="s">
        <v>32</v>
      </c>
      <c r="O402">
        <v>7</v>
      </c>
      <c r="P402">
        <v>8</v>
      </c>
      <c r="Q402" t="s">
        <v>29</v>
      </c>
      <c r="R402" t="s">
        <v>85</v>
      </c>
      <c r="S402" s="3">
        <v>24.42</v>
      </c>
      <c r="T402" t="s">
        <v>69</v>
      </c>
      <c r="U402" t="s">
        <v>63</v>
      </c>
    </row>
    <row r="403" spans="1:21" ht="27.6">
      <c r="A403" t="s">
        <v>1380</v>
      </c>
      <c r="B403" t="s">
        <v>1381</v>
      </c>
      <c r="C403" t="s">
        <v>1382</v>
      </c>
      <c r="D403" s="2">
        <v>46173</v>
      </c>
      <c r="E403" t="s">
        <v>47</v>
      </c>
      <c r="F403" t="s">
        <v>25</v>
      </c>
      <c r="G403" s="3">
        <v>42.76</v>
      </c>
      <c r="H403" t="s">
        <v>89</v>
      </c>
      <c r="I403" t="s">
        <v>50</v>
      </c>
      <c r="J403" s="4" t="s">
        <v>42</v>
      </c>
      <c r="K403" t="s">
        <v>29</v>
      </c>
      <c r="L403" t="s">
        <v>30</v>
      </c>
      <c r="M403" t="s">
        <v>96</v>
      </c>
      <c r="N403" t="s">
        <v>32</v>
      </c>
      <c r="O403">
        <v>5</v>
      </c>
      <c r="P403">
        <v>2</v>
      </c>
      <c r="Q403" t="s">
        <v>33</v>
      </c>
      <c r="R403" t="s">
        <v>34</v>
      </c>
      <c r="S403" s="3">
        <v>42.76</v>
      </c>
      <c r="T403" t="s">
        <v>43</v>
      </c>
      <c r="U403" t="s">
        <v>36</v>
      </c>
    </row>
    <row r="404" spans="1:21" ht="27.6">
      <c r="A404" t="s">
        <v>1383</v>
      </c>
      <c r="B404" t="s">
        <v>1384</v>
      </c>
      <c r="C404" t="s">
        <v>1385</v>
      </c>
      <c r="D404" s="2">
        <v>46141</v>
      </c>
      <c r="E404" t="s">
        <v>40</v>
      </c>
      <c r="F404" t="s">
        <v>57</v>
      </c>
      <c r="G404" s="3">
        <v>21.11</v>
      </c>
      <c r="H404" t="s">
        <v>108</v>
      </c>
      <c r="I404" t="s">
        <v>27</v>
      </c>
      <c r="J404" s="4" t="s">
        <v>59</v>
      </c>
      <c r="K404" t="s">
        <v>29</v>
      </c>
      <c r="L404" t="s">
        <v>60</v>
      </c>
      <c r="M404" t="s">
        <v>31</v>
      </c>
      <c r="N404" t="s">
        <v>32</v>
      </c>
      <c r="O404">
        <v>10</v>
      </c>
      <c r="P404">
        <v>12</v>
      </c>
      <c r="Q404" t="s">
        <v>29</v>
      </c>
      <c r="R404" t="s">
        <v>61</v>
      </c>
      <c r="S404" s="3">
        <v>10.55</v>
      </c>
      <c r="T404" t="s">
        <v>52</v>
      </c>
      <c r="U404" t="s">
        <v>63</v>
      </c>
    </row>
    <row r="405" spans="1:21" ht="27.6">
      <c r="A405" t="s">
        <v>1386</v>
      </c>
      <c r="B405" t="s">
        <v>1387</v>
      </c>
      <c r="C405" t="s">
        <v>1388</v>
      </c>
      <c r="D405" s="2">
        <v>46099</v>
      </c>
      <c r="E405" t="s">
        <v>94</v>
      </c>
      <c r="F405" t="s">
        <v>57</v>
      </c>
      <c r="G405" s="3">
        <v>36.03</v>
      </c>
      <c r="H405" t="s">
        <v>41</v>
      </c>
      <c r="I405" t="s">
        <v>27</v>
      </c>
      <c r="J405" s="4" t="s">
        <v>155</v>
      </c>
      <c r="K405" t="s">
        <v>29</v>
      </c>
      <c r="L405" t="s">
        <v>60</v>
      </c>
      <c r="M405" t="s">
        <v>31</v>
      </c>
      <c r="N405" t="s">
        <v>32</v>
      </c>
      <c r="O405">
        <v>10</v>
      </c>
      <c r="P405">
        <v>8</v>
      </c>
      <c r="Q405" t="s">
        <v>33</v>
      </c>
      <c r="R405" t="s">
        <v>61</v>
      </c>
      <c r="S405" s="3">
        <v>27.02</v>
      </c>
      <c r="T405" t="s">
        <v>62</v>
      </c>
      <c r="U405" t="s">
        <v>63</v>
      </c>
    </row>
    <row r="406" spans="1:21" ht="27.6">
      <c r="A406" t="s">
        <v>1389</v>
      </c>
      <c r="B406" t="s">
        <v>1390</v>
      </c>
      <c r="C406" t="s">
        <v>1391</v>
      </c>
      <c r="D406" s="2">
        <v>46115</v>
      </c>
      <c r="E406" t="s">
        <v>47</v>
      </c>
      <c r="F406" t="s">
        <v>172</v>
      </c>
      <c r="G406" s="3">
        <v>171.38</v>
      </c>
      <c r="H406" t="s">
        <v>108</v>
      </c>
      <c r="I406" t="s">
        <v>67</v>
      </c>
      <c r="J406" s="4" t="s">
        <v>173</v>
      </c>
      <c r="K406" t="s">
        <v>33</v>
      </c>
      <c r="L406" t="s">
        <v>30</v>
      </c>
      <c r="M406" t="s">
        <v>31</v>
      </c>
      <c r="N406" t="s">
        <v>84</v>
      </c>
      <c r="O406">
        <v>7</v>
      </c>
      <c r="P406">
        <v>7</v>
      </c>
      <c r="Q406" t="s">
        <v>33</v>
      </c>
      <c r="R406" t="s">
        <v>174</v>
      </c>
      <c r="S406" s="3">
        <v>0</v>
      </c>
      <c r="T406" t="s">
        <v>286</v>
      </c>
      <c r="U406" t="s">
        <v>53</v>
      </c>
    </row>
    <row r="407" spans="1:21" ht="27.6">
      <c r="A407" t="s">
        <v>1392</v>
      </c>
      <c r="B407" t="s">
        <v>1393</v>
      </c>
      <c r="C407" t="s">
        <v>1394</v>
      </c>
      <c r="D407" s="2">
        <v>46057</v>
      </c>
      <c r="E407" t="s">
        <v>24</v>
      </c>
      <c r="F407" t="s">
        <v>25</v>
      </c>
      <c r="G407" s="3">
        <v>23.18</v>
      </c>
      <c r="H407" t="s">
        <v>41</v>
      </c>
      <c r="I407" t="s">
        <v>27</v>
      </c>
      <c r="J407" s="4" t="s">
        <v>1395</v>
      </c>
      <c r="K407" t="s">
        <v>33</v>
      </c>
      <c r="L407" t="s">
        <v>30</v>
      </c>
      <c r="M407" t="s">
        <v>31</v>
      </c>
      <c r="N407" t="s">
        <v>126</v>
      </c>
      <c r="O407">
        <v>5</v>
      </c>
      <c r="P407">
        <v>5</v>
      </c>
      <c r="Q407" t="s">
        <v>33</v>
      </c>
      <c r="R407" t="s">
        <v>34</v>
      </c>
      <c r="S407" s="3">
        <v>0</v>
      </c>
      <c r="T407" t="s">
        <v>35</v>
      </c>
      <c r="U407" t="s">
        <v>53</v>
      </c>
    </row>
    <row r="408" spans="1:21" ht="27.6">
      <c r="A408" t="s">
        <v>1396</v>
      </c>
      <c r="B408" t="s">
        <v>1397</v>
      </c>
      <c r="C408" t="s">
        <v>1398</v>
      </c>
      <c r="D408" s="2">
        <v>46065</v>
      </c>
      <c r="E408" t="s">
        <v>47</v>
      </c>
      <c r="F408" t="s">
        <v>73</v>
      </c>
      <c r="G408" s="3">
        <v>183.6</v>
      </c>
      <c r="H408" t="s">
        <v>41</v>
      </c>
      <c r="I408" t="s">
        <v>27</v>
      </c>
      <c r="J408" s="4" t="s">
        <v>75</v>
      </c>
      <c r="K408" t="s">
        <v>29</v>
      </c>
      <c r="L408" t="s">
        <v>60</v>
      </c>
      <c r="M408" t="s">
        <v>31</v>
      </c>
      <c r="N408" t="s">
        <v>84</v>
      </c>
      <c r="O408">
        <v>10</v>
      </c>
      <c r="P408">
        <v>14</v>
      </c>
      <c r="Q408" t="s">
        <v>29</v>
      </c>
      <c r="R408" t="s">
        <v>61</v>
      </c>
      <c r="S408" s="3">
        <v>0</v>
      </c>
      <c r="T408" t="s">
        <v>52</v>
      </c>
      <c r="U408" t="s">
        <v>63</v>
      </c>
    </row>
    <row r="409" spans="1:21" ht="27.6">
      <c r="A409" t="s">
        <v>1399</v>
      </c>
      <c r="B409" t="s">
        <v>1400</v>
      </c>
      <c r="C409" t="s">
        <v>1401</v>
      </c>
      <c r="D409" s="2">
        <v>46118</v>
      </c>
      <c r="E409" t="s">
        <v>40</v>
      </c>
      <c r="F409" t="s">
        <v>82</v>
      </c>
      <c r="G409" s="3">
        <v>17.670000000000002</v>
      </c>
      <c r="H409" t="s">
        <v>49</v>
      </c>
      <c r="I409" t="s">
        <v>27</v>
      </c>
      <c r="J409" s="4" t="s">
        <v>114</v>
      </c>
      <c r="K409" t="s">
        <v>33</v>
      </c>
      <c r="L409" t="s">
        <v>30</v>
      </c>
      <c r="M409" t="s">
        <v>31</v>
      </c>
      <c r="N409" t="s">
        <v>32</v>
      </c>
      <c r="O409">
        <v>7</v>
      </c>
      <c r="P409">
        <v>11</v>
      </c>
      <c r="Q409" t="s">
        <v>29</v>
      </c>
      <c r="R409" t="s">
        <v>85</v>
      </c>
      <c r="S409" s="3">
        <v>0</v>
      </c>
      <c r="T409" t="s">
        <v>62</v>
      </c>
      <c r="U409" t="s">
        <v>63</v>
      </c>
    </row>
    <row r="410" spans="1:21" ht="27.6">
      <c r="A410" t="s">
        <v>1402</v>
      </c>
      <c r="B410" t="s">
        <v>1403</v>
      </c>
      <c r="C410" t="s">
        <v>1404</v>
      </c>
      <c r="D410" s="2">
        <v>46042</v>
      </c>
      <c r="E410" t="s">
        <v>24</v>
      </c>
      <c r="F410" t="s">
        <v>25</v>
      </c>
      <c r="G410" s="3">
        <v>13.74</v>
      </c>
      <c r="H410" t="s">
        <v>58</v>
      </c>
      <c r="I410" t="s">
        <v>27</v>
      </c>
      <c r="J410" s="4" t="s">
        <v>1405</v>
      </c>
      <c r="K410" t="s">
        <v>33</v>
      </c>
      <c r="L410" t="s">
        <v>30</v>
      </c>
      <c r="M410" t="s">
        <v>31</v>
      </c>
      <c r="N410" t="s">
        <v>32</v>
      </c>
      <c r="O410">
        <v>5</v>
      </c>
      <c r="P410">
        <v>1</v>
      </c>
      <c r="Q410" t="s">
        <v>33</v>
      </c>
      <c r="R410" t="s">
        <v>34</v>
      </c>
      <c r="S410" s="3">
        <v>13.74</v>
      </c>
      <c r="T410" t="s">
        <v>35</v>
      </c>
      <c r="U410" t="s">
        <v>53</v>
      </c>
    </row>
    <row r="411" spans="1:21" ht="27.6">
      <c r="A411" t="s">
        <v>1406</v>
      </c>
      <c r="B411" t="s">
        <v>1407</v>
      </c>
      <c r="C411" t="s">
        <v>1408</v>
      </c>
      <c r="D411" s="2">
        <v>46059</v>
      </c>
      <c r="E411" t="s">
        <v>40</v>
      </c>
      <c r="F411" t="s">
        <v>118</v>
      </c>
      <c r="G411" s="3">
        <v>25.46</v>
      </c>
      <c r="H411" t="s">
        <v>26</v>
      </c>
      <c r="I411" t="s">
        <v>27</v>
      </c>
      <c r="J411" s="4" t="s">
        <v>1409</v>
      </c>
      <c r="K411" t="s">
        <v>33</v>
      </c>
      <c r="L411" t="s">
        <v>30</v>
      </c>
      <c r="M411" t="s">
        <v>31</v>
      </c>
      <c r="N411" t="s">
        <v>32</v>
      </c>
      <c r="O411">
        <v>5</v>
      </c>
      <c r="P411">
        <v>7</v>
      </c>
      <c r="Q411" t="s">
        <v>29</v>
      </c>
      <c r="R411" t="s">
        <v>85</v>
      </c>
      <c r="S411" s="3">
        <v>12.73</v>
      </c>
      <c r="T411" t="s">
        <v>121</v>
      </c>
      <c r="U411" t="s">
        <v>63</v>
      </c>
    </row>
    <row r="412" spans="1:21" ht="27.6">
      <c r="A412" t="s">
        <v>1410</v>
      </c>
      <c r="B412" t="s">
        <v>1411</v>
      </c>
      <c r="C412" t="s">
        <v>1412</v>
      </c>
      <c r="D412" s="2">
        <v>46038</v>
      </c>
      <c r="E412" t="s">
        <v>47</v>
      </c>
      <c r="F412" t="s">
        <v>73</v>
      </c>
      <c r="G412" s="3">
        <v>15.59</v>
      </c>
      <c r="H412" t="s">
        <v>26</v>
      </c>
      <c r="I412" t="s">
        <v>50</v>
      </c>
      <c r="J412" s="4" t="s">
        <v>75</v>
      </c>
      <c r="K412" t="s">
        <v>33</v>
      </c>
      <c r="L412" t="s">
        <v>60</v>
      </c>
      <c r="M412" t="s">
        <v>31</v>
      </c>
      <c r="N412" t="s">
        <v>32</v>
      </c>
      <c r="O412">
        <v>10</v>
      </c>
      <c r="P412">
        <v>15</v>
      </c>
      <c r="Q412" t="s">
        <v>29</v>
      </c>
      <c r="R412" t="s">
        <v>61</v>
      </c>
      <c r="S412" s="3">
        <v>7.79</v>
      </c>
      <c r="T412" t="s">
        <v>62</v>
      </c>
      <c r="U412" t="s">
        <v>63</v>
      </c>
    </row>
    <row r="413" spans="1:21" ht="27.6">
      <c r="A413" t="s">
        <v>1413</v>
      </c>
      <c r="B413" t="s">
        <v>1414</v>
      </c>
      <c r="C413" t="s">
        <v>1415</v>
      </c>
      <c r="D413" s="2">
        <v>46112</v>
      </c>
      <c r="E413" t="s">
        <v>24</v>
      </c>
      <c r="F413" t="s">
        <v>73</v>
      </c>
      <c r="G413" s="3">
        <v>116.5</v>
      </c>
      <c r="H413" t="s">
        <v>89</v>
      </c>
      <c r="I413" t="s">
        <v>50</v>
      </c>
      <c r="J413" s="4" t="s">
        <v>75</v>
      </c>
      <c r="K413" t="s">
        <v>29</v>
      </c>
      <c r="L413" t="s">
        <v>60</v>
      </c>
      <c r="M413" t="s">
        <v>31</v>
      </c>
      <c r="N413" t="s">
        <v>32</v>
      </c>
      <c r="O413">
        <v>10</v>
      </c>
      <c r="P413">
        <v>17</v>
      </c>
      <c r="Q413" t="s">
        <v>29</v>
      </c>
      <c r="R413" t="s">
        <v>61</v>
      </c>
      <c r="S413" s="3">
        <v>116.5</v>
      </c>
      <c r="T413" t="s">
        <v>62</v>
      </c>
      <c r="U413" t="s">
        <v>63</v>
      </c>
    </row>
    <row r="414" spans="1:21" ht="27.6">
      <c r="A414" t="s">
        <v>1416</v>
      </c>
      <c r="B414" t="s">
        <v>1417</v>
      </c>
      <c r="C414" t="s">
        <v>1418</v>
      </c>
      <c r="D414" s="2">
        <v>46160</v>
      </c>
      <c r="E414" t="s">
        <v>24</v>
      </c>
      <c r="F414" t="s">
        <v>103</v>
      </c>
      <c r="G414" s="3">
        <v>107.25</v>
      </c>
      <c r="H414" t="s">
        <v>58</v>
      </c>
      <c r="I414" t="s">
        <v>50</v>
      </c>
      <c r="J414" s="4" t="s">
        <v>104</v>
      </c>
      <c r="K414" t="s">
        <v>29</v>
      </c>
      <c r="L414" t="s">
        <v>30</v>
      </c>
      <c r="M414" t="s">
        <v>31</v>
      </c>
      <c r="N414" t="s">
        <v>32</v>
      </c>
      <c r="O414">
        <v>5</v>
      </c>
      <c r="P414">
        <v>7</v>
      </c>
      <c r="Q414" t="s">
        <v>29</v>
      </c>
      <c r="R414" t="s">
        <v>34</v>
      </c>
      <c r="S414" s="3">
        <v>53.62</v>
      </c>
      <c r="T414" t="s">
        <v>35</v>
      </c>
      <c r="U414" t="s">
        <v>63</v>
      </c>
    </row>
    <row r="415" spans="1:21" ht="27.6">
      <c r="A415" t="s">
        <v>1419</v>
      </c>
      <c r="B415" t="s">
        <v>1420</v>
      </c>
      <c r="C415" t="s">
        <v>1421</v>
      </c>
      <c r="D415" s="2">
        <v>46103</v>
      </c>
      <c r="E415" t="s">
        <v>24</v>
      </c>
      <c r="F415" t="s">
        <v>25</v>
      </c>
      <c r="G415" s="3">
        <v>79.37</v>
      </c>
      <c r="H415" t="s">
        <v>26</v>
      </c>
      <c r="I415" t="s">
        <v>27</v>
      </c>
      <c r="J415" s="4" t="s">
        <v>42</v>
      </c>
      <c r="K415" t="s">
        <v>29</v>
      </c>
      <c r="L415" t="s">
        <v>30</v>
      </c>
      <c r="M415" t="s">
        <v>31</v>
      </c>
      <c r="N415" t="s">
        <v>32</v>
      </c>
      <c r="O415">
        <v>5</v>
      </c>
      <c r="P415">
        <v>8</v>
      </c>
      <c r="Q415" t="s">
        <v>29</v>
      </c>
      <c r="R415" t="s">
        <v>34</v>
      </c>
      <c r="S415" s="3">
        <v>0</v>
      </c>
      <c r="T415" t="s">
        <v>43</v>
      </c>
      <c r="U415" t="s">
        <v>63</v>
      </c>
    </row>
    <row r="416" spans="1:21" ht="27.6">
      <c r="A416" t="s">
        <v>1422</v>
      </c>
      <c r="B416" t="s">
        <v>1423</v>
      </c>
      <c r="C416" t="s">
        <v>1424</v>
      </c>
      <c r="D416" s="2">
        <v>46164</v>
      </c>
      <c r="E416" t="s">
        <v>24</v>
      </c>
      <c r="F416" t="s">
        <v>48</v>
      </c>
      <c r="G416" s="3">
        <v>19.43</v>
      </c>
      <c r="H416" t="s">
        <v>49</v>
      </c>
      <c r="I416" t="s">
        <v>67</v>
      </c>
      <c r="J416" s="4" t="s">
        <v>51</v>
      </c>
      <c r="K416" t="s">
        <v>33</v>
      </c>
      <c r="L416" t="s">
        <v>30</v>
      </c>
      <c r="M416" t="s">
        <v>31</v>
      </c>
      <c r="N416" t="s">
        <v>32</v>
      </c>
      <c r="O416">
        <v>10</v>
      </c>
      <c r="P416">
        <v>13</v>
      </c>
      <c r="Q416" t="s">
        <v>29</v>
      </c>
      <c r="R416" t="s">
        <v>34</v>
      </c>
      <c r="S416" s="3">
        <v>14.57</v>
      </c>
      <c r="T416" t="s">
        <v>52</v>
      </c>
      <c r="U416" t="s">
        <v>63</v>
      </c>
    </row>
    <row r="417" spans="1:21" ht="27.6">
      <c r="A417" t="s">
        <v>1425</v>
      </c>
      <c r="B417" t="s">
        <v>1426</v>
      </c>
      <c r="C417" t="s">
        <v>1427</v>
      </c>
      <c r="D417" s="2">
        <v>46124</v>
      </c>
      <c r="E417" t="s">
        <v>24</v>
      </c>
      <c r="F417" t="s">
        <v>172</v>
      </c>
      <c r="G417" s="3">
        <v>115.32</v>
      </c>
      <c r="H417" t="s">
        <v>89</v>
      </c>
      <c r="I417" t="s">
        <v>67</v>
      </c>
      <c r="J417" s="4" t="s">
        <v>285</v>
      </c>
      <c r="K417" t="s">
        <v>33</v>
      </c>
      <c r="L417" t="s">
        <v>30</v>
      </c>
      <c r="M417" t="s">
        <v>31</v>
      </c>
      <c r="N417" t="s">
        <v>126</v>
      </c>
      <c r="O417">
        <v>7</v>
      </c>
      <c r="P417">
        <v>17</v>
      </c>
      <c r="Q417" t="s">
        <v>29</v>
      </c>
      <c r="R417" t="s">
        <v>174</v>
      </c>
      <c r="S417" s="3">
        <v>0</v>
      </c>
      <c r="T417" t="s">
        <v>69</v>
      </c>
      <c r="U417" t="s">
        <v>63</v>
      </c>
    </row>
    <row r="418" spans="1:21" ht="27.6">
      <c r="A418" t="s">
        <v>1428</v>
      </c>
      <c r="B418" t="s">
        <v>1429</v>
      </c>
      <c r="C418" t="s">
        <v>1430</v>
      </c>
      <c r="D418" s="2">
        <v>46171</v>
      </c>
      <c r="E418" t="s">
        <v>47</v>
      </c>
      <c r="F418" t="s">
        <v>57</v>
      </c>
      <c r="G418" s="3">
        <v>21.55</v>
      </c>
      <c r="H418" t="s">
        <v>108</v>
      </c>
      <c r="I418" t="s">
        <v>67</v>
      </c>
      <c r="J418" s="4" t="s">
        <v>59</v>
      </c>
      <c r="K418" t="s">
        <v>29</v>
      </c>
      <c r="L418" t="s">
        <v>60</v>
      </c>
      <c r="M418" t="s">
        <v>31</v>
      </c>
      <c r="N418" t="s">
        <v>32</v>
      </c>
      <c r="O418">
        <v>10</v>
      </c>
      <c r="P418">
        <v>11</v>
      </c>
      <c r="Q418" t="s">
        <v>29</v>
      </c>
      <c r="R418" t="s">
        <v>61</v>
      </c>
      <c r="S418" s="3">
        <v>21.55</v>
      </c>
      <c r="T418" t="s">
        <v>156</v>
      </c>
      <c r="U418" t="s">
        <v>63</v>
      </c>
    </row>
    <row r="419" spans="1:21" ht="27.6">
      <c r="A419" t="s">
        <v>1431</v>
      </c>
      <c r="B419" t="s">
        <v>1432</v>
      </c>
      <c r="C419" t="s">
        <v>1433</v>
      </c>
      <c r="D419" s="2">
        <v>46036</v>
      </c>
      <c r="E419" t="s">
        <v>40</v>
      </c>
      <c r="F419" t="s">
        <v>82</v>
      </c>
      <c r="G419" s="3">
        <v>50.73</v>
      </c>
      <c r="H419" t="s">
        <v>41</v>
      </c>
      <c r="I419" t="s">
        <v>50</v>
      </c>
      <c r="J419" s="4" t="s">
        <v>114</v>
      </c>
      <c r="K419" t="s">
        <v>29</v>
      </c>
      <c r="L419" t="s">
        <v>30</v>
      </c>
      <c r="M419" t="s">
        <v>31</v>
      </c>
      <c r="N419" t="s">
        <v>32</v>
      </c>
      <c r="O419">
        <v>7</v>
      </c>
      <c r="P419">
        <v>4</v>
      </c>
      <c r="Q419" t="s">
        <v>33</v>
      </c>
      <c r="R419" t="s">
        <v>85</v>
      </c>
      <c r="S419" s="3">
        <v>38.049999999999997</v>
      </c>
      <c r="T419" t="s">
        <v>43</v>
      </c>
      <c r="U419" t="s">
        <v>36</v>
      </c>
    </row>
    <row r="420" spans="1:21" ht="27.6">
      <c r="A420" t="s">
        <v>1434</v>
      </c>
      <c r="B420" t="s">
        <v>1435</v>
      </c>
      <c r="C420" t="s">
        <v>1436</v>
      </c>
      <c r="D420" s="2">
        <v>46150</v>
      </c>
      <c r="E420" t="s">
        <v>47</v>
      </c>
      <c r="F420" t="s">
        <v>118</v>
      </c>
      <c r="G420" s="3">
        <v>7.96</v>
      </c>
      <c r="H420" t="s">
        <v>89</v>
      </c>
      <c r="I420" t="s">
        <v>27</v>
      </c>
      <c r="J420" s="4" t="s">
        <v>119</v>
      </c>
      <c r="K420" t="s">
        <v>33</v>
      </c>
      <c r="L420" t="s">
        <v>30</v>
      </c>
      <c r="M420" t="s">
        <v>31</v>
      </c>
      <c r="N420" t="s">
        <v>32</v>
      </c>
      <c r="O420">
        <v>5</v>
      </c>
      <c r="P420">
        <v>15</v>
      </c>
      <c r="Q420" t="s">
        <v>29</v>
      </c>
      <c r="R420" t="s">
        <v>85</v>
      </c>
      <c r="S420" s="3">
        <v>5.97</v>
      </c>
      <c r="T420" t="s">
        <v>121</v>
      </c>
      <c r="U420" t="s">
        <v>63</v>
      </c>
    </row>
    <row r="421" spans="1:21" ht="27.6">
      <c r="A421" t="s">
        <v>1437</v>
      </c>
      <c r="B421" t="s">
        <v>1438</v>
      </c>
      <c r="C421" t="s">
        <v>1439</v>
      </c>
      <c r="D421" s="2">
        <v>46031</v>
      </c>
      <c r="E421" t="s">
        <v>24</v>
      </c>
      <c r="F421" t="s">
        <v>172</v>
      </c>
      <c r="G421" s="3">
        <v>17.11</v>
      </c>
      <c r="H421" t="s">
        <v>41</v>
      </c>
      <c r="I421" t="s">
        <v>50</v>
      </c>
      <c r="J421" s="4" t="s">
        <v>285</v>
      </c>
      <c r="K421" t="s">
        <v>29</v>
      </c>
      <c r="L421" t="s">
        <v>30</v>
      </c>
      <c r="M421" t="s">
        <v>31</v>
      </c>
      <c r="N421" t="s">
        <v>32</v>
      </c>
      <c r="O421">
        <v>7</v>
      </c>
      <c r="P421">
        <v>7</v>
      </c>
      <c r="Q421" t="s">
        <v>33</v>
      </c>
      <c r="R421" t="s">
        <v>174</v>
      </c>
      <c r="S421" s="3">
        <v>17.11</v>
      </c>
      <c r="T421" t="s">
        <v>69</v>
      </c>
      <c r="U421" t="s">
        <v>36</v>
      </c>
    </row>
    <row r="422" spans="1:21" ht="27.6">
      <c r="A422" t="s">
        <v>1440</v>
      </c>
      <c r="B422" t="s">
        <v>1441</v>
      </c>
      <c r="C422" t="s">
        <v>1442</v>
      </c>
      <c r="D422" s="2">
        <v>46037</v>
      </c>
      <c r="E422" t="s">
        <v>24</v>
      </c>
      <c r="F422" t="s">
        <v>82</v>
      </c>
      <c r="G422" s="3">
        <v>30.9</v>
      </c>
      <c r="H422" t="s">
        <v>26</v>
      </c>
      <c r="I422" t="s">
        <v>27</v>
      </c>
      <c r="J422" s="4" t="s">
        <v>1443</v>
      </c>
      <c r="K422" t="s">
        <v>29</v>
      </c>
      <c r="L422" t="s">
        <v>30</v>
      </c>
      <c r="M422" t="s">
        <v>31</v>
      </c>
      <c r="N422" t="s">
        <v>32</v>
      </c>
      <c r="O422">
        <v>7</v>
      </c>
      <c r="P422">
        <v>1</v>
      </c>
      <c r="Q422" t="s">
        <v>33</v>
      </c>
      <c r="R422" t="s">
        <v>85</v>
      </c>
      <c r="S422" s="3">
        <v>23.17</v>
      </c>
      <c r="T422" t="s">
        <v>62</v>
      </c>
      <c r="U422" t="s">
        <v>36</v>
      </c>
    </row>
    <row r="423" spans="1:21" ht="27.6">
      <c r="A423" t="s">
        <v>1444</v>
      </c>
      <c r="B423" t="s">
        <v>1445</v>
      </c>
      <c r="C423" t="s">
        <v>1446</v>
      </c>
      <c r="D423" s="2">
        <v>46037</v>
      </c>
      <c r="E423" t="s">
        <v>40</v>
      </c>
      <c r="F423" t="s">
        <v>118</v>
      </c>
      <c r="G423" s="3">
        <v>68.709999999999994</v>
      </c>
      <c r="H423" t="s">
        <v>58</v>
      </c>
      <c r="I423" t="s">
        <v>27</v>
      </c>
      <c r="J423" s="4" t="s">
        <v>119</v>
      </c>
      <c r="K423" t="s">
        <v>29</v>
      </c>
      <c r="L423" t="s">
        <v>120</v>
      </c>
      <c r="M423" t="s">
        <v>96</v>
      </c>
      <c r="N423" t="s">
        <v>32</v>
      </c>
      <c r="O423">
        <v>5</v>
      </c>
      <c r="P423">
        <v>1</v>
      </c>
      <c r="Q423" t="s">
        <v>33</v>
      </c>
      <c r="R423" t="s">
        <v>85</v>
      </c>
      <c r="S423" s="3">
        <v>68.709999999999994</v>
      </c>
      <c r="T423" t="s">
        <v>121</v>
      </c>
      <c r="U423" t="s">
        <v>53</v>
      </c>
    </row>
    <row r="424" spans="1:21" ht="27.6">
      <c r="A424" t="s">
        <v>1447</v>
      </c>
      <c r="B424" t="s">
        <v>1448</v>
      </c>
      <c r="C424" t="s">
        <v>1449</v>
      </c>
      <c r="D424" s="2">
        <v>46131</v>
      </c>
      <c r="E424" t="s">
        <v>47</v>
      </c>
      <c r="F424" t="s">
        <v>73</v>
      </c>
      <c r="G424" s="3">
        <v>13.21</v>
      </c>
      <c r="H424" t="s">
        <v>89</v>
      </c>
      <c r="I424" t="s">
        <v>27</v>
      </c>
      <c r="J424" s="4" t="s">
        <v>75</v>
      </c>
      <c r="K424" t="s">
        <v>29</v>
      </c>
      <c r="L424" t="s">
        <v>60</v>
      </c>
      <c r="M424" t="s">
        <v>31</v>
      </c>
      <c r="N424" t="s">
        <v>84</v>
      </c>
      <c r="O424">
        <v>10</v>
      </c>
      <c r="P424">
        <v>7</v>
      </c>
      <c r="Q424" t="s">
        <v>33</v>
      </c>
      <c r="R424" t="s">
        <v>61</v>
      </c>
      <c r="S424" s="3">
        <v>0</v>
      </c>
      <c r="T424" t="s">
        <v>62</v>
      </c>
      <c r="U424" t="s">
        <v>63</v>
      </c>
    </row>
    <row r="425" spans="1:21" ht="27.6">
      <c r="A425" t="s">
        <v>1450</v>
      </c>
      <c r="B425" t="s">
        <v>1451</v>
      </c>
      <c r="C425" t="s">
        <v>1452</v>
      </c>
      <c r="D425" s="2">
        <v>46151</v>
      </c>
      <c r="E425" t="s">
        <v>40</v>
      </c>
      <c r="F425" t="s">
        <v>172</v>
      </c>
      <c r="G425" s="3">
        <v>20.21</v>
      </c>
      <c r="H425" t="s">
        <v>108</v>
      </c>
      <c r="I425" t="s">
        <v>27</v>
      </c>
      <c r="J425" s="4" t="s">
        <v>173</v>
      </c>
      <c r="K425" t="s">
        <v>33</v>
      </c>
      <c r="L425" t="s">
        <v>30</v>
      </c>
      <c r="M425" t="s">
        <v>31</v>
      </c>
      <c r="N425" t="s">
        <v>126</v>
      </c>
      <c r="O425">
        <v>7</v>
      </c>
      <c r="P425">
        <v>10</v>
      </c>
      <c r="Q425" t="s">
        <v>29</v>
      </c>
      <c r="R425" t="s">
        <v>174</v>
      </c>
      <c r="S425" s="3">
        <v>0</v>
      </c>
      <c r="T425" t="s">
        <v>69</v>
      </c>
      <c r="U425" t="s">
        <v>63</v>
      </c>
    </row>
    <row r="426" spans="1:21" ht="27.6">
      <c r="A426" t="s">
        <v>1453</v>
      </c>
      <c r="B426" t="s">
        <v>1454</v>
      </c>
      <c r="C426" t="s">
        <v>1455</v>
      </c>
      <c r="D426" s="2">
        <v>46035</v>
      </c>
      <c r="E426" t="s">
        <v>24</v>
      </c>
      <c r="F426" t="s">
        <v>172</v>
      </c>
      <c r="G426" s="3">
        <v>132.04</v>
      </c>
      <c r="H426" t="s">
        <v>26</v>
      </c>
      <c r="I426" t="s">
        <v>50</v>
      </c>
      <c r="J426" s="4" t="s">
        <v>173</v>
      </c>
      <c r="K426" t="s">
        <v>29</v>
      </c>
      <c r="L426" t="s">
        <v>30</v>
      </c>
      <c r="M426" t="s">
        <v>31</v>
      </c>
      <c r="N426" t="s">
        <v>90</v>
      </c>
      <c r="O426">
        <v>7</v>
      </c>
      <c r="P426">
        <v>7</v>
      </c>
      <c r="Q426" t="s">
        <v>33</v>
      </c>
      <c r="R426" t="s">
        <v>174</v>
      </c>
      <c r="S426" s="3">
        <v>0</v>
      </c>
      <c r="T426" t="s">
        <v>110</v>
      </c>
      <c r="U426" t="s">
        <v>36</v>
      </c>
    </row>
    <row r="427" spans="1:21" ht="27.6">
      <c r="A427" t="s">
        <v>1456</v>
      </c>
      <c r="B427" t="s">
        <v>1457</v>
      </c>
      <c r="C427" t="s">
        <v>1458</v>
      </c>
      <c r="D427" s="2">
        <v>46042</v>
      </c>
      <c r="E427" t="s">
        <v>40</v>
      </c>
      <c r="F427" t="s">
        <v>118</v>
      </c>
      <c r="G427" s="3">
        <v>88.41</v>
      </c>
      <c r="H427" t="s">
        <v>89</v>
      </c>
      <c r="I427" t="s">
        <v>27</v>
      </c>
      <c r="J427" s="4" t="s">
        <v>1459</v>
      </c>
      <c r="K427" t="s">
        <v>29</v>
      </c>
      <c r="L427" t="s">
        <v>120</v>
      </c>
      <c r="M427" t="s">
        <v>96</v>
      </c>
      <c r="N427" t="s">
        <v>32</v>
      </c>
      <c r="O427">
        <v>5</v>
      </c>
      <c r="P427">
        <v>3</v>
      </c>
      <c r="Q427" t="s">
        <v>33</v>
      </c>
      <c r="R427" t="s">
        <v>85</v>
      </c>
      <c r="S427" s="3">
        <v>88.41</v>
      </c>
      <c r="T427" t="s">
        <v>121</v>
      </c>
      <c r="U427" t="s">
        <v>36</v>
      </c>
    </row>
    <row r="428" spans="1:21" ht="27.6">
      <c r="A428" t="s">
        <v>1460</v>
      </c>
      <c r="B428" t="s">
        <v>1461</v>
      </c>
      <c r="C428" t="s">
        <v>1462</v>
      </c>
      <c r="D428" s="2">
        <v>46155</v>
      </c>
      <c r="E428" t="s">
        <v>94</v>
      </c>
      <c r="F428" t="s">
        <v>172</v>
      </c>
      <c r="G428" s="3">
        <v>78.489999999999995</v>
      </c>
      <c r="H428" t="s">
        <v>58</v>
      </c>
      <c r="I428" t="s">
        <v>50</v>
      </c>
      <c r="J428" s="4" t="s">
        <v>173</v>
      </c>
      <c r="K428" t="s">
        <v>29</v>
      </c>
      <c r="L428" t="s">
        <v>30</v>
      </c>
      <c r="M428" t="s">
        <v>31</v>
      </c>
      <c r="N428" t="s">
        <v>32</v>
      </c>
      <c r="O428">
        <v>7</v>
      </c>
      <c r="P428">
        <v>12</v>
      </c>
      <c r="Q428" t="s">
        <v>29</v>
      </c>
      <c r="R428" t="s">
        <v>174</v>
      </c>
      <c r="S428" s="3">
        <v>58.87</v>
      </c>
      <c r="T428" t="s">
        <v>286</v>
      </c>
      <c r="U428" t="s">
        <v>63</v>
      </c>
    </row>
    <row r="429" spans="1:21" ht="27.6">
      <c r="A429" t="s">
        <v>1463</v>
      </c>
      <c r="B429" t="s">
        <v>1464</v>
      </c>
      <c r="C429" t="s">
        <v>1465</v>
      </c>
      <c r="D429" s="2">
        <v>46099</v>
      </c>
      <c r="E429" t="s">
        <v>94</v>
      </c>
      <c r="F429" t="s">
        <v>82</v>
      </c>
      <c r="G429" s="3">
        <v>143.72</v>
      </c>
      <c r="H429" t="s">
        <v>41</v>
      </c>
      <c r="I429" t="s">
        <v>67</v>
      </c>
      <c r="J429" s="4" t="s">
        <v>114</v>
      </c>
      <c r="K429" t="s">
        <v>29</v>
      </c>
      <c r="L429" t="s">
        <v>30</v>
      </c>
      <c r="M429" t="s">
        <v>31</v>
      </c>
      <c r="N429" t="s">
        <v>32</v>
      </c>
      <c r="O429">
        <v>7</v>
      </c>
      <c r="P429">
        <v>4</v>
      </c>
      <c r="Q429" t="s">
        <v>33</v>
      </c>
      <c r="R429" t="s">
        <v>85</v>
      </c>
      <c r="S429" s="3">
        <v>71.86</v>
      </c>
      <c r="T429" t="s">
        <v>69</v>
      </c>
      <c r="U429" t="s">
        <v>53</v>
      </c>
    </row>
    <row r="430" spans="1:21" ht="27.6">
      <c r="A430" t="s">
        <v>1466</v>
      </c>
      <c r="B430" t="s">
        <v>566</v>
      </c>
      <c r="C430" t="s">
        <v>1467</v>
      </c>
      <c r="D430" s="2">
        <v>46085</v>
      </c>
      <c r="E430" t="s">
        <v>40</v>
      </c>
      <c r="F430" t="s">
        <v>118</v>
      </c>
      <c r="G430" s="3">
        <v>5</v>
      </c>
      <c r="H430" t="s">
        <v>108</v>
      </c>
      <c r="I430" t="s">
        <v>50</v>
      </c>
      <c r="J430" s="4" t="s">
        <v>1468</v>
      </c>
      <c r="K430" t="s">
        <v>29</v>
      </c>
      <c r="L430" t="s">
        <v>120</v>
      </c>
      <c r="M430" t="s">
        <v>96</v>
      </c>
      <c r="N430" t="s">
        <v>32</v>
      </c>
      <c r="O430">
        <v>5</v>
      </c>
      <c r="P430">
        <v>3</v>
      </c>
      <c r="Q430" t="s">
        <v>33</v>
      </c>
      <c r="R430" t="s">
        <v>85</v>
      </c>
      <c r="S430" s="3">
        <v>5</v>
      </c>
      <c r="T430" t="s">
        <v>121</v>
      </c>
      <c r="U430" t="s">
        <v>36</v>
      </c>
    </row>
    <row r="431" spans="1:21" ht="27.6">
      <c r="A431" t="s">
        <v>1469</v>
      </c>
      <c r="B431" t="s">
        <v>1470</v>
      </c>
      <c r="C431" t="s">
        <v>1471</v>
      </c>
      <c r="D431" s="2">
        <v>46147</v>
      </c>
      <c r="E431" t="s">
        <v>40</v>
      </c>
      <c r="F431" t="s">
        <v>25</v>
      </c>
      <c r="G431" s="3">
        <v>93.95</v>
      </c>
      <c r="H431" t="s">
        <v>41</v>
      </c>
      <c r="I431" t="s">
        <v>67</v>
      </c>
      <c r="J431" s="4" t="s">
        <v>1472</v>
      </c>
      <c r="K431" t="s">
        <v>33</v>
      </c>
      <c r="L431" t="s">
        <v>30</v>
      </c>
      <c r="M431" t="s">
        <v>31</v>
      </c>
      <c r="N431" t="s">
        <v>126</v>
      </c>
      <c r="O431">
        <v>5</v>
      </c>
      <c r="P431">
        <v>10</v>
      </c>
      <c r="Q431" t="s">
        <v>29</v>
      </c>
      <c r="R431" t="s">
        <v>34</v>
      </c>
      <c r="S431" s="3">
        <v>0</v>
      </c>
      <c r="T431" t="s">
        <v>43</v>
      </c>
      <c r="U431" t="s">
        <v>63</v>
      </c>
    </row>
    <row r="432" spans="1:21" ht="27.6">
      <c r="A432" t="s">
        <v>1473</v>
      </c>
      <c r="B432" t="s">
        <v>1474</v>
      </c>
      <c r="C432" t="s">
        <v>1475</v>
      </c>
      <c r="D432" s="2">
        <v>46058</v>
      </c>
      <c r="E432" t="s">
        <v>24</v>
      </c>
      <c r="F432" t="s">
        <v>172</v>
      </c>
      <c r="G432" s="3">
        <v>40.46</v>
      </c>
      <c r="H432" t="s">
        <v>58</v>
      </c>
      <c r="I432" t="s">
        <v>67</v>
      </c>
      <c r="J432" s="4" t="s">
        <v>285</v>
      </c>
      <c r="K432" t="s">
        <v>33</v>
      </c>
      <c r="L432" t="s">
        <v>30</v>
      </c>
      <c r="M432" t="s">
        <v>31</v>
      </c>
      <c r="N432" t="s">
        <v>32</v>
      </c>
      <c r="O432">
        <v>7</v>
      </c>
      <c r="P432">
        <v>10</v>
      </c>
      <c r="Q432" t="s">
        <v>29</v>
      </c>
      <c r="R432" t="s">
        <v>174</v>
      </c>
      <c r="S432" s="3">
        <v>30.34</v>
      </c>
      <c r="T432" t="s">
        <v>110</v>
      </c>
      <c r="U432" t="s">
        <v>63</v>
      </c>
    </row>
    <row r="433" spans="1:21" ht="27.6">
      <c r="A433" t="s">
        <v>1476</v>
      </c>
      <c r="B433" t="s">
        <v>1477</v>
      </c>
      <c r="C433" t="s">
        <v>1478</v>
      </c>
      <c r="D433" s="2">
        <v>46083</v>
      </c>
      <c r="E433" t="s">
        <v>94</v>
      </c>
      <c r="F433" t="s">
        <v>118</v>
      </c>
      <c r="G433" s="3">
        <v>19.5</v>
      </c>
      <c r="H433" t="s">
        <v>41</v>
      </c>
      <c r="I433" t="s">
        <v>27</v>
      </c>
      <c r="J433" s="4" t="s">
        <v>119</v>
      </c>
      <c r="K433" t="s">
        <v>29</v>
      </c>
      <c r="L433" t="s">
        <v>120</v>
      </c>
      <c r="M433" t="s">
        <v>96</v>
      </c>
      <c r="N433" t="s">
        <v>32</v>
      </c>
      <c r="O433">
        <v>5</v>
      </c>
      <c r="P433">
        <v>9</v>
      </c>
      <c r="Q433" t="s">
        <v>29</v>
      </c>
      <c r="R433" t="s">
        <v>85</v>
      </c>
      <c r="S433" s="3">
        <v>19.5</v>
      </c>
      <c r="T433" t="s">
        <v>121</v>
      </c>
      <c r="U433" t="s">
        <v>63</v>
      </c>
    </row>
    <row r="434" spans="1:21" ht="27.6">
      <c r="A434" t="s">
        <v>1479</v>
      </c>
      <c r="B434" t="s">
        <v>1480</v>
      </c>
      <c r="C434" t="s">
        <v>1481</v>
      </c>
      <c r="D434" s="2">
        <v>46051</v>
      </c>
      <c r="E434" t="s">
        <v>24</v>
      </c>
      <c r="F434" t="s">
        <v>82</v>
      </c>
      <c r="G434" s="3">
        <v>20.03</v>
      </c>
      <c r="H434" t="s">
        <v>49</v>
      </c>
      <c r="I434" t="s">
        <v>27</v>
      </c>
      <c r="J434" s="4" t="s">
        <v>114</v>
      </c>
      <c r="K434" t="s">
        <v>29</v>
      </c>
      <c r="L434" t="s">
        <v>30</v>
      </c>
      <c r="M434" t="s">
        <v>31</v>
      </c>
      <c r="N434" t="s">
        <v>84</v>
      </c>
      <c r="O434">
        <v>7</v>
      </c>
      <c r="P434">
        <v>10</v>
      </c>
      <c r="Q434" t="s">
        <v>29</v>
      </c>
      <c r="R434" t="s">
        <v>85</v>
      </c>
      <c r="S434" s="3">
        <v>0</v>
      </c>
      <c r="T434" t="s">
        <v>62</v>
      </c>
      <c r="U434" t="s">
        <v>63</v>
      </c>
    </row>
    <row r="435" spans="1:21" ht="27.6">
      <c r="A435" t="s">
        <v>1482</v>
      </c>
      <c r="B435" t="s">
        <v>1483</v>
      </c>
      <c r="C435" t="s">
        <v>1484</v>
      </c>
      <c r="D435" s="2">
        <v>46121</v>
      </c>
      <c r="E435" t="s">
        <v>24</v>
      </c>
      <c r="F435" t="s">
        <v>48</v>
      </c>
      <c r="G435" s="3">
        <v>13.94</v>
      </c>
      <c r="H435" t="s">
        <v>26</v>
      </c>
      <c r="I435" t="s">
        <v>50</v>
      </c>
      <c r="J435" s="4" t="s">
        <v>68</v>
      </c>
      <c r="K435" t="s">
        <v>29</v>
      </c>
      <c r="L435" t="s">
        <v>30</v>
      </c>
      <c r="M435" t="s">
        <v>31</v>
      </c>
      <c r="N435" t="s">
        <v>32</v>
      </c>
      <c r="O435">
        <v>10</v>
      </c>
      <c r="P435">
        <v>7</v>
      </c>
      <c r="Q435" t="s">
        <v>33</v>
      </c>
      <c r="R435" t="s">
        <v>34</v>
      </c>
      <c r="S435" s="3">
        <v>0</v>
      </c>
      <c r="T435" t="s">
        <v>52</v>
      </c>
      <c r="U435" t="s">
        <v>36</v>
      </c>
    </row>
    <row r="436" spans="1:21" ht="27.6">
      <c r="A436" t="s">
        <v>1485</v>
      </c>
      <c r="B436" t="s">
        <v>1486</v>
      </c>
      <c r="C436" t="s">
        <v>1487</v>
      </c>
      <c r="D436" s="2">
        <v>46083</v>
      </c>
      <c r="E436" t="s">
        <v>24</v>
      </c>
      <c r="F436" t="s">
        <v>73</v>
      </c>
      <c r="G436" s="3">
        <v>16.73</v>
      </c>
      <c r="H436" t="s">
        <v>41</v>
      </c>
      <c r="I436" t="s">
        <v>67</v>
      </c>
      <c r="J436" s="4" t="s">
        <v>389</v>
      </c>
      <c r="K436" t="s">
        <v>33</v>
      </c>
      <c r="L436" t="s">
        <v>60</v>
      </c>
      <c r="M436" t="s">
        <v>31</v>
      </c>
      <c r="N436" t="s">
        <v>32</v>
      </c>
      <c r="O436">
        <v>10</v>
      </c>
      <c r="P436">
        <v>14</v>
      </c>
      <c r="Q436" t="s">
        <v>29</v>
      </c>
      <c r="R436" t="s">
        <v>61</v>
      </c>
      <c r="S436" s="3">
        <v>0</v>
      </c>
      <c r="T436" t="s">
        <v>52</v>
      </c>
      <c r="U436" t="s">
        <v>63</v>
      </c>
    </row>
    <row r="437" spans="1:21" ht="27.6">
      <c r="A437" t="s">
        <v>1488</v>
      </c>
      <c r="B437" t="s">
        <v>1489</v>
      </c>
      <c r="C437" t="s">
        <v>1490</v>
      </c>
      <c r="D437" s="2">
        <v>46131</v>
      </c>
      <c r="E437" t="s">
        <v>94</v>
      </c>
      <c r="F437" t="s">
        <v>57</v>
      </c>
      <c r="G437" s="3">
        <v>194.2</v>
      </c>
      <c r="H437" t="s">
        <v>89</v>
      </c>
      <c r="I437" t="s">
        <v>27</v>
      </c>
      <c r="J437" s="4" t="s">
        <v>155</v>
      </c>
      <c r="K437" t="s">
        <v>33</v>
      </c>
      <c r="L437" t="s">
        <v>60</v>
      </c>
      <c r="M437" t="s">
        <v>31</v>
      </c>
      <c r="N437" t="s">
        <v>126</v>
      </c>
      <c r="O437">
        <v>10</v>
      </c>
      <c r="P437">
        <v>8</v>
      </c>
      <c r="Q437" t="s">
        <v>33</v>
      </c>
      <c r="R437" t="s">
        <v>61</v>
      </c>
      <c r="S437" s="3">
        <v>0</v>
      </c>
      <c r="T437" t="s">
        <v>62</v>
      </c>
      <c r="U437" t="s">
        <v>63</v>
      </c>
    </row>
    <row r="438" spans="1:21" ht="27.6">
      <c r="A438" t="s">
        <v>1491</v>
      </c>
      <c r="B438" t="s">
        <v>1492</v>
      </c>
      <c r="C438" t="s">
        <v>1493</v>
      </c>
      <c r="D438" s="2">
        <v>46030</v>
      </c>
      <c r="E438" t="s">
        <v>40</v>
      </c>
      <c r="F438" t="s">
        <v>172</v>
      </c>
      <c r="G438" s="3">
        <v>17.66</v>
      </c>
      <c r="H438" t="s">
        <v>58</v>
      </c>
      <c r="I438" t="s">
        <v>27</v>
      </c>
      <c r="J438" s="4" t="s">
        <v>285</v>
      </c>
      <c r="K438" t="s">
        <v>29</v>
      </c>
      <c r="L438" t="s">
        <v>30</v>
      </c>
      <c r="M438" t="s">
        <v>31</v>
      </c>
      <c r="N438" t="s">
        <v>32</v>
      </c>
      <c r="O438">
        <v>7</v>
      </c>
      <c r="P438">
        <v>6</v>
      </c>
      <c r="Q438" t="s">
        <v>33</v>
      </c>
      <c r="R438" t="s">
        <v>174</v>
      </c>
      <c r="S438" s="3">
        <v>17.66</v>
      </c>
      <c r="T438" t="s">
        <v>110</v>
      </c>
      <c r="U438" t="s">
        <v>53</v>
      </c>
    </row>
    <row r="439" spans="1:21" ht="27.6">
      <c r="A439" t="s">
        <v>1494</v>
      </c>
      <c r="B439" t="s">
        <v>1495</v>
      </c>
      <c r="C439" t="s">
        <v>1496</v>
      </c>
      <c r="D439" s="2">
        <v>46145</v>
      </c>
      <c r="E439" t="s">
        <v>94</v>
      </c>
      <c r="F439" t="s">
        <v>25</v>
      </c>
      <c r="G439" s="3">
        <v>12.55</v>
      </c>
      <c r="H439" t="s">
        <v>41</v>
      </c>
      <c r="I439" t="s">
        <v>67</v>
      </c>
      <c r="J439" s="4" t="s">
        <v>1497</v>
      </c>
      <c r="K439" t="s">
        <v>29</v>
      </c>
      <c r="L439" t="s">
        <v>30</v>
      </c>
      <c r="M439" t="s">
        <v>31</v>
      </c>
      <c r="N439" t="s">
        <v>32</v>
      </c>
      <c r="O439">
        <v>5</v>
      </c>
      <c r="P439">
        <v>9</v>
      </c>
      <c r="Q439" t="s">
        <v>29</v>
      </c>
      <c r="R439" t="s">
        <v>34</v>
      </c>
      <c r="S439" s="3">
        <v>9.41</v>
      </c>
      <c r="T439" t="s">
        <v>43</v>
      </c>
      <c r="U439" t="s">
        <v>63</v>
      </c>
    </row>
    <row r="440" spans="1:21" ht="27.6">
      <c r="A440" t="s">
        <v>1498</v>
      </c>
      <c r="B440" t="s">
        <v>1499</v>
      </c>
      <c r="C440" t="s">
        <v>1500</v>
      </c>
      <c r="D440" s="2">
        <v>46165</v>
      </c>
      <c r="E440" t="s">
        <v>40</v>
      </c>
      <c r="F440" t="s">
        <v>172</v>
      </c>
      <c r="G440" s="3">
        <v>9.27</v>
      </c>
      <c r="H440" t="s">
        <v>74</v>
      </c>
      <c r="I440" t="s">
        <v>27</v>
      </c>
      <c r="J440" s="4" t="s">
        <v>173</v>
      </c>
      <c r="K440" t="s">
        <v>29</v>
      </c>
      <c r="L440" t="s">
        <v>30</v>
      </c>
      <c r="M440" t="s">
        <v>31</v>
      </c>
      <c r="N440" t="s">
        <v>32</v>
      </c>
      <c r="O440">
        <v>7</v>
      </c>
      <c r="P440">
        <v>7</v>
      </c>
      <c r="Q440" t="s">
        <v>33</v>
      </c>
      <c r="R440" t="s">
        <v>174</v>
      </c>
      <c r="S440" s="3">
        <v>0</v>
      </c>
      <c r="T440" t="s">
        <v>110</v>
      </c>
      <c r="U440" t="s">
        <v>53</v>
      </c>
    </row>
    <row r="441" spans="1:21" ht="27.6">
      <c r="A441" t="s">
        <v>1501</v>
      </c>
      <c r="B441" t="s">
        <v>1502</v>
      </c>
      <c r="C441" t="s">
        <v>1503</v>
      </c>
      <c r="D441" s="2">
        <v>46139</v>
      </c>
      <c r="E441" t="s">
        <v>40</v>
      </c>
      <c r="F441" t="s">
        <v>82</v>
      </c>
      <c r="G441" s="3">
        <v>24.43</v>
      </c>
      <c r="H441" t="s">
        <v>49</v>
      </c>
      <c r="I441" t="s">
        <v>67</v>
      </c>
      <c r="J441" s="4" t="s">
        <v>1504</v>
      </c>
      <c r="K441" t="s">
        <v>29</v>
      </c>
      <c r="L441" t="s">
        <v>30</v>
      </c>
      <c r="M441" t="s">
        <v>31</v>
      </c>
      <c r="N441" t="s">
        <v>32</v>
      </c>
      <c r="O441">
        <v>7</v>
      </c>
      <c r="P441">
        <v>7</v>
      </c>
      <c r="Q441" t="s">
        <v>33</v>
      </c>
      <c r="R441" t="s">
        <v>85</v>
      </c>
      <c r="S441" s="3">
        <v>12.21</v>
      </c>
      <c r="T441" t="s">
        <v>62</v>
      </c>
      <c r="U441" t="s">
        <v>53</v>
      </c>
    </row>
    <row r="442" spans="1:21" ht="27.6">
      <c r="A442" t="s">
        <v>1505</v>
      </c>
      <c r="B442" t="s">
        <v>1506</v>
      </c>
      <c r="C442" t="s">
        <v>1507</v>
      </c>
      <c r="D442" s="2">
        <v>46069</v>
      </c>
      <c r="E442" t="s">
        <v>24</v>
      </c>
      <c r="F442" t="s">
        <v>25</v>
      </c>
      <c r="G442" s="3">
        <v>26.72</v>
      </c>
      <c r="H442" t="s">
        <v>89</v>
      </c>
      <c r="I442" t="s">
        <v>27</v>
      </c>
      <c r="J442" s="4" t="s">
        <v>1508</v>
      </c>
      <c r="K442" t="s">
        <v>29</v>
      </c>
      <c r="L442" t="s">
        <v>30</v>
      </c>
      <c r="M442" t="s">
        <v>31</v>
      </c>
      <c r="N442" t="s">
        <v>32</v>
      </c>
      <c r="O442">
        <v>5</v>
      </c>
      <c r="P442">
        <v>4</v>
      </c>
      <c r="Q442" t="s">
        <v>33</v>
      </c>
      <c r="R442" t="s">
        <v>34</v>
      </c>
      <c r="S442" s="3">
        <v>20.04</v>
      </c>
      <c r="T442" t="s">
        <v>35</v>
      </c>
      <c r="U442" t="s">
        <v>36</v>
      </c>
    </row>
    <row r="443" spans="1:21" ht="27.6">
      <c r="A443" t="s">
        <v>1509</v>
      </c>
      <c r="B443" t="s">
        <v>1510</v>
      </c>
      <c r="C443" t="s">
        <v>1511</v>
      </c>
      <c r="D443" s="2">
        <v>46131</v>
      </c>
      <c r="E443" t="s">
        <v>40</v>
      </c>
      <c r="F443" t="s">
        <v>118</v>
      </c>
      <c r="G443" s="3">
        <v>29.41</v>
      </c>
      <c r="H443" t="s">
        <v>41</v>
      </c>
      <c r="I443" t="s">
        <v>67</v>
      </c>
      <c r="J443" s="4" t="s">
        <v>1512</v>
      </c>
      <c r="K443" t="s">
        <v>33</v>
      </c>
      <c r="L443" t="s">
        <v>30</v>
      </c>
      <c r="M443" t="s">
        <v>31</v>
      </c>
      <c r="N443" t="s">
        <v>126</v>
      </c>
      <c r="O443">
        <v>5</v>
      </c>
      <c r="P443">
        <v>5</v>
      </c>
      <c r="Q443" t="s">
        <v>33</v>
      </c>
      <c r="R443" t="s">
        <v>85</v>
      </c>
      <c r="S443" s="3">
        <v>0</v>
      </c>
      <c r="T443" t="s">
        <v>121</v>
      </c>
      <c r="U443" t="s">
        <v>53</v>
      </c>
    </row>
    <row r="444" spans="1:21" ht="27.6">
      <c r="A444" t="s">
        <v>1513</v>
      </c>
      <c r="B444" t="s">
        <v>1514</v>
      </c>
      <c r="C444" t="s">
        <v>1515</v>
      </c>
      <c r="D444" s="2">
        <v>46120</v>
      </c>
      <c r="E444" t="s">
        <v>24</v>
      </c>
      <c r="F444" t="s">
        <v>82</v>
      </c>
      <c r="G444" s="3">
        <v>49.75</v>
      </c>
      <c r="H444" t="s">
        <v>41</v>
      </c>
      <c r="I444" t="s">
        <v>27</v>
      </c>
      <c r="J444" s="4" t="s">
        <v>114</v>
      </c>
      <c r="K444" t="s">
        <v>29</v>
      </c>
      <c r="L444" t="s">
        <v>30</v>
      </c>
      <c r="M444" t="s">
        <v>31</v>
      </c>
      <c r="N444" t="s">
        <v>32</v>
      </c>
      <c r="O444">
        <v>7</v>
      </c>
      <c r="P444">
        <v>7</v>
      </c>
      <c r="Q444" t="s">
        <v>33</v>
      </c>
      <c r="R444" t="s">
        <v>85</v>
      </c>
      <c r="S444" s="3">
        <v>24.88</v>
      </c>
      <c r="T444" t="s">
        <v>69</v>
      </c>
      <c r="U444" t="s">
        <v>36</v>
      </c>
    </row>
    <row r="445" spans="1:21" ht="27.6">
      <c r="A445" t="s">
        <v>1516</v>
      </c>
      <c r="B445" t="s">
        <v>1517</v>
      </c>
      <c r="C445" t="s">
        <v>1518</v>
      </c>
      <c r="D445" s="2">
        <v>46055</v>
      </c>
      <c r="E445" t="s">
        <v>47</v>
      </c>
      <c r="F445" t="s">
        <v>48</v>
      </c>
      <c r="G445" s="3">
        <v>24.55</v>
      </c>
      <c r="H445" t="s">
        <v>108</v>
      </c>
      <c r="I445" t="s">
        <v>27</v>
      </c>
      <c r="J445" s="4" t="s">
        <v>68</v>
      </c>
      <c r="K445" t="s">
        <v>33</v>
      </c>
      <c r="L445" t="s">
        <v>30</v>
      </c>
      <c r="M445" t="s">
        <v>31</v>
      </c>
      <c r="N445" t="s">
        <v>90</v>
      </c>
      <c r="O445">
        <v>10</v>
      </c>
      <c r="P445">
        <v>7</v>
      </c>
      <c r="Q445" t="s">
        <v>33</v>
      </c>
      <c r="R445" t="s">
        <v>34</v>
      </c>
      <c r="S445" s="3">
        <v>0</v>
      </c>
      <c r="T445" t="s">
        <v>62</v>
      </c>
      <c r="U445" t="s">
        <v>36</v>
      </c>
    </row>
    <row r="446" spans="1:21" ht="27.6">
      <c r="A446" t="s">
        <v>1519</v>
      </c>
      <c r="B446" t="s">
        <v>1520</v>
      </c>
      <c r="C446" t="s">
        <v>1521</v>
      </c>
      <c r="D446" s="2">
        <v>46148</v>
      </c>
      <c r="E446" t="s">
        <v>40</v>
      </c>
      <c r="F446" t="s">
        <v>25</v>
      </c>
      <c r="G446" s="3">
        <v>181.76</v>
      </c>
      <c r="H446" t="s">
        <v>49</v>
      </c>
      <c r="I446" t="s">
        <v>27</v>
      </c>
      <c r="J446" s="4" t="s">
        <v>42</v>
      </c>
      <c r="K446" t="s">
        <v>29</v>
      </c>
      <c r="L446" t="s">
        <v>30</v>
      </c>
      <c r="M446" t="s">
        <v>31</v>
      </c>
      <c r="N446" t="s">
        <v>32</v>
      </c>
      <c r="O446">
        <v>5</v>
      </c>
      <c r="P446">
        <v>6</v>
      </c>
      <c r="Q446" t="s">
        <v>29</v>
      </c>
      <c r="R446" t="s">
        <v>34</v>
      </c>
      <c r="S446" s="3">
        <v>0</v>
      </c>
      <c r="T446" t="s">
        <v>110</v>
      </c>
      <c r="U446" t="s">
        <v>63</v>
      </c>
    </row>
    <row r="447" spans="1:21" ht="27.6">
      <c r="A447" t="s">
        <v>1522</v>
      </c>
      <c r="B447" t="s">
        <v>1523</v>
      </c>
      <c r="C447" t="s">
        <v>1524</v>
      </c>
      <c r="D447" s="2">
        <v>46033</v>
      </c>
      <c r="E447" t="s">
        <v>47</v>
      </c>
      <c r="F447" t="s">
        <v>48</v>
      </c>
      <c r="G447" s="3">
        <v>47.64</v>
      </c>
      <c r="H447" t="s">
        <v>26</v>
      </c>
      <c r="I447" t="s">
        <v>67</v>
      </c>
      <c r="J447" s="4" t="s">
        <v>51</v>
      </c>
      <c r="K447" t="s">
        <v>33</v>
      </c>
      <c r="L447" t="s">
        <v>30</v>
      </c>
      <c r="M447" t="s">
        <v>31</v>
      </c>
      <c r="N447" t="s">
        <v>32</v>
      </c>
      <c r="O447">
        <v>10</v>
      </c>
      <c r="P447">
        <v>9</v>
      </c>
      <c r="Q447" t="s">
        <v>33</v>
      </c>
      <c r="R447" t="s">
        <v>34</v>
      </c>
      <c r="S447" s="3">
        <v>35.729999999999997</v>
      </c>
      <c r="T447" t="s">
        <v>69</v>
      </c>
      <c r="U447" t="s">
        <v>63</v>
      </c>
    </row>
    <row r="448" spans="1:21" ht="27.6">
      <c r="A448" t="s">
        <v>1525</v>
      </c>
      <c r="B448" t="s">
        <v>1526</v>
      </c>
      <c r="C448" t="s">
        <v>1527</v>
      </c>
      <c r="D448" s="2">
        <v>46153</v>
      </c>
      <c r="E448" t="s">
        <v>40</v>
      </c>
      <c r="F448" t="s">
        <v>172</v>
      </c>
      <c r="G448" s="3">
        <v>54.71</v>
      </c>
      <c r="H448" t="s">
        <v>26</v>
      </c>
      <c r="I448" t="s">
        <v>50</v>
      </c>
      <c r="J448" s="4" t="s">
        <v>173</v>
      </c>
      <c r="K448" t="s">
        <v>29</v>
      </c>
      <c r="L448" t="s">
        <v>30</v>
      </c>
      <c r="M448" t="s">
        <v>31</v>
      </c>
      <c r="N448" t="s">
        <v>32</v>
      </c>
      <c r="O448">
        <v>7</v>
      </c>
      <c r="P448">
        <v>9</v>
      </c>
      <c r="Q448" t="s">
        <v>29</v>
      </c>
      <c r="R448" t="s">
        <v>174</v>
      </c>
      <c r="S448" s="3">
        <v>41.03</v>
      </c>
      <c r="T448" t="s">
        <v>286</v>
      </c>
      <c r="U448" t="s">
        <v>63</v>
      </c>
    </row>
    <row r="449" spans="1:21" ht="27.6">
      <c r="A449" t="s">
        <v>1528</v>
      </c>
      <c r="B449" t="s">
        <v>1529</v>
      </c>
      <c r="C449" t="s">
        <v>1530</v>
      </c>
      <c r="D449" s="2">
        <v>46054</v>
      </c>
      <c r="E449" t="s">
        <v>24</v>
      </c>
      <c r="F449" t="s">
        <v>172</v>
      </c>
      <c r="G449" s="3">
        <v>166.73</v>
      </c>
      <c r="H449" t="s">
        <v>108</v>
      </c>
      <c r="I449" t="s">
        <v>50</v>
      </c>
      <c r="J449" s="4" t="s">
        <v>285</v>
      </c>
      <c r="K449" t="s">
        <v>29</v>
      </c>
      <c r="L449" t="s">
        <v>30</v>
      </c>
      <c r="M449" t="s">
        <v>31</v>
      </c>
      <c r="N449" t="s">
        <v>32</v>
      </c>
      <c r="O449">
        <v>7</v>
      </c>
      <c r="P449">
        <v>6</v>
      </c>
      <c r="Q449" t="s">
        <v>33</v>
      </c>
      <c r="R449" t="s">
        <v>174</v>
      </c>
      <c r="S449" s="3">
        <v>0</v>
      </c>
      <c r="T449" t="s">
        <v>110</v>
      </c>
      <c r="U449" t="s">
        <v>36</v>
      </c>
    </row>
    <row r="450" spans="1:21" ht="27.6">
      <c r="A450" t="s">
        <v>1531</v>
      </c>
      <c r="B450" t="s">
        <v>1532</v>
      </c>
      <c r="C450" t="s">
        <v>1533</v>
      </c>
      <c r="D450" s="2">
        <v>46035</v>
      </c>
      <c r="E450" t="s">
        <v>40</v>
      </c>
      <c r="F450" t="s">
        <v>118</v>
      </c>
      <c r="G450" s="3">
        <v>220.73</v>
      </c>
      <c r="H450" t="s">
        <v>89</v>
      </c>
      <c r="I450" t="s">
        <v>67</v>
      </c>
      <c r="J450" s="4" t="s">
        <v>1534</v>
      </c>
      <c r="K450" t="s">
        <v>29</v>
      </c>
      <c r="L450" t="s">
        <v>120</v>
      </c>
      <c r="M450" t="s">
        <v>96</v>
      </c>
      <c r="N450" t="s">
        <v>90</v>
      </c>
      <c r="O450">
        <v>5</v>
      </c>
      <c r="P450">
        <v>1</v>
      </c>
      <c r="Q450" t="s">
        <v>33</v>
      </c>
      <c r="R450" t="s">
        <v>85</v>
      </c>
      <c r="S450" s="3">
        <v>0</v>
      </c>
      <c r="T450" t="s">
        <v>121</v>
      </c>
      <c r="U450" t="s">
        <v>53</v>
      </c>
    </row>
    <row r="451" spans="1:21" ht="27.6">
      <c r="A451" t="s">
        <v>1535</v>
      </c>
      <c r="B451" t="s">
        <v>1536</v>
      </c>
      <c r="C451" t="s">
        <v>1537</v>
      </c>
      <c r="D451" s="2">
        <v>46122</v>
      </c>
      <c r="E451" t="s">
        <v>40</v>
      </c>
      <c r="F451" t="s">
        <v>118</v>
      </c>
      <c r="G451" s="3">
        <v>117.28</v>
      </c>
      <c r="H451" t="s">
        <v>26</v>
      </c>
      <c r="I451" t="s">
        <v>27</v>
      </c>
      <c r="J451" s="4" t="s">
        <v>1538</v>
      </c>
      <c r="K451" t="s">
        <v>33</v>
      </c>
      <c r="L451" t="s">
        <v>30</v>
      </c>
      <c r="M451" t="s">
        <v>31</v>
      </c>
      <c r="N451" t="s">
        <v>32</v>
      </c>
      <c r="O451">
        <v>5</v>
      </c>
      <c r="P451">
        <v>10</v>
      </c>
      <c r="Q451" t="s">
        <v>29</v>
      </c>
      <c r="R451" t="s">
        <v>85</v>
      </c>
      <c r="S451" s="3">
        <v>0</v>
      </c>
      <c r="T451" t="s">
        <v>121</v>
      </c>
      <c r="U451" t="s">
        <v>63</v>
      </c>
    </row>
    <row r="452" spans="1:21" ht="27.6">
      <c r="A452" t="s">
        <v>1539</v>
      </c>
      <c r="B452" t="s">
        <v>1540</v>
      </c>
      <c r="C452" t="s">
        <v>1541</v>
      </c>
      <c r="D452" s="2">
        <v>46047</v>
      </c>
      <c r="E452" t="s">
        <v>40</v>
      </c>
      <c r="F452" t="s">
        <v>172</v>
      </c>
      <c r="G452" s="3">
        <v>35.44</v>
      </c>
      <c r="H452" t="s">
        <v>108</v>
      </c>
      <c r="I452" t="s">
        <v>27</v>
      </c>
      <c r="J452" s="4" t="s">
        <v>173</v>
      </c>
      <c r="K452" t="s">
        <v>29</v>
      </c>
      <c r="L452" t="s">
        <v>30</v>
      </c>
      <c r="M452" t="s">
        <v>31</v>
      </c>
      <c r="N452" t="s">
        <v>32</v>
      </c>
      <c r="O452">
        <v>7</v>
      </c>
      <c r="P452">
        <v>8</v>
      </c>
      <c r="Q452" t="s">
        <v>29</v>
      </c>
      <c r="R452" t="s">
        <v>174</v>
      </c>
      <c r="S452" s="3">
        <v>26.58</v>
      </c>
      <c r="T452" t="s">
        <v>69</v>
      </c>
      <c r="U452" t="s">
        <v>63</v>
      </c>
    </row>
    <row r="453" spans="1:21" ht="27.6">
      <c r="A453" t="s">
        <v>1542</v>
      </c>
      <c r="B453" t="s">
        <v>1543</v>
      </c>
      <c r="C453" t="s">
        <v>1544</v>
      </c>
      <c r="D453" s="2">
        <v>46110</v>
      </c>
      <c r="E453" t="s">
        <v>94</v>
      </c>
      <c r="F453" t="s">
        <v>103</v>
      </c>
      <c r="G453" s="3">
        <v>85.77</v>
      </c>
      <c r="H453" t="s">
        <v>108</v>
      </c>
      <c r="I453" t="s">
        <v>50</v>
      </c>
      <c r="J453" s="4" t="s">
        <v>134</v>
      </c>
      <c r="K453" t="s">
        <v>29</v>
      </c>
      <c r="L453" t="s">
        <v>30</v>
      </c>
      <c r="M453" t="s">
        <v>31</v>
      </c>
      <c r="N453" t="s">
        <v>32</v>
      </c>
      <c r="O453">
        <v>5</v>
      </c>
      <c r="P453">
        <v>1</v>
      </c>
      <c r="Q453" t="s">
        <v>33</v>
      </c>
      <c r="R453" t="s">
        <v>34</v>
      </c>
      <c r="S453" s="3">
        <v>64.33</v>
      </c>
      <c r="T453" t="s">
        <v>35</v>
      </c>
      <c r="U453" t="s">
        <v>36</v>
      </c>
    </row>
    <row r="454" spans="1:21" ht="27.6">
      <c r="A454" t="s">
        <v>1545</v>
      </c>
      <c r="B454" t="s">
        <v>1546</v>
      </c>
      <c r="C454" t="s">
        <v>1547</v>
      </c>
      <c r="D454" s="2">
        <v>46099</v>
      </c>
      <c r="E454" t="s">
        <v>94</v>
      </c>
      <c r="F454" t="s">
        <v>172</v>
      </c>
      <c r="G454" s="3">
        <v>29.57</v>
      </c>
      <c r="H454" t="s">
        <v>26</v>
      </c>
      <c r="I454" t="s">
        <v>67</v>
      </c>
      <c r="J454" s="4" t="s">
        <v>285</v>
      </c>
      <c r="K454" t="s">
        <v>29</v>
      </c>
      <c r="L454" t="s">
        <v>30</v>
      </c>
      <c r="M454" t="s">
        <v>31</v>
      </c>
      <c r="N454" t="s">
        <v>32</v>
      </c>
      <c r="O454">
        <v>7</v>
      </c>
      <c r="P454">
        <v>6</v>
      </c>
      <c r="Q454" t="s">
        <v>33</v>
      </c>
      <c r="R454" t="s">
        <v>174</v>
      </c>
      <c r="S454" s="3">
        <v>0</v>
      </c>
      <c r="T454" t="s">
        <v>110</v>
      </c>
      <c r="U454" t="s">
        <v>36</v>
      </c>
    </row>
    <row r="455" spans="1:21" ht="27.6">
      <c r="A455" t="s">
        <v>1548</v>
      </c>
      <c r="B455" t="s">
        <v>1549</v>
      </c>
      <c r="C455" t="s">
        <v>1550</v>
      </c>
      <c r="D455" s="2">
        <v>46043</v>
      </c>
      <c r="E455" t="s">
        <v>40</v>
      </c>
      <c r="F455" t="s">
        <v>25</v>
      </c>
      <c r="G455" s="3">
        <v>77.709999999999994</v>
      </c>
      <c r="H455" t="s">
        <v>49</v>
      </c>
      <c r="I455" t="s">
        <v>27</v>
      </c>
      <c r="J455" s="4" t="s">
        <v>42</v>
      </c>
      <c r="K455" t="s">
        <v>29</v>
      </c>
      <c r="L455" t="s">
        <v>30</v>
      </c>
      <c r="M455" t="s">
        <v>31</v>
      </c>
      <c r="N455" t="s">
        <v>32</v>
      </c>
      <c r="O455">
        <v>5</v>
      </c>
      <c r="P455">
        <v>6</v>
      </c>
      <c r="Q455" t="s">
        <v>29</v>
      </c>
      <c r="R455" t="s">
        <v>34</v>
      </c>
      <c r="S455" s="3">
        <v>0</v>
      </c>
      <c r="T455" t="s">
        <v>110</v>
      </c>
      <c r="U455" t="s">
        <v>63</v>
      </c>
    </row>
    <row r="456" spans="1:21" ht="27.6">
      <c r="A456" t="s">
        <v>1551</v>
      </c>
      <c r="B456" t="s">
        <v>1552</v>
      </c>
      <c r="C456" t="s">
        <v>1553</v>
      </c>
      <c r="D456" s="2">
        <v>46138</v>
      </c>
      <c r="E456" t="s">
        <v>47</v>
      </c>
      <c r="F456" t="s">
        <v>118</v>
      </c>
      <c r="G456" s="3">
        <v>23.11</v>
      </c>
      <c r="H456" t="s">
        <v>58</v>
      </c>
      <c r="I456" t="s">
        <v>67</v>
      </c>
      <c r="J456" s="4" t="s">
        <v>1554</v>
      </c>
      <c r="K456" t="s">
        <v>29</v>
      </c>
      <c r="L456" t="s">
        <v>120</v>
      </c>
      <c r="M456" t="s">
        <v>96</v>
      </c>
      <c r="N456" t="s">
        <v>32</v>
      </c>
      <c r="O456">
        <v>5</v>
      </c>
      <c r="P456">
        <v>1</v>
      </c>
      <c r="Q456" t="s">
        <v>33</v>
      </c>
      <c r="R456" t="s">
        <v>85</v>
      </c>
      <c r="S456" s="3">
        <v>23.11</v>
      </c>
      <c r="T456" t="s">
        <v>121</v>
      </c>
      <c r="U456" t="s">
        <v>36</v>
      </c>
    </row>
    <row r="457" spans="1:21" ht="27.6">
      <c r="A457" t="s">
        <v>1555</v>
      </c>
      <c r="B457" t="s">
        <v>1556</v>
      </c>
      <c r="C457" t="s">
        <v>1557</v>
      </c>
      <c r="D457" s="2">
        <v>46145</v>
      </c>
      <c r="E457" t="s">
        <v>47</v>
      </c>
      <c r="F457" t="s">
        <v>82</v>
      </c>
      <c r="G457" s="3">
        <v>99.41</v>
      </c>
      <c r="H457" t="s">
        <v>58</v>
      </c>
      <c r="I457" t="s">
        <v>50</v>
      </c>
      <c r="J457" s="4" t="s">
        <v>1558</v>
      </c>
      <c r="K457" t="s">
        <v>29</v>
      </c>
      <c r="L457" t="s">
        <v>30</v>
      </c>
      <c r="M457" t="s">
        <v>31</v>
      </c>
      <c r="N457" t="s">
        <v>32</v>
      </c>
      <c r="O457">
        <v>7</v>
      </c>
      <c r="P457">
        <v>3</v>
      </c>
      <c r="Q457" t="s">
        <v>33</v>
      </c>
      <c r="R457" t="s">
        <v>85</v>
      </c>
      <c r="S457" s="3">
        <v>0</v>
      </c>
      <c r="T457" t="s">
        <v>62</v>
      </c>
      <c r="U457" t="s">
        <v>36</v>
      </c>
    </row>
    <row r="458" spans="1:21" ht="27.6">
      <c r="A458" t="s">
        <v>1559</v>
      </c>
      <c r="B458" t="s">
        <v>1560</v>
      </c>
      <c r="C458" t="s">
        <v>1561</v>
      </c>
      <c r="D458" s="2">
        <v>46057</v>
      </c>
      <c r="E458" t="s">
        <v>24</v>
      </c>
      <c r="F458" t="s">
        <v>25</v>
      </c>
      <c r="G458" s="3">
        <v>78.42</v>
      </c>
      <c r="H458" t="s">
        <v>58</v>
      </c>
      <c r="I458" t="s">
        <v>27</v>
      </c>
      <c r="J458" s="4" t="s">
        <v>1562</v>
      </c>
      <c r="K458" t="s">
        <v>29</v>
      </c>
      <c r="L458" t="s">
        <v>30</v>
      </c>
      <c r="M458" t="s">
        <v>31</v>
      </c>
      <c r="N458" t="s">
        <v>32</v>
      </c>
      <c r="O458">
        <v>5</v>
      </c>
      <c r="P458">
        <v>8</v>
      </c>
      <c r="Q458" t="s">
        <v>29</v>
      </c>
      <c r="R458" t="s">
        <v>34</v>
      </c>
      <c r="S458" s="3">
        <v>0</v>
      </c>
      <c r="T458" t="s">
        <v>35</v>
      </c>
      <c r="U458" t="s">
        <v>63</v>
      </c>
    </row>
    <row r="459" spans="1:21" ht="27.6">
      <c r="A459" t="s">
        <v>1563</v>
      </c>
      <c r="B459" t="s">
        <v>914</v>
      </c>
      <c r="C459" t="s">
        <v>1564</v>
      </c>
      <c r="D459" s="2">
        <v>46028</v>
      </c>
      <c r="E459" t="s">
        <v>24</v>
      </c>
      <c r="F459" t="s">
        <v>73</v>
      </c>
      <c r="G459" s="3">
        <v>75.77</v>
      </c>
      <c r="H459" t="s">
        <v>108</v>
      </c>
      <c r="I459" t="s">
        <v>27</v>
      </c>
      <c r="J459" s="4" t="s">
        <v>75</v>
      </c>
      <c r="K459" t="s">
        <v>33</v>
      </c>
      <c r="L459" t="s">
        <v>60</v>
      </c>
      <c r="M459" t="s">
        <v>31</v>
      </c>
      <c r="N459" t="s">
        <v>32</v>
      </c>
      <c r="O459">
        <v>10</v>
      </c>
      <c r="P459">
        <v>11</v>
      </c>
      <c r="Q459" t="s">
        <v>29</v>
      </c>
      <c r="R459" t="s">
        <v>61</v>
      </c>
      <c r="S459" s="3">
        <v>56.83</v>
      </c>
      <c r="T459" t="s">
        <v>62</v>
      </c>
      <c r="U459" t="s">
        <v>63</v>
      </c>
    </row>
    <row r="460" spans="1:21" ht="27.6">
      <c r="A460" t="s">
        <v>1565</v>
      </c>
      <c r="B460" t="s">
        <v>1566</v>
      </c>
      <c r="C460" t="s">
        <v>1567</v>
      </c>
      <c r="D460" s="2">
        <v>46049</v>
      </c>
      <c r="E460" t="s">
        <v>47</v>
      </c>
      <c r="F460" t="s">
        <v>103</v>
      </c>
      <c r="G460" s="3">
        <v>95.14</v>
      </c>
      <c r="H460" t="s">
        <v>89</v>
      </c>
      <c r="I460" t="s">
        <v>67</v>
      </c>
      <c r="J460" s="4" t="s">
        <v>134</v>
      </c>
      <c r="K460" t="s">
        <v>29</v>
      </c>
      <c r="L460" t="s">
        <v>30</v>
      </c>
      <c r="M460" t="s">
        <v>31</v>
      </c>
      <c r="N460" t="s">
        <v>32</v>
      </c>
      <c r="O460">
        <v>5</v>
      </c>
      <c r="P460">
        <v>2</v>
      </c>
      <c r="Q460" t="s">
        <v>33</v>
      </c>
      <c r="R460" t="s">
        <v>34</v>
      </c>
      <c r="S460" s="3">
        <v>0</v>
      </c>
      <c r="T460" t="s">
        <v>247</v>
      </c>
      <c r="U460" t="s">
        <v>36</v>
      </c>
    </row>
    <row r="461" spans="1:21" ht="27.6">
      <c r="A461" t="s">
        <v>1568</v>
      </c>
      <c r="B461" t="s">
        <v>1569</v>
      </c>
      <c r="C461" t="s">
        <v>1570</v>
      </c>
      <c r="D461" s="2">
        <v>46027</v>
      </c>
      <c r="E461" t="s">
        <v>47</v>
      </c>
      <c r="F461" t="s">
        <v>118</v>
      </c>
      <c r="G461" s="3">
        <v>32.159999999999997</v>
      </c>
      <c r="H461" t="s">
        <v>108</v>
      </c>
      <c r="I461" t="s">
        <v>50</v>
      </c>
      <c r="J461" s="4" t="s">
        <v>1571</v>
      </c>
      <c r="K461" t="s">
        <v>29</v>
      </c>
      <c r="L461" t="s">
        <v>120</v>
      </c>
      <c r="M461" t="s">
        <v>96</v>
      </c>
      <c r="N461" t="s">
        <v>32</v>
      </c>
      <c r="O461">
        <v>5</v>
      </c>
      <c r="P461">
        <v>3</v>
      </c>
      <c r="Q461" t="s">
        <v>33</v>
      </c>
      <c r="R461" t="s">
        <v>85</v>
      </c>
      <c r="S461" s="3">
        <v>32.159999999999997</v>
      </c>
      <c r="T461" t="s">
        <v>121</v>
      </c>
      <c r="U461" t="s">
        <v>36</v>
      </c>
    </row>
    <row r="462" spans="1:21" ht="27.6">
      <c r="A462" t="s">
        <v>1572</v>
      </c>
      <c r="B462" t="s">
        <v>1573</v>
      </c>
      <c r="C462" t="s">
        <v>1574</v>
      </c>
      <c r="D462" s="2">
        <v>46072</v>
      </c>
      <c r="E462" t="s">
        <v>47</v>
      </c>
      <c r="F462" t="s">
        <v>82</v>
      </c>
      <c r="G462" s="3">
        <v>41.55</v>
      </c>
      <c r="H462" t="s">
        <v>58</v>
      </c>
      <c r="I462" t="s">
        <v>27</v>
      </c>
      <c r="J462" s="4" t="s">
        <v>1575</v>
      </c>
      <c r="K462" t="s">
        <v>29</v>
      </c>
      <c r="L462" t="s">
        <v>30</v>
      </c>
      <c r="M462" t="s">
        <v>31</v>
      </c>
      <c r="N462" t="s">
        <v>32</v>
      </c>
      <c r="O462">
        <v>7</v>
      </c>
      <c r="P462">
        <v>5</v>
      </c>
      <c r="Q462" t="s">
        <v>33</v>
      </c>
      <c r="R462" t="s">
        <v>85</v>
      </c>
      <c r="S462" s="3">
        <v>0</v>
      </c>
      <c r="T462" t="s">
        <v>62</v>
      </c>
      <c r="U462" t="s">
        <v>36</v>
      </c>
    </row>
    <row r="463" spans="1:21" ht="27.6">
      <c r="A463" t="s">
        <v>1576</v>
      </c>
      <c r="B463" t="s">
        <v>1577</v>
      </c>
      <c r="C463" t="s">
        <v>1578</v>
      </c>
      <c r="D463" s="2">
        <v>46064</v>
      </c>
      <c r="E463" t="s">
        <v>47</v>
      </c>
      <c r="F463" t="s">
        <v>118</v>
      </c>
      <c r="G463" s="3">
        <v>120.5</v>
      </c>
      <c r="H463" t="s">
        <v>74</v>
      </c>
      <c r="I463" t="s">
        <v>27</v>
      </c>
      <c r="J463" s="4" t="s">
        <v>119</v>
      </c>
      <c r="K463" t="s">
        <v>29</v>
      </c>
      <c r="L463" t="s">
        <v>120</v>
      </c>
      <c r="M463" t="s">
        <v>96</v>
      </c>
      <c r="N463" t="s">
        <v>32</v>
      </c>
      <c r="O463">
        <v>5</v>
      </c>
      <c r="P463">
        <v>1</v>
      </c>
      <c r="Q463" t="s">
        <v>33</v>
      </c>
      <c r="R463" t="s">
        <v>85</v>
      </c>
      <c r="S463" s="3">
        <v>120.5</v>
      </c>
      <c r="T463" t="s">
        <v>121</v>
      </c>
      <c r="U463" t="s">
        <v>36</v>
      </c>
    </row>
    <row r="464" spans="1:21" ht="27.6">
      <c r="A464" t="s">
        <v>1579</v>
      </c>
      <c r="B464" t="s">
        <v>1580</v>
      </c>
      <c r="C464" t="s">
        <v>1581</v>
      </c>
      <c r="D464" s="2">
        <v>46076</v>
      </c>
      <c r="E464" t="s">
        <v>47</v>
      </c>
      <c r="F464" t="s">
        <v>48</v>
      </c>
      <c r="G464" s="3">
        <v>30.61</v>
      </c>
      <c r="H464" t="s">
        <v>58</v>
      </c>
      <c r="I464" t="s">
        <v>27</v>
      </c>
      <c r="J464" s="4" t="s">
        <v>51</v>
      </c>
      <c r="K464" t="s">
        <v>33</v>
      </c>
      <c r="L464" t="s">
        <v>30</v>
      </c>
      <c r="M464" t="s">
        <v>31</v>
      </c>
      <c r="N464" t="s">
        <v>32</v>
      </c>
      <c r="O464">
        <v>10</v>
      </c>
      <c r="P464">
        <v>10</v>
      </c>
      <c r="Q464" t="s">
        <v>33</v>
      </c>
      <c r="R464" t="s">
        <v>34</v>
      </c>
      <c r="S464" s="3">
        <v>0</v>
      </c>
      <c r="T464" t="s">
        <v>62</v>
      </c>
      <c r="U464" t="s">
        <v>63</v>
      </c>
    </row>
    <row r="465" spans="1:21" ht="27.6">
      <c r="A465" t="s">
        <v>1582</v>
      </c>
      <c r="B465" t="s">
        <v>1583</v>
      </c>
      <c r="C465" t="s">
        <v>1584</v>
      </c>
      <c r="D465" s="2">
        <v>46089</v>
      </c>
      <c r="E465" t="s">
        <v>94</v>
      </c>
      <c r="F465" t="s">
        <v>57</v>
      </c>
      <c r="G465" s="3">
        <v>223.3</v>
      </c>
      <c r="H465" t="s">
        <v>89</v>
      </c>
      <c r="I465" t="s">
        <v>27</v>
      </c>
      <c r="J465" s="4" t="s">
        <v>59</v>
      </c>
      <c r="K465" t="s">
        <v>33</v>
      </c>
      <c r="L465" t="s">
        <v>60</v>
      </c>
      <c r="M465" t="s">
        <v>31</v>
      </c>
      <c r="N465" t="s">
        <v>126</v>
      </c>
      <c r="O465">
        <v>10</v>
      </c>
      <c r="P465">
        <v>11</v>
      </c>
      <c r="Q465" t="s">
        <v>29</v>
      </c>
      <c r="R465" t="s">
        <v>61</v>
      </c>
      <c r="S465" s="3">
        <v>0</v>
      </c>
      <c r="T465" t="s">
        <v>62</v>
      </c>
      <c r="U465" t="s">
        <v>63</v>
      </c>
    </row>
    <row r="466" spans="1:21" ht="27.6">
      <c r="A466" t="s">
        <v>1585</v>
      </c>
      <c r="B466" t="s">
        <v>1586</v>
      </c>
      <c r="C466" t="s">
        <v>1587</v>
      </c>
      <c r="D466" s="2">
        <v>46140</v>
      </c>
      <c r="E466" t="s">
        <v>94</v>
      </c>
      <c r="F466" t="s">
        <v>57</v>
      </c>
      <c r="G466" s="3">
        <v>125.1</v>
      </c>
      <c r="H466" t="s">
        <v>26</v>
      </c>
      <c r="I466" t="s">
        <v>67</v>
      </c>
      <c r="J466" s="4" t="s">
        <v>155</v>
      </c>
      <c r="K466" t="s">
        <v>29</v>
      </c>
      <c r="L466" t="s">
        <v>60</v>
      </c>
      <c r="M466" t="s">
        <v>31</v>
      </c>
      <c r="N466" t="s">
        <v>32</v>
      </c>
      <c r="O466">
        <v>10</v>
      </c>
      <c r="P466">
        <v>11</v>
      </c>
      <c r="Q466" t="s">
        <v>29</v>
      </c>
      <c r="R466" t="s">
        <v>61</v>
      </c>
      <c r="S466" s="3">
        <v>125.1</v>
      </c>
      <c r="T466" t="s">
        <v>156</v>
      </c>
      <c r="U466" t="s">
        <v>63</v>
      </c>
    </row>
    <row r="467" spans="1:21" ht="27.6">
      <c r="A467" t="s">
        <v>1588</v>
      </c>
      <c r="B467" t="s">
        <v>1589</v>
      </c>
      <c r="C467" t="s">
        <v>1590</v>
      </c>
      <c r="D467" s="2">
        <v>46152</v>
      </c>
      <c r="E467" t="s">
        <v>47</v>
      </c>
      <c r="F467" t="s">
        <v>73</v>
      </c>
      <c r="G467" s="3">
        <v>18.309999999999999</v>
      </c>
      <c r="H467" t="s">
        <v>49</v>
      </c>
      <c r="I467" t="s">
        <v>27</v>
      </c>
      <c r="J467" s="4" t="s">
        <v>75</v>
      </c>
      <c r="K467" t="s">
        <v>33</v>
      </c>
      <c r="L467" t="s">
        <v>60</v>
      </c>
      <c r="M467" t="s">
        <v>31</v>
      </c>
      <c r="N467" t="s">
        <v>84</v>
      </c>
      <c r="O467">
        <v>10</v>
      </c>
      <c r="P467">
        <v>15</v>
      </c>
      <c r="Q467" t="s">
        <v>29</v>
      </c>
      <c r="R467" t="s">
        <v>61</v>
      </c>
      <c r="S467" s="3">
        <v>0</v>
      </c>
      <c r="T467" t="s">
        <v>52</v>
      </c>
      <c r="U467" t="s">
        <v>63</v>
      </c>
    </row>
    <row r="468" spans="1:21" ht="27.6">
      <c r="A468" t="s">
        <v>1591</v>
      </c>
      <c r="B468" t="s">
        <v>1592</v>
      </c>
      <c r="C468" t="s">
        <v>1593</v>
      </c>
      <c r="D468" s="2">
        <v>46096</v>
      </c>
      <c r="E468" t="s">
        <v>47</v>
      </c>
      <c r="F468" t="s">
        <v>25</v>
      </c>
      <c r="G468" s="3">
        <v>18.940000000000001</v>
      </c>
      <c r="H468" t="s">
        <v>41</v>
      </c>
      <c r="I468" t="s">
        <v>50</v>
      </c>
      <c r="J468" s="4" t="s">
        <v>42</v>
      </c>
      <c r="K468" t="s">
        <v>29</v>
      </c>
      <c r="L468" t="s">
        <v>30</v>
      </c>
      <c r="M468" t="s">
        <v>96</v>
      </c>
      <c r="N468" t="s">
        <v>90</v>
      </c>
      <c r="O468">
        <v>5</v>
      </c>
      <c r="P468">
        <v>4</v>
      </c>
      <c r="Q468" t="s">
        <v>33</v>
      </c>
      <c r="R468" t="s">
        <v>34</v>
      </c>
      <c r="S468" s="3">
        <v>0</v>
      </c>
      <c r="T468" t="s">
        <v>35</v>
      </c>
      <c r="U468" t="s">
        <v>36</v>
      </c>
    </row>
    <row r="469" spans="1:21" ht="27.6">
      <c r="A469" t="s">
        <v>1594</v>
      </c>
      <c r="B469" t="s">
        <v>1595</v>
      </c>
      <c r="C469" t="s">
        <v>1596</v>
      </c>
      <c r="D469" s="2">
        <v>46115</v>
      </c>
      <c r="E469" t="s">
        <v>94</v>
      </c>
      <c r="F469" t="s">
        <v>82</v>
      </c>
      <c r="G469" s="3">
        <v>163.22</v>
      </c>
      <c r="H469" t="s">
        <v>89</v>
      </c>
      <c r="I469" t="s">
        <v>67</v>
      </c>
      <c r="J469" s="4" t="s">
        <v>114</v>
      </c>
      <c r="K469" t="s">
        <v>29</v>
      </c>
      <c r="L469" t="s">
        <v>30</v>
      </c>
      <c r="M469" t="s">
        <v>31</v>
      </c>
      <c r="N469" t="s">
        <v>32</v>
      </c>
      <c r="O469">
        <v>7</v>
      </c>
      <c r="P469">
        <v>7</v>
      </c>
      <c r="Q469" t="s">
        <v>33</v>
      </c>
      <c r="R469" t="s">
        <v>85</v>
      </c>
      <c r="S469" s="3">
        <v>0</v>
      </c>
      <c r="T469" t="s">
        <v>69</v>
      </c>
      <c r="U469" t="s">
        <v>36</v>
      </c>
    </row>
    <row r="470" spans="1:21" ht="27.6">
      <c r="A470" t="s">
        <v>1597</v>
      </c>
      <c r="B470" t="s">
        <v>1598</v>
      </c>
      <c r="C470" t="s">
        <v>1599</v>
      </c>
      <c r="D470" s="2">
        <v>46032</v>
      </c>
      <c r="E470" t="s">
        <v>40</v>
      </c>
      <c r="F470" t="s">
        <v>172</v>
      </c>
      <c r="G470" s="3">
        <v>79.010000000000005</v>
      </c>
      <c r="H470" t="s">
        <v>58</v>
      </c>
      <c r="I470" t="s">
        <v>67</v>
      </c>
      <c r="J470" s="4" t="s">
        <v>285</v>
      </c>
      <c r="K470" t="s">
        <v>33</v>
      </c>
      <c r="L470" t="s">
        <v>30</v>
      </c>
      <c r="M470" t="s">
        <v>31</v>
      </c>
      <c r="N470" t="s">
        <v>32</v>
      </c>
      <c r="O470">
        <v>7</v>
      </c>
      <c r="P470">
        <v>7</v>
      </c>
      <c r="Q470" t="s">
        <v>33</v>
      </c>
      <c r="R470" t="s">
        <v>174</v>
      </c>
      <c r="S470" s="3">
        <v>79.010000000000005</v>
      </c>
      <c r="T470" t="s">
        <v>286</v>
      </c>
      <c r="U470" t="s">
        <v>36</v>
      </c>
    </row>
    <row r="471" spans="1:21" ht="27.6">
      <c r="A471" t="s">
        <v>1600</v>
      </c>
      <c r="B471" t="s">
        <v>1601</v>
      </c>
      <c r="C471" t="s">
        <v>1602</v>
      </c>
      <c r="D471" s="2">
        <v>46094</v>
      </c>
      <c r="E471" t="s">
        <v>94</v>
      </c>
      <c r="F471" t="s">
        <v>172</v>
      </c>
      <c r="G471" s="3">
        <v>17.05</v>
      </c>
      <c r="H471" t="s">
        <v>58</v>
      </c>
      <c r="I471" t="s">
        <v>27</v>
      </c>
      <c r="J471" s="4" t="s">
        <v>285</v>
      </c>
      <c r="K471" t="s">
        <v>29</v>
      </c>
      <c r="L471" t="s">
        <v>30</v>
      </c>
      <c r="M471" t="s">
        <v>31</v>
      </c>
      <c r="N471" t="s">
        <v>32</v>
      </c>
      <c r="O471">
        <v>7</v>
      </c>
      <c r="P471">
        <v>10</v>
      </c>
      <c r="Q471" t="s">
        <v>29</v>
      </c>
      <c r="R471" t="s">
        <v>174</v>
      </c>
      <c r="S471" s="3">
        <v>0</v>
      </c>
      <c r="T471" t="s">
        <v>110</v>
      </c>
      <c r="U471" t="s">
        <v>63</v>
      </c>
    </row>
    <row r="472" spans="1:21" ht="27.6">
      <c r="A472" t="s">
        <v>1603</v>
      </c>
      <c r="B472" t="s">
        <v>1604</v>
      </c>
      <c r="C472" t="s">
        <v>1605</v>
      </c>
      <c r="D472" s="2">
        <v>46044</v>
      </c>
      <c r="E472" t="s">
        <v>24</v>
      </c>
      <c r="F472" t="s">
        <v>82</v>
      </c>
      <c r="G472" s="3">
        <v>142.97999999999999</v>
      </c>
      <c r="H472" t="s">
        <v>74</v>
      </c>
      <c r="I472" t="s">
        <v>50</v>
      </c>
      <c r="J472" s="4" t="s">
        <v>114</v>
      </c>
      <c r="K472" t="s">
        <v>29</v>
      </c>
      <c r="L472" t="s">
        <v>30</v>
      </c>
      <c r="M472" t="s">
        <v>31</v>
      </c>
      <c r="N472" t="s">
        <v>32</v>
      </c>
      <c r="O472">
        <v>7</v>
      </c>
      <c r="P472">
        <v>9</v>
      </c>
      <c r="Q472" t="s">
        <v>29</v>
      </c>
      <c r="R472" t="s">
        <v>85</v>
      </c>
      <c r="S472" s="3">
        <v>0</v>
      </c>
      <c r="T472" t="s">
        <v>43</v>
      </c>
      <c r="U472" t="s">
        <v>63</v>
      </c>
    </row>
    <row r="473" spans="1:21" ht="27.6">
      <c r="A473" t="s">
        <v>1606</v>
      </c>
      <c r="B473" t="s">
        <v>1607</v>
      </c>
      <c r="C473" t="s">
        <v>1608</v>
      </c>
      <c r="D473" s="2">
        <v>46161</v>
      </c>
      <c r="E473" t="s">
        <v>47</v>
      </c>
      <c r="F473" t="s">
        <v>118</v>
      </c>
      <c r="G473" s="3">
        <v>174.47</v>
      </c>
      <c r="H473" t="s">
        <v>89</v>
      </c>
      <c r="I473" t="s">
        <v>27</v>
      </c>
      <c r="J473" s="4" t="s">
        <v>1609</v>
      </c>
      <c r="K473" t="s">
        <v>29</v>
      </c>
      <c r="L473" t="s">
        <v>120</v>
      </c>
      <c r="M473" t="s">
        <v>96</v>
      </c>
      <c r="N473" t="s">
        <v>32</v>
      </c>
      <c r="O473">
        <v>5</v>
      </c>
      <c r="P473">
        <v>5</v>
      </c>
      <c r="Q473" t="s">
        <v>33</v>
      </c>
      <c r="R473" t="s">
        <v>85</v>
      </c>
      <c r="S473" s="3">
        <v>174.47</v>
      </c>
      <c r="T473" t="s">
        <v>121</v>
      </c>
      <c r="U473" t="s">
        <v>36</v>
      </c>
    </row>
    <row r="474" spans="1:21" ht="27.6">
      <c r="A474" t="s">
        <v>1610</v>
      </c>
      <c r="B474" t="s">
        <v>1611</v>
      </c>
      <c r="C474" t="s">
        <v>1612</v>
      </c>
      <c r="D474" s="2">
        <v>46054</v>
      </c>
      <c r="E474" t="s">
        <v>47</v>
      </c>
      <c r="F474" t="s">
        <v>172</v>
      </c>
      <c r="G474" s="3">
        <v>13.58</v>
      </c>
      <c r="H474" t="s">
        <v>74</v>
      </c>
      <c r="I474" t="s">
        <v>67</v>
      </c>
      <c r="J474" s="4" t="s">
        <v>173</v>
      </c>
      <c r="K474" t="s">
        <v>33</v>
      </c>
      <c r="L474" t="s">
        <v>30</v>
      </c>
      <c r="M474" t="s">
        <v>31</v>
      </c>
      <c r="N474" t="s">
        <v>32</v>
      </c>
      <c r="O474">
        <v>7</v>
      </c>
      <c r="P474">
        <v>9</v>
      </c>
      <c r="Q474" t="s">
        <v>29</v>
      </c>
      <c r="R474" t="s">
        <v>174</v>
      </c>
      <c r="S474" s="3">
        <v>0</v>
      </c>
      <c r="T474" t="s">
        <v>110</v>
      </c>
      <c r="U474" t="s">
        <v>63</v>
      </c>
    </row>
    <row r="475" spans="1:21" ht="27.6">
      <c r="A475" t="s">
        <v>1613</v>
      </c>
      <c r="B475" t="s">
        <v>1614</v>
      </c>
      <c r="C475" t="s">
        <v>1615</v>
      </c>
      <c r="D475" s="2">
        <v>46095</v>
      </c>
      <c r="E475" t="s">
        <v>40</v>
      </c>
      <c r="F475" t="s">
        <v>57</v>
      </c>
      <c r="G475" s="3">
        <v>45.76</v>
      </c>
      <c r="H475" t="s">
        <v>108</v>
      </c>
      <c r="I475" t="s">
        <v>50</v>
      </c>
      <c r="J475" s="4" t="s">
        <v>155</v>
      </c>
      <c r="K475" t="s">
        <v>29</v>
      </c>
      <c r="L475" t="s">
        <v>60</v>
      </c>
      <c r="M475" t="s">
        <v>31</v>
      </c>
      <c r="N475" t="s">
        <v>32</v>
      </c>
      <c r="O475">
        <v>10</v>
      </c>
      <c r="P475">
        <v>4</v>
      </c>
      <c r="Q475" t="s">
        <v>33</v>
      </c>
      <c r="R475" t="s">
        <v>61</v>
      </c>
      <c r="S475" s="3">
        <v>34.32</v>
      </c>
      <c r="T475" t="s">
        <v>52</v>
      </c>
      <c r="U475" t="s">
        <v>63</v>
      </c>
    </row>
    <row r="476" spans="1:21" ht="27.6">
      <c r="A476" t="s">
        <v>1616</v>
      </c>
      <c r="B476" t="s">
        <v>1617</v>
      </c>
      <c r="C476" t="s">
        <v>1618</v>
      </c>
      <c r="D476" s="2">
        <v>46131</v>
      </c>
      <c r="E476" t="s">
        <v>40</v>
      </c>
      <c r="F476" t="s">
        <v>25</v>
      </c>
      <c r="G476" s="3">
        <v>38</v>
      </c>
      <c r="H476" t="s">
        <v>41</v>
      </c>
      <c r="I476" t="s">
        <v>50</v>
      </c>
      <c r="J476" s="4" t="s">
        <v>42</v>
      </c>
      <c r="K476" t="s">
        <v>29</v>
      </c>
      <c r="L476" t="s">
        <v>30</v>
      </c>
      <c r="M476" t="s">
        <v>96</v>
      </c>
      <c r="N476" t="s">
        <v>32</v>
      </c>
      <c r="O476">
        <v>5</v>
      </c>
      <c r="P476">
        <v>3</v>
      </c>
      <c r="Q476" t="s">
        <v>33</v>
      </c>
      <c r="R476" t="s">
        <v>34</v>
      </c>
      <c r="S476" s="3">
        <v>38</v>
      </c>
      <c r="T476" t="s">
        <v>35</v>
      </c>
      <c r="U476" t="s">
        <v>36</v>
      </c>
    </row>
    <row r="477" spans="1:21" ht="27.6">
      <c r="A477" t="s">
        <v>1619</v>
      </c>
      <c r="B477" t="s">
        <v>1620</v>
      </c>
      <c r="C477" t="s">
        <v>1621</v>
      </c>
      <c r="D477" s="2">
        <v>46148</v>
      </c>
      <c r="E477" t="s">
        <v>40</v>
      </c>
      <c r="F477" t="s">
        <v>82</v>
      </c>
      <c r="G477" s="3">
        <v>14.96</v>
      </c>
      <c r="H477" t="s">
        <v>108</v>
      </c>
      <c r="I477" t="s">
        <v>50</v>
      </c>
      <c r="J477" s="4" t="s">
        <v>1622</v>
      </c>
      <c r="K477" t="s">
        <v>29</v>
      </c>
      <c r="L477" t="s">
        <v>30</v>
      </c>
      <c r="M477" t="s">
        <v>31</v>
      </c>
      <c r="N477" t="s">
        <v>32</v>
      </c>
      <c r="O477">
        <v>7</v>
      </c>
      <c r="P477">
        <v>5</v>
      </c>
      <c r="Q477" t="s">
        <v>33</v>
      </c>
      <c r="R477" t="s">
        <v>85</v>
      </c>
      <c r="S477" s="3">
        <v>14.96</v>
      </c>
      <c r="T477" t="s">
        <v>62</v>
      </c>
      <c r="U477" t="s">
        <v>53</v>
      </c>
    </row>
    <row r="478" spans="1:21" ht="27.6">
      <c r="A478" t="s">
        <v>1623</v>
      </c>
      <c r="B478" t="s">
        <v>1624</v>
      </c>
      <c r="C478" t="s">
        <v>1625</v>
      </c>
      <c r="D478" s="2">
        <v>46063</v>
      </c>
      <c r="E478" t="s">
        <v>94</v>
      </c>
      <c r="F478" t="s">
        <v>82</v>
      </c>
      <c r="G478" s="3">
        <v>34.76</v>
      </c>
      <c r="H478" t="s">
        <v>89</v>
      </c>
      <c r="I478" t="s">
        <v>27</v>
      </c>
      <c r="J478" s="4" t="s">
        <v>1626</v>
      </c>
      <c r="K478" t="s">
        <v>29</v>
      </c>
      <c r="L478" t="s">
        <v>30</v>
      </c>
      <c r="M478" t="s">
        <v>31</v>
      </c>
      <c r="N478" t="s">
        <v>32</v>
      </c>
      <c r="O478">
        <v>7</v>
      </c>
      <c r="P478">
        <v>1</v>
      </c>
      <c r="Q478" t="s">
        <v>33</v>
      </c>
      <c r="R478" t="s">
        <v>85</v>
      </c>
      <c r="S478" s="3">
        <v>17.38</v>
      </c>
      <c r="T478" t="s">
        <v>43</v>
      </c>
      <c r="U478" t="s">
        <v>53</v>
      </c>
    </row>
    <row r="479" spans="1:21" ht="27.6">
      <c r="A479" t="s">
        <v>1627</v>
      </c>
      <c r="B479" t="s">
        <v>535</v>
      </c>
      <c r="C479" t="s">
        <v>1628</v>
      </c>
      <c r="D479" s="2">
        <v>46095</v>
      </c>
      <c r="E479" t="s">
        <v>24</v>
      </c>
      <c r="F479" t="s">
        <v>57</v>
      </c>
      <c r="G479" s="3">
        <v>39.700000000000003</v>
      </c>
      <c r="H479" t="s">
        <v>41</v>
      </c>
      <c r="I479" t="s">
        <v>27</v>
      </c>
      <c r="J479" s="4" t="s">
        <v>155</v>
      </c>
      <c r="K479" t="s">
        <v>29</v>
      </c>
      <c r="L479" t="s">
        <v>60</v>
      </c>
      <c r="M479" t="s">
        <v>31</v>
      </c>
      <c r="N479" t="s">
        <v>32</v>
      </c>
      <c r="O479">
        <v>10</v>
      </c>
      <c r="P479">
        <v>17</v>
      </c>
      <c r="Q479" t="s">
        <v>29</v>
      </c>
      <c r="R479" t="s">
        <v>61</v>
      </c>
      <c r="S479" s="3">
        <v>0</v>
      </c>
      <c r="T479" t="s">
        <v>52</v>
      </c>
      <c r="U479" t="s">
        <v>63</v>
      </c>
    </row>
    <row r="480" spans="1:21" ht="27.6">
      <c r="A480" t="s">
        <v>1629</v>
      </c>
      <c r="B480" t="s">
        <v>1630</v>
      </c>
      <c r="C480" t="s">
        <v>1631</v>
      </c>
      <c r="D480" s="2">
        <v>46056</v>
      </c>
      <c r="E480" t="s">
        <v>40</v>
      </c>
      <c r="F480" t="s">
        <v>82</v>
      </c>
      <c r="G480" s="3">
        <v>36.47</v>
      </c>
      <c r="H480" t="s">
        <v>108</v>
      </c>
      <c r="I480" t="s">
        <v>27</v>
      </c>
      <c r="J480" s="4" t="s">
        <v>1632</v>
      </c>
      <c r="K480" t="s">
        <v>33</v>
      </c>
      <c r="L480" t="s">
        <v>30</v>
      </c>
      <c r="M480" t="s">
        <v>31</v>
      </c>
      <c r="N480" t="s">
        <v>32</v>
      </c>
      <c r="O480">
        <v>7</v>
      </c>
      <c r="P480">
        <v>10</v>
      </c>
      <c r="Q480" t="s">
        <v>29</v>
      </c>
      <c r="R480" t="s">
        <v>85</v>
      </c>
      <c r="S480" s="3">
        <v>27.35</v>
      </c>
      <c r="T480" t="s">
        <v>43</v>
      </c>
      <c r="U480" t="s">
        <v>63</v>
      </c>
    </row>
    <row r="481" spans="1:21" ht="27.6">
      <c r="A481" t="s">
        <v>1633</v>
      </c>
      <c r="B481" t="s">
        <v>1634</v>
      </c>
      <c r="C481" t="s">
        <v>1635</v>
      </c>
      <c r="D481" s="2">
        <v>46136</v>
      </c>
      <c r="E481" t="s">
        <v>40</v>
      </c>
      <c r="F481" t="s">
        <v>172</v>
      </c>
      <c r="G481" s="3">
        <v>250.28</v>
      </c>
      <c r="H481" t="s">
        <v>89</v>
      </c>
      <c r="I481" t="s">
        <v>50</v>
      </c>
      <c r="J481" s="4" t="s">
        <v>173</v>
      </c>
      <c r="K481" t="s">
        <v>33</v>
      </c>
      <c r="L481" t="s">
        <v>30</v>
      </c>
      <c r="M481" t="s">
        <v>31</v>
      </c>
      <c r="N481" t="s">
        <v>32</v>
      </c>
      <c r="O481">
        <v>7</v>
      </c>
      <c r="P481">
        <v>6</v>
      </c>
      <c r="Q481" t="s">
        <v>33</v>
      </c>
      <c r="R481" t="s">
        <v>174</v>
      </c>
      <c r="S481" s="3">
        <v>250.28</v>
      </c>
      <c r="T481" t="s">
        <v>286</v>
      </c>
      <c r="U481" t="s">
        <v>53</v>
      </c>
    </row>
    <row r="482" spans="1:21" ht="27.6">
      <c r="A482" t="s">
        <v>1636</v>
      </c>
      <c r="B482" t="s">
        <v>1637</v>
      </c>
      <c r="C482" t="s">
        <v>1638</v>
      </c>
      <c r="D482" s="2">
        <v>46036</v>
      </c>
      <c r="E482" t="s">
        <v>94</v>
      </c>
      <c r="F482" t="s">
        <v>172</v>
      </c>
      <c r="G482" s="3">
        <v>84.32</v>
      </c>
      <c r="H482" t="s">
        <v>26</v>
      </c>
      <c r="I482" t="s">
        <v>27</v>
      </c>
      <c r="J482" s="4" t="s">
        <v>285</v>
      </c>
      <c r="K482" t="s">
        <v>33</v>
      </c>
      <c r="L482" t="s">
        <v>30</v>
      </c>
      <c r="M482" t="s">
        <v>31</v>
      </c>
      <c r="N482" t="s">
        <v>32</v>
      </c>
      <c r="O482">
        <v>7</v>
      </c>
      <c r="P482">
        <v>13</v>
      </c>
      <c r="Q482" t="s">
        <v>29</v>
      </c>
      <c r="R482" t="s">
        <v>174</v>
      </c>
      <c r="S482" s="3">
        <v>0</v>
      </c>
      <c r="T482" t="s">
        <v>69</v>
      </c>
      <c r="U482" t="s">
        <v>63</v>
      </c>
    </row>
    <row r="483" spans="1:21" ht="27.6">
      <c r="A483" t="s">
        <v>1639</v>
      </c>
      <c r="B483" t="s">
        <v>1640</v>
      </c>
      <c r="C483" t="s">
        <v>1641</v>
      </c>
      <c r="D483" s="2">
        <v>46159</v>
      </c>
      <c r="E483" t="s">
        <v>47</v>
      </c>
      <c r="F483" t="s">
        <v>82</v>
      </c>
      <c r="G483" s="3">
        <v>11.77</v>
      </c>
      <c r="H483" t="s">
        <v>108</v>
      </c>
      <c r="I483" t="s">
        <v>27</v>
      </c>
      <c r="J483" s="4" t="s">
        <v>1642</v>
      </c>
      <c r="K483" t="s">
        <v>29</v>
      </c>
      <c r="L483" t="s">
        <v>30</v>
      </c>
      <c r="M483" t="s">
        <v>31</v>
      </c>
      <c r="N483" t="s">
        <v>32</v>
      </c>
      <c r="O483">
        <v>7</v>
      </c>
      <c r="P483">
        <v>5</v>
      </c>
      <c r="Q483" t="s">
        <v>33</v>
      </c>
      <c r="R483" t="s">
        <v>85</v>
      </c>
      <c r="S483" s="3">
        <v>5.88</v>
      </c>
      <c r="T483" t="s">
        <v>69</v>
      </c>
      <c r="U483" t="s">
        <v>53</v>
      </c>
    </row>
    <row r="484" spans="1:21" ht="27.6">
      <c r="A484" t="s">
        <v>1643</v>
      </c>
      <c r="B484" t="s">
        <v>1237</v>
      </c>
      <c r="C484" t="s">
        <v>1644</v>
      </c>
      <c r="D484" s="2">
        <v>46088</v>
      </c>
      <c r="E484" t="s">
        <v>40</v>
      </c>
      <c r="F484" t="s">
        <v>25</v>
      </c>
      <c r="G484" s="3">
        <v>8</v>
      </c>
      <c r="H484" t="s">
        <v>41</v>
      </c>
      <c r="I484" t="s">
        <v>27</v>
      </c>
      <c r="J484" s="4" t="s">
        <v>1645</v>
      </c>
      <c r="K484" t="s">
        <v>29</v>
      </c>
      <c r="L484" t="s">
        <v>30</v>
      </c>
      <c r="M484" t="s">
        <v>31</v>
      </c>
      <c r="N484" t="s">
        <v>84</v>
      </c>
      <c r="O484">
        <v>5</v>
      </c>
      <c r="P484">
        <v>7</v>
      </c>
      <c r="Q484" t="s">
        <v>29</v>
      </c>
      <c r="R484" t="s">
        <v>34</v>
      </c>
      <c r="S484" s="3">
        <v>0</v>
      </c>
      <c r="T484" t="s">
        <v>43</v>
      </c>
      <c r="U484" t="s">
        <v>63</v>
      </c>
    </row>
    <row r="485" spans="1:21" ht="27.6">
      <c r="A485" t="s">
        <v>1646</v>
      </c>
      <c r="B485" t="s">
        <v>1647</v>
      </c>
      <c r="C485" t="s">
        <v>1648</v>
      </c>
      <c r="D485" s="2">
        <v>46173</v>
      </c>
      <c r="E485" t="s">
        <v>24</v>
      </c>
      <c r="F485" t="s">
        <v>82</v>
      </c>
      <c r="G485" s="3">
        <v>45.94</v>
      </c>
      <c r="H485" t="s">
        <v>41</v>
      </c>
      <c r="I485" t="s">
        <v>27</v>
      </c>
      <c r="J485" s="4" t="s">
        <v>114</v>
      </c>
      <c r="K485" t="s">
        <v>29</v>
      </c>
      <c r="L485" t="s">
        <v>30</v>
      </c>
      <c r="M485" t="s">
        <v>31</v>
      </c>
      <c r="N485" t="s">
        <v>32</v>
      </c>
      <c r="O485">
        <v>7</v>
      </c>
      <c r="P485">
        <v>4</v>
      </c>
      <c r="Q485" t="s">
        <v>33</v>
      </c>
      <c r="R485" t="s">
        <v>85</v>
      </c>
      <c r="S485" s="3">
        <v>45.94</v>
      </c>
      <c r="T485" t="s">
        <v>69</v>
      </c>
      <c r="U485" t="s">
        <v>53</v>
      </c>
    </row>
    <row r="486" spans="1:21" ht="27.6">
      <c r="A486" t="s">
        <v>1649</v>
      </c>
      <c r="B486" t="s">
        <v>1650</v>
      </c>
      <c r="C486" t="s">
        <v>1651</v>
      </c>
      <c r="D486" s="2">
        <v>46173</v>
      </c>
      <c r="E486" t="s">
        <v>40</v>
      </c>
      <c r="F486" t="s">
        <v>118</v>
      </c>
      <c r="G486" s="3">
        <v>58.64</v>
      </c>
      <c r="H486" t="s">
        <v>41</v>
      </c>
      <c r="I486" t="s">
        <v>50</v>
      </c>
      <c r="J486" s="4" t="s">
        <v>1652</v>
      </c>
      <c r="K486" t="s">
        <v>29</v>
      </c>
      <c r="L486" t="s">
        <v>120</v>
      </c>
      <c r="M486" t="s">
        <v>96</v>
      </c>
      <c r="N486" t="s">
        <v>84</v>
      </c>
      <c r="O486">
        <v>5</v>
      </c>
      <c r="P486">
        <v>5</v>
      </c>
      <c r="Q486" t="s">
        <v>33</v>
      </c>
      <c r="R486" t="s">
        <v>85</v>
      </c>
      <c r="S486" s="3">
        <v>0</v>
      </c>
      <c r="T486" t="s">
        <v>121</v>
      </c>
      <c r="U486" t="s">
        <v>36</v>
      </c>
    </row>
    <row r="487" spans="1:21" ht="27.6">
      <c r="A487" t="s">
        <v>1653</v>
      </c>
      <c r="B487" t="s">
        <v>1654</v>
      </c>
      <c r="C487" t="s">
        <v>1655</v>
      </c>
      <c r="D487" s="2">
        <v>46131</v>
      </c>
      <c r="E487" t="s">
        <v>94</v>
      </c>
      <c r="F487" t="s">
        <v>172</v>
      </c>
      <c r="G487" s="3">
        <v>52.88</v>
      </c>
      <c r="H487" t="s">
        <v>26</v>
      </c>
      <c r="I487" t="s">
        <v>67</v>
      </c>
      <c r="J487" s="4" t="s">
        <v>173</v>
      </c>
      <c r="K487" t="s">
        <v>29</v>
      </c>
      <c r="L487" t="s">
        <v>30</v>
      </c>
      <c r="M487" t="s">
        <v>31</v>
      </c>
      <c r="N487" t="s">
        <v>32</v>
      </c>
      <c r="O487">
        <v>7</v>
      </c>
      <c r="P487">
        <v>5</v>
      </c>
      <c r="Q487" t="s">
        <v>33</v>
      </c>
      <c r="R487" t="s">
        <v>174</v>
      </c>
      <c r="S487" s="3">
        <v>0</v>
      </c>
      <c r="T487" t="s">
        <v>110</v>
      </c>
      <c r="U487" t="s">
        <v>36</v>
      </c>
    </row>
    <row r="488" spans="1:21" ht="27.6">
      <c r="A488" t="s">
        <v>1656</v>
      </c>
      <c r="B488" t="s">
        <v>1657</v>
      </c>
      <c r="C488" t="s">
        <v>1658</v>
      </c>
      <c r="D488" s="2">
        <v>46034</v>
      </c>
      <c r="E488" t="s">
        <v>24</v>
      </c>
      <c r="F488" t="s">
        <v>172</v>
      </c>
      <c r="G488" s="3">
        <v>222.97</v>
      </c>
      <c r="H488" t="s">
        <v>58</v>
      </c>
      <c r="I488" t="s">
        <v>50</v>
      </c>
      <c r="J488" s="4" t="s">
        <v>285</v>
      </c>
      <c r="K488" t="s">
        <v>33</v>
      </c>
      <c r="L488" t="s">
        <v>30</v>
      </c>
      <c r="M488" t="s">
        <v>31</v>
      </c>
      <c r="N488" t="s">
        <v>126</v>
      </c>
      <c r="O488">
        <v>7</v>
      </c>
      <c r="P488">
        <v>8</v>
      </c>
      <c r="Q488" t="s">
        <v>29</v>
      </c>
      <c r="R488" t="s">
        <v>174</v>
      </c>
      <c r="S488" s="3">
        <v>0</v>
      </c>
      <c r="T488" t="s">
        <v>286</v>
      </c>
      <c r="U488" t="s">
        <v>63</v>
      </c>
    </row>
    <row r="489" spans="1:21" ht="27.6">
      <c r="A489" t="s">
        <v>1659</v>
      </c>
      <c r="B489" t="s">
        <v>1660</v>
      </c>
      <c r="C489" t="s">
        <v>1661</v>
      </c>
      <c r="D489" s="2">
        <v>46138</v>
      </c>
      <c r="E489" t="s">
        <v>24</v>
      </c>
      <c r="F489" t="s">
        <v>172</v>
      </c>
      <c r="G489" s="3">
        <v>29.09</v>
      </c>
      <c r="H489" t="s">
        <v>89</v>
      </c>
      <c r="I489" t="s">
        <v>27</v>
      </c>
      <c r="J489" s="4" t="s">
        <v>173</v>
      </c>
      <c r="K489" t="s">
        <v>33</v>
      </c>
      <c r="L489" t="s">
        <v>30</v>
      </c>
      <c r="M489" t="s">
        <v>31</v>
      </c>
      <c r="N489" t="s">
        <v>32</v>
      </c>
      <c r="O489">
        <v>7</v>
      </c>
      <c r="P489">
        <v>14</v>
      </c>
      <c r="Q489" t="s">
        <v>29</v>
      </c>
      <c r="R489" t="s">
        <v>174</v>
      </c>
      <c r="S489" s="3">
        <v>21.82</v>
      </c>
      <c r="T489" t="s">
        <v>69</v>
      </c>
      <c r="U489" t="s">
        <v>63</v>
      </c>
    </row>
    <row r="490" spans="1:21" ht="27.6">
      <c r="A490" t="s">
        <v>1662</v>
      </c>
      <c r="B490" t="s">
        <v>1663</v>
      </c>
      <c r="C490" t="s">
        <v>1664</v>
      </c>
      <c r="D490" s="2">
        <v>46067</v>
      </c>
      <c r="E490" t="s">
        <v>24</v>
      </c>
      <c r="F490" t="s">
        <v>73</v>
      </c>
      <c r="G490" s="3">
        <v>140.9</v>
      </c>
      <c r="H490" t="s">
        <v>89</v>
      </c>
      <c r="I490" t="s">
        <v>27</v>
      </c>
      <c r="J490" s="4" t="s">
        <v>389</v>
      </c>
      <c r="K490" t="s">
        <v>33</v>
      </c>
      <c r="L490" t="s">
        <v>60</v>
      </c>
      <c r="M490" t="s">
        <v>31</v>
      </c>
      <c r="N490" t="s">
        <v>126</v>
      </c>
      <c r="O490">
        <v>10</v>
      </c>
      <c r="P490">
        <v>14</v>
      </c>
      <c r="Q490" t="s">
        <v>29</v>
      </c>
      <c r="R490" t="s">
        <v>61</v>
      </c>
      <c r="S490" s="3">
        <v>0</v>
      </c>
      <c r="T490" t="s">
        <v>62</v>
      </c>
      <c r="U490" t="s">
        <v>63</v>
      </c>
    </row>
    <row r="491" spans="1:21" ht="27.6">
      <c r="A491" t="s">
        <v>1665</v>
      </c>
      <c r="B491" t="s">
        <v>1666</v>
      </c>
      <c r="C491" t="s">
        <v>1667</v>
      </c>
      <c r="D491" s="2">
        <v>46119</v>
      </c>
      <c r="E491" t="s">
        <v>40</v>
      </c>
      <c r="F491" t="s">
        <v>82</v>
      </c>
      <c r="G491" s="3">
        <v>5.32</v>
      </c>
      <c r="H491" t="s">
        <v>58</v>
      </c>
      <c r="I491" t="s">
        <v>67</v>
      </c>
      <c r="J491" s="4" t="s">
        <v>114</v>
      </c>
      <c r="K491" t="s">
        <v>29</v>
      </c>
      <c r="L491" t="s">
        <v>30</v>
      </c>
      <c r="M491" t="s">
        <v>31</v>
      </c>
      <c r="N491" t="s">
        <v>90</v>
      </c>
      <c r="O491">
        <v>7</v>
      </c>
      <c r="P491">
        <v>6</v>
      </c>
      <c r="Q491" t="s">
        <v>33</v>
      </c>
      <c r="R491" t="s">
        <v>85</v>
      </c>
      <c r="S491" s="3">
        <v>0</v>
      </c>
      <c r="T491" t="s">
        <v>69</v>
      </c>
      <c r="U491" t="s">
        <v>53</v>
      </c>
    </row>
    <row r="492" spans="1:21" ht="27.6">
      <c r="A492" t="s">
        <v>1668</v>
      </c>
      <c r="B492" t="s">
        <v>1669</v>
      </c>
      <c r="C492" t="s">
        <v>1670</v>
      </c>
      <c r="D492" s="2">
        <v>46094</v>
      </c>
      <c r="E492" t="s">
        <v>40</v>
      </c>
      <c r="F492" t="s">
        <v>103</v>
      </c>
      <c r="G492" s="3">
        <v>104.92</v>
      </c>
      <c r="H492" t="s">
        <v>74</v>
      </c>
      <c r="I492" t="s">
        <v>27</v>
      </c>
      <c r="J492" s="4" t="s">
        <v>134</v>
      </c>
      <c r="K492" t="s">
        <v>29</v>
      </c>
      <c r="L492" t="s">
        <v>30</v>
      </c>
      <c r="M492" t="s">
        <v>31</v>
      </c>
      <c r="N492" t="s">
        <v>32</v>
      </c>
      <c r="O492">
        <v>5</v>
      </c>
      <c r="P492">
        <v>9</v>
      </c>
      <c r="Q492" t="s">
        <v>29</v>
      </c>
      <c r="R492" t="s">
        <v>34</v>
      </c>
      <c r="S492" s="3">
        <v>0</v>
      </c>
      <c r="T492" t="s">
        <v>247</v>
      </c>
      <c r="U492" t="s">
        <v>63</v>
      </c>
    </row>
    <row r="493" spans="1:21" ht="27.6">
      <c r="A493" t="s">
        <v>1671</v>
      </c>
      <c r="B493" t="s">
        <v>1672</v>
      </c>
      <c r="C493" t="s">
        <v>1673</v>
      </c>
      <c r="D493" s="2">
        <v>46124</v>
      </c>
      <c r="E493" t="s">
        <v>24</v>
      </c>
      <c r="F493" t="s">
        <v>118</v>
      </c>
      <c r="G493" s="3">
        <v>40.47</v>
      </c>
      <c r="H493" t="s">
        <v>74</v>
      </c>
      <c r="I493" t="s">
        <v>50</v>
      </c>
      <c r="J493" s="4" t="s">
        <v>1674</v>
      </c>
      <c r="K493" t="s">
        <v>29</v>
      </c>
      <c r="L493" t="s">
        <v>120</v>
      </c>
      <c r="M493" t="s">
        <v>96</v>
      </c>
      <c r="N493" t="s">
        <v>32</v>
      </c>
      <c r="O493">
        <v>5</v>
      </c>
      <c r="P493">
        <v>3</v>
      </c>
      <c r="Q493" t="s">
        <v>33</v>
      </c>
      <c r="R493" t="s">
        <v>85</v>
      </c>
      <c r="S493" s="3">
        <v>40.47</v>
      </c>
      <c r="T493" t="s">
        <v>121</v>
      </c>
      <c r="U493" t="s">
        <v>53</v>
      </c>
    </row>
    <row r="494" spans="1:21" ht="27.6">
      <c r="A494" t="s">
        <v>1675</v>
      </c>
      <c r="B494" t="s">
        <v>1676</v>
      </c>
      <c r="C494" t="s">
        <v>1677</v>
      </c>
      <c r="D494" s="2">
        <v>46039</v>
      </c>
      <c r="E494" t="s">
        <v>24</v>
      </c>
      <c r="F494" t="s">
        <v>48</v>
      </c>
      <c r="G494" s="3">
        <v>64.069999999999993</v>
      </c>
      <c r="H494" t="s">
        <v>49</v>
      </c>
      <c r="I494" t="s">
        <v>50</v>
      </c>
      <c r="J494" s="4" t="s">
        <v>68</v>
      </c>
      <c r="K494" t="s">
        <v>33</v>
      </c>
      <c r="L494" t="s">
        <v>30</v>
      </c>
      <c r="M494" t="s">
        <v>31</v>
      </c>
      <c r="N494" t="s">
        <v>32</v>
      </c>
      <c r="O494">
        <v>10</v>
      </c>
      <c r="P494">
        <v>7</v>
      </c>
      <c r="Q494" t="s">
        <v>33</v>
      </c>
      <c r="R494" t="s">
        <v>34</v>
      </c>
      <c r="S494" s="3">
        <v>0</v>
      </c>
      <c r="T494" t="s">
        <v>62</v>
      </c>
      <c r="U494" t="s">
        <v>53</v>
      </c>
    </row>
    <row r="495" spans="1:21" ht="27.6">
      <c r="A495" t="s">
        <v>1678</v>
      </c>
      <c r="B495" t="s">
        <v>1679</v>
      </c>
      <c r="C495" t="s">
        <v>1680</v>
      </c>
      <c r="D495" s="2">
        <v>46105</v>
      </c>
      <c r="E495" t="s">
        <v>47</v>
      </c>
      <c r="F495" t="s">
        <v>48</v>
      </c>
      <c r="G495" s="3">
        <v>14.44</v>
      </c>
      <c r="H495" t="s">
        <v>108</v>
      </c>
      <c r="I495" t="s">
        <v>50</v>
      </c>
      <c r="J495" s="4" t="s">
        <v>68</v>
      </c>
      <c r="K495" t="s">
        <v>29</v>
      </c>
      <c r="L495" t="s">
        <v>30</v>
      </c>
      <c r="M495" t="s">
        <v>31</v>
      </c>
      <c r="N495" t="s">
        <v>84</v>
      </c>
      <c r="O495">
        <v>10</v>
      </c>
      <c r="P495">
        <v>2</v>
      </c>
      <c r="Q495" t="s">
        <v>33</v>
      </c>
      <c r="R495" t="s">
        <v>34</v>
      </c>
      <c r="S495" s="3">
        <v>0</v>
      </c>
      <c r="T495" t="s">
        <v>69</v>
      </c>
      <c r="U495" t="s">
        <v>53</v>
      </c>
    </row>
    <row r="496" spans="1:21" ht="27.6">
      <c r="A496" t="s">
        <v>1681</v>
      </c>
      <c r="B496" t="s">
        <v>1682</v>
      </c>
      <c r="C496" t="s">
        <v>1683</v>
      </c>
      <c r="D496" s="2">
        <v>46137</v>
      </c>
      <c r="E496" t="s">
        <v>24</v>
      </c>
      <c r="F496" t="s">
        <v>82</v>
      </c>
      <c r="G496" s="3">
        <v>5.42</v>
      </c>
      <c r="H496" t="s">
        <v>49</v>
      </c>
      <c r="I496" t="s">
        <v>27</v>
      </c>
      <c r="J496" s="4" t="s">
        <v>114</v>
      </c>
      <c r="K496" t="s">
        <v>33</v>
      </c>
      <c r="L496" t="s">
        <v>30</v>
      </c>
      <c r="M496" t="s">
        <v>31</v>
      </c>
      <c r="N496" t="s">
        <v>32</v>
      </c>
      <c r="O496">
        <v>7</v>
      </c>
      <c r="P496">
        <v>7</v>
      </c>
      <c r="Q496" t="s">
        <v>33</v>
      </c>
      <c r="R496" t="s">
        <v>85</v>
      </c>
      <c r="S496" s="3">
        <v>4.0599999999999996</v>
      </c>
      <c r="T496" t="s">
        <v>62</v>
      </c>
      <c r="U496" t="s">
        <v>53</v>
      </c>
    </row>
    <row r="497" spans="1:21" ht="27.6">
      <c r="A497" t="s">
        <v>1684</v>
      </c>
      <c r="B497" t="s">
        <v>1685</v>
      </c>
      <c r="C497" t="s">
        <v>1686</v>
      </c>
      <c r="D497" s="2">
        <v>46133</v>
      </c>
      <c r="E497" t="s">
        <v>40</v>
      </c>
      <c r="F497" t="s">
        <v>172</v>
      </c>
      <c r="G497" s="3">
        <v>53.34</v>
      </c>
      <c r="H497" t="s">
        <v>41</v>
      </c>
      <c r="I497" t="s">
        <v>27</v>
      </c>
      <c r="J497" s="4" t="s">
        <v>173</v>
      </c>
      <c r="K497" t="s">
        <v>29</v>
      </c>
      <c r="L497" t="s">
        <v>30</v>
      </c>
      <c r="M497" t="s">
        <v>31</v>
      </c>
      <c r="N497" t="s">
        <v>90</v>
      </c>
      <c r="O497">
        <v>7</v>
      </c>
      <c r="P497">
        <v>8</v>
      </c>
      <c r="Q497" t="s">
        <v>29</v>
      </c>
      <c r="R497" t="s">
        <v>174</v>
      </c>
      <c r="S497" s="3">
        <v>0</v>
      </c>
      <c r="T497" t="s">
        <v>286</v>
      </c>
      <c r="U497" t="s">
        <v>63</v>
      </c>
    </row>
    <row r="498" spans="1:21" ht="27.6">
      <c r="A498" t="s">
        <v>1687</v>
      </c>
      <c r="B498" t="s">
        <v>1688</v>
      </c>
      <c r="C498" t="s">
        <v>1689</v>
      </c>
      <c r="D498" s="2">
        <v>46135</v>
      </c>
      <c r="E498" t="s">
        <v>40</v>
      </c>
      <c r="F498" t="s">
        <v>172</v>
      </c>
      <c r="G498" s="3">
        <v>45.87</v>
      </c>
      <c r="H498" t="s">
        <v>26</v>
      </c>
      <c r="I498" t="s">
        <v>67</v>
      </c>
      <c r="J498" s="4" t="s">
        <v>173</v>
      </c>
      <c r="K498" t="s">
        <v>29</v>
      </c>
      <c r="L498" t="s">
        <v>30</v>
      </c>
      <c r="M498" t="s">
        <v>31</v>
      </c>
      <c r="N498" t="s">
        <v>90</v>
      </c>
      <c r="O498">
        <v>7</v>
      </c>
      <c r="P498">
        <v>9</v>
      </c>
      <c r="Q498" t="s">
        <v>29</v>
      </c>
      <c r="R498" t="s">
        <v>174</v>
      </c>
      <c r="S498" s="3">
        <v>0</v>
      </c>
      <c r="T498" t="s">
        <v>110</v>
      </c>
      <c r="U498" t="s">
        <v>63</v>
      </c>
    </row>
    <row r="499" spans="1:21" ht="27.6">
      <c r="A499" t="s">
        <v>1690</v>
      </c>
      <c r="B499" t="s">
        <v>1691</v>
      </c>
      <c r="C499" t="s">
        <v>1692</v>
      </c>
      <c r="D499" s="2">
        <v>46133</v>
      </c>
      <c r="E499" t="s">
        <v>24</v>
      </c>
      <c r="F499" t="s">
        <v>103</v>
      </c>
      <c r="G499" s="3">
        <v>45.72</v>
      </c>
      <c r="H499" t="s">
        <v>108</v>
      </c>
      <c r="I499" t="s">
        <v>27</v>
      </c>
      <c r="J499" s="4" t="s">
        <v>134</v>
      </c>
      <c r="K499" t="s">
        <v>29</v>
      </c>
      <c r="L499" t="s">
        <v>30</v>
      </c>
      <c r="M499" t="s">
        <v>31</v>
      </c>
      <c r="N499" t="s">
        <v>32</v>
      </c>
      <c r="O499">
        <v>5</v>
      </c>
      <c r="P499">
        <v>6</v>
      </c>
      <c r="Q499" t="s">
        <v>29</v>
      </c>
      <c r="R499" t="s">
        <v>34</v>
      </c>
      <c r="S499" s="3">
        <v>0</v>
      </c>
      <c r="T499" t="s">
        <v>247</v>
      </c>
      <c r="U499" t="s">
        <v>63</v>
      </c>
    </row>
    <row r="500" spans="1:21" ht="27.6">
      <c r="A500" t="s">
        <v>1693</v>
      </c>
      <c r="B500" t="s">
        <v>1694</v>
      </c>
      <c r="C500" t="s">
        <v>1695</v>
      </c>
      <c r="D500" s="2">
        <v>46141</v>
      </c>
      <c r="E500" t="s">
        <v>40</v>
      </c>
      <c r="F500" t="s">
        <v>73</v>
      </c>
      <c r="G500" s="3">
        <v>52.63</v>
      </c>
      <c r="H500" t="s">
        <v>58</v>
      </c>
      <c r="I500" t="s">
        <v>67</v>
      </c>
      <c r="J500" s="4" t="s">
        <v>75</v>
      </c>
      <c r="K500" t="s">
        <v>29</v>
      </c>
      <c r="L500" t="s">
        <v>60</v>
      </c>
      <c r="M500" t="s">
        <v>31</v>
      </c>
      <c r="N500" t="s">
        <v>32</v>
      </c>
      <c r="O500">
        <v>10</v>
      </c>
      <c r="P500">
        <v>9</v>
      </c>
      <c r="Q500" t="s">
        <v>33</v>
      </c>
      <c r="R500" t="s">
        <v>61</v>
      </c>
      <c r="S500" s="3">
        <v>0</v>
      </c>
      <c r="T500" t="s">
        <v>52</v>
      </c>
      <c r="U500" t="s">
        <v>63</v>
      </c>
    </row>
    <row r="501" spans="1:21" ht="27.6">
      <c r="A501" t="s">
        <v>1696</v>
      </c>
      <c r="B501" t="s">
        <v>1697</v>
      </c>
      <c r="C501" t="s">
        <v>1698</v>
      </c>
      <c r="D501" s="2">
        <v>46153</v>
      </c>
      <c r="E501" t="s">
        <v>24</v>
      </c>
      <c r="F501" t="s">
        <v>82</v>
      </c>
      <c r="G501" s="3">
        <v>72.95</v>
      </c>
      <c r="H501" t="s">
        <v>74</v>
      </c>
      <c r="I501" t="s">
        <v>27</v>
      </c>
      <c r="J501" s="4" t="s">
        <v>1699</v>
      </c>
      <c r="K501" t="s">
        <v>29</v>
      </c>
      <c r="L501" t="s">
        <v>30</v>
      </c>
      <c r="M501" t="s">
        <v>31</v>
      </c>
      <c r="N501" t="s">
        <v>32</v>
      </c>
      <c r="O501">
        <v>7</v>
      </c>
      <c r="P501">
        <v>5</v>
      </c>
      <c r="Q501" t="s">
        <v>33</v>
      </c>
      <c r="R501" t="s">
        <v>85</v>
      </c>
      <c r="S501" s="3">
        <v>72.95</v>
      </c>
      <c r="T501" t="s">
        <v>43</v>
      </c>
      <c r="U501" t="s">
        <v>36</v>
      </c>
    </row>
    <row r="502" spans="1:21" ht="27.6">
      <c r="A502" t="s">
        <v>1700</v>
      </c>
      <c r="B502" t="s">
        <v>1701</v>
      </c>
      <c r="C502" t="s">
        <v>1702</v>
      </c>
      <c r="D502" s="2">
        <v>46060</v>
      </c>
      <c r="E502" t="s">
        <v>24</v>
      </c>
      <c r="F502" t="s">
        <v>118</v>
      </c>
      <c r="G502" s="3">
        <v>28.14</v>
      </c>
      <c r="H502" t="s">
        <v>26</v>
      </c>
      <c r="I502" t="s">
        <v>50</v>
      </c>
      <c r="J502" s="4" t="s">
        <v>119</v>
      </c>
      <c r="K502" t="s">
        <v>33</v>
      </c>
      <c r="L502" t="s">
        <v>120</v>
      </c>
      <c r="M502" t="s">
        <v>96</v>
      </c>
      <c r="N502" t="s">
        <v>126</v>
      </c>
      <c r="O502">
        <v>5</v>
      </c>
      <c r="P502">
        <v>4</v>
      </c>
      <c r="Q502" t="s">
        <v>33</v>
      </c>
      <c r="R502" t="s">
        <v>85</v>
      </c>
      <c r="S502" s="3">
        <v>0</v>
      </c>
      <c r="T502" t="s">
        <v>121</v>
      </c>
      <c r="U502" t="s">
        <v>53</v>
      </c>
    </row>
    <row r="503" spans="1:21" ht="27.6">
      <c r="A503" t="s">
        <v>1703</v>
      </c>
      <c r="B503" t="s">
        <v>1704</v>
      </c>
      <c r="C503" t="s">
        <v>1705</v>
      </c>
      <c r="D503" s="2">
        <v>46074</v>
      </c>
      <c r="E503" t="s">
        <v>40</v>
      </c>
      <c r="F503" t="s">
        <v>118</v>
      </c>
      <c r="G503" s="3">
        <v>18.61</v>
      </c>
      <c r="H503" t="s">
        <v>108</v>
      </c>
      <c r="I503" t="s">
        <v>50</v>
      </c>
      <c r="J503" s="4" t="s">
        <v>119</v>
      </c>
      <c r="K503" t="s">
        <v>33</v>
      </c>
      <c r="L503" t="s">
        <v>30</v>
      </c>
      <c r="M503" t="s">
        <v>31</v>
      </c>
      <c r="N503" t="s">
        <v>32</v>
      </c>
      <c r="O503">
        <v>5</v>
      </c>
      <c r="P503">
        <v>10</v>
      </c>
      <c r="Q503" t="s">
        <v>29</v>
      </c>
      <c r="R503" t="s">
        <v>85</v>
      </c>
      <c r="S503" s="3">
        <v>18.61</v>
      </c>
      <c r="T503" t="s">
        <v>121</v>
      </c>
      <c r="U503" t="s">
        <v>63</v>
      </c>
    </row>
    <row r="504" spans="1:21" ht="27.6">
      <c r="A504" t="s">
        <v>1706</v>
      </c>
      <c r="B504" t="s">
        <v>1707</v>
      </c>
      <c r="C504" t="s">
        <v>1708</v>
      </c>
      <c r="D504" s="2">
        <v>46107</v>
      </c>
      <c r="E504" t="s">
        <v>24</v>
      </c>
      <c r="F504" t="s">
        <v>82</v>
      </c>
      <c r="G504" s="3">
        <v>23.93</v>
      </c>
      <c r="H504" t="s">
        <v>89</v>
      </c>
      <c r="I504" t="s">
        <v>27</v>
      </c>
      <c r="J504" s="4" t="s">
        <v>1709</v>
      </c>
      <c r="K504" t="s">
        <v>29</v>
      </c>
      <c r="L504" t="s">
        <v>30</v>
      </c>
      <c r="M504" t="s">
        <v>31</v>
      </c>
      <c r="N504" t="s">
        <v>32</v>
      </c>
      <c r="O504">
        <v>7</v>
      </c>
      <c r="P504">
        <v>7</v>
      </c>
      <c r="Q504" t="s">
        <v>33</v>
      </c>
      <c r="R504" t="s">
        <v>85</v>
      </c>
      <c r="S504" s="3">
        <v>0</v>
      </c>
      <c r="T504" t="s">
        <v>69</v>
      </c>
      <c r="U504" t="s">
        <v>53</v>
      </c>
    </row>
    <row r="505" spans="1:21" ht="27.6">
      <c r="A505" t="s">
        <v>1710</v>
      </c>
      <c r="B505" t="s">
        <v>1711</v>
      </c>
      <c r="C505" t="s">
        <v>1712</v>
      </c>
      <c r="D505" s="2">
        <v>46114</v>
      </c>
      <c r="E505" t="s">
        <v>24</v>
      </c>
      <c r="F505" t="s">
        <v>25</v>
      </c>
      <c r="G505" s="3">
        <v>27.69</v>
      </c>
      <c r="H505" t="s">
        <v>89</v>
      </c>
      <c r="I505" t="s">
        <v>67</v>
      </c>
      <c r="J505" s="4" t="s">
        <v>1713</v>
      </c>
      <c r="K505" t="s">
        <v>29</v>
      </c>
      <c r="L505" t="s">
        <v>30</v>
      </c>
      <c r="M505" t="s">
        <v>31</v>
      </c>
      <c r="N505" t="s">
        <v>32</v>
      </c>
      <c r="O505">
        <v>5</v>
      </c>
      <c r="P505">
        <v>3</v>
      </c>
      <c r="Q505" t="s">
        <v>33</v>
      </c>
      <c r="R505" t="s">
        <v>34</v>
      </c>
      <c r="S505" s="3">
        <v>13.85</v>
      </c>
      <c r="T505" t="s">
        <v>110</v>
      </c>
      <c r="U505" t="s">
        <v>36</v>
      </c>
    </row>
    <row r="506" spans="1:21" ht="27.6">
      <c r="A506" t="s">
        <v>1714</v>
      </c>
      <c r="B506" t="s">
        <v>1715</v>
      </c>
      <c r="C506" t="s">
        <v>1716</v>
      </c>
      <c r="D506" s="2">
        <v>46164</v>
      </c>
      <c r="E506" t="s">
        <v>24</v>
      </c>
      <c r="F506" t="s">
        <v>25</v>
      </c>
      <c r="G506" s="3">
        <v>21.33</v>
      </c>
      <c r="H506" t="s">
        <v>26</v>
      </c>
      <c r="I506" t="s">
        <v>27</v>
      </c>
      <c r="J506" s="4" t="s">
        <v>42</v>
      </c>
      <c r="K506" t="s">
        <v>29</v>
      </c>
      <c r="L506" t="s">
        <v>30</v>
      </c>
      <c r="M506" t="s">
        <v>31</v>
      </c>
      <c r="N506" t="s">
        <v>32</v>
      </c>
      <c r="O506">
        <v>5</v>
      </c>
      <c r="P506">
        <v>2</v>
      </c>
      <c r="Q506" t="s">
        <v>33</v>
      </c>
      <c r="R506" t="s">
        <v>34</v>
      </c>
      <c r="S506" s="3">
        <v>16</v>
      </c>
      <c r="T506" t="s">
        <v>43</v>
      </c>
      <c r="U506" t="s">
        <v>53</v>
      </c>
    </row>
    <row r="507" spans="1:21" ht="27.6">
      <c r="A507" t="s">
        <v>1717</v>
      </c>
      <c r="B507" t="s">
        <v>1718</v>
      </c>
      <c r="C507" t="s">
        <v>1719</v>
      </c>
      <c r="D507" s="2">
        <v>46066</v>
      </c>
      <c r="E507" t="s">
        <v>94</v>
      </c>
      <c r="F507" t="s">
        <v>48</v>
      </c>
      <c r="G507" s="3">
        <v>68.849999999999994</v>
      </c>
      <c r="H507" t="s">
        <v>108</v>
      </c>
      <c r="I507" t="s">
        <v>50</v>
      </c>
      <c r="J507" s="4" t="s">
        <v>51</v>
      </c>
      <c r="K507" t="s">
        <v>29</v>
      </c>
      <c r="L507" t="s">
        <v>30</v>
      </c>
      <c r="M507" t="s">
        <v>31</v>
      </c>
      <c r="N507" t="s">
        <v>84</v>
      </c>
      <c r="O507">
        <v>10</v>
      </c>
      <c r="P507">
        <v>1</v>
      </c>
      <c r="Q507" t="s">
        <v>33</v>
      </c>
      <c r="R507" t="s">
        <v>34</v>
      </c>
      <c r="S507" s="3">
        <v>0</v>
      </c>
      <c r="T507" t="s">
        <v>52</v>
      </c>
      <c r="U507" t="s">
        <v>53</v>
      </c>
    </row>
    <row r="508" spans="1:21" ht="27.6">
      <c r="A508" t="s">
        <v>1720</v>
      </c>
      <c r="B508" t="s">
        <v>1721</v>
      </c>
      <c r="C508" t="s">
        <v>1722</v>
      </c>
      <c r="D508" s="2">
        <v>46061</v>
      </c>
      <c r="E508" t="s">
        <v>24</v>
      </c>
      <c r="F508" t="s">
        <v>25</v>
      </c>
      <c r="G508" s="3">
        <v>82.39</v>
      </c>
      <c r="H508" t="s">
        <v>26</v>
      </c>
      <c r="I508" t="s">
        <v>67</v>
      </c>
      <c r="J508" s="4" t="s">
        <v>42</v>
      </c>
      <c r="K508" t="s">
        <v>33</v>
      </c>
      <c r="L508" t="s">
        <v>30</v>
      </c>
      <c r="M508" t="s">
        <v>31</v>
      </c>
      <c r="N508" t="s">
        <v>32</v>
      </c>
      <c r="O508">
        <v>5</v>
      </c>
      <c r="P508">
        <v>12</v>
      </c>
      <c r="Q508" t="s">
        <v>29</v>
      </c>
      <c r="R508" t="s">
        <v>34</v>
      </c>
      <c r="S508" s="3">
        <v>0</v>
      </c>
      <c r="T508" t="s">
        <v>35</v>
      </c>
      <c r="U508" t="s">
        <v>63</v>
      </c>
    </row>
    <row r="509" spans="1:21" ht="27.6">
      <c r="A509" t="s">
        <v>1723</v>
      </c>
      <c r="B509" t="s">
        <v>1724</v>
      </c>
      <c r="C509" t="s">
        <v>1725</v>
      </c>
      <c r="D509" s="2">
        <v>46141</v>
      </c>
      <c r="E509" t="s">
        <v>24</v>
      </c>
      <c r="F509" t="s">
        <v>103</v>
      </c>
      <c r="G509" s="3">
        <v>43.46</v>
      </c>
      <c r="H509" t="s">
        <v>108</v>
      </c>
      <c r="I509" t="s">
        <v>27</v>
      </c>
      <c r="J509" s="4" t="s">
        <v>104</v>
      </c>
      <c r="K509" t="s">
        <v>29</v>
      </c>
      <c r="L509" t="s">
        <v>30</v>
      </c>
      <c r="M509" t="s">
        <v>31</v>
      </c>
      <c r="N509" t="s">
        <v>32</v>
      </c>
      <c r="O509">
        <v>5</v>
      </c>
      <c r="P509">
        <v>7</v>
      </c>
      <c r="Q509" t="s">
        <v>29</v>
      </c>
      <c r="R509" t="s">
        <v>34</v>
      </c>
      <c r="S509" s="3">
        <v>0</v>
      </c>
      <c r="T509" t="s">
        <v>35</v>
      </c>
      <c r="U509" t="s">
        <v>63</v>
      </c>
    </row>
    <row r="510" spans="1:21" ht="27.6">
      <c r="A510" t="s">
        <v>1726</v>
      </c>
      <c r="B510" t="s">
        <v>1727</v>
      </c>
      <c r="C510" t="s">
        <v>1728</v>
      </c>
      <c r="D510" s="2">
        <v>46078</v>
      </c>
      <c r="E510" t="s">
        <v>24</v>
      </c>
      <c r="F510" t="s">
        <v>73</v>
      </c>
      <c r="G510" s="3">
        <v>203.06</v>
      </c>
      <c r="H510" t="s">
        <v>41</v>
      </c>
      <c r="I510" t="s">
        <v>27</v>
      </c>
      <c r="J510" s="4" t="s">
        <v>389</v>
      </c>
      <c r="K510" t="s">
        <v>29</v>
      </c>
      <c r="L510" t="s">
        <v>60</v>
      </c>
      <c r="M510" t="s">
        <v>31</v>
      </c>
      <c r="N510" t="s">
        <v>32</v>
      </c>
      <c r="O510">
        <v>10</v>
      </c>
      <c r="P510">
        <v>9</v>
      </c>
      <c r="Q510" t="s">
        <v>33</v>
      </c>
      <c r="R510" t="s">
        <v>61</v>
      </c>
      <c r="S510" s="3">
        <v>203.06</v>
      </c>
      <c r="T510" t="s">
        <v>156</v>
      </c>
      <c r="U510" t="s">
        <v>63</v>
      </c>
    </row>
    <row r="511" spans="1:21" ht="27.6">
      <c r="A511" t="s">
        <v>1729</v>
      </c>
      <c r="B511" t="s">
        <v>1730</v>
      </c>
      <c r="C511" t="s">
        <v>1731</v>
      </c>
      <c r="D511" s="2">
        <v>46142</v>
      </c>
      <c r="E511" t="s">
        <v>47</v>
      </c>
      <c r="F511" t="s">
        <v>82</v>
      </c>
      <c r="G511" s="3">
        <v>40.25</v>
      </c>
      <c r="H511" t="s">
        <v>26</v>
      </c>
      <c r="I511" t="s">
        <v>27</v>
      </c>
      <c r="J511" s="4" t="s">
        <v>1732</v>
      </c>
      <c r="K511" t="s">
        <v>29</v>
      </c>
      <c r="L511" t="s">
        <v>30</v>
      </c>
      <c r="M511" t="s">
        <v>31</v>
      </c>
      <c r="N511" t="s">
        <v>32</v>
      </c>
      <c r="O511">
        <v>7</v>
      </c>
      <c r="P511">
        <v>9</v>
      </c>
      <c r="Q511" t="s">
        <v>29</v>
      </c>
      <c r="R511" t="s">
        <v>85</v>
      </c>
      <c r="S511" s="3">
        <v>0</v>
      </c>
      <c r="T511" t="s">
        <v>62</v>
      </c>
      <c r="U511" t="s">
        <v>63</v>
      </c>
    </row>
    <row r="512" spans="1:21" ht="27.6">
      <c r="A512" t="s">
        <v>1733</v>
      </c>
      <c r="B512" t="s">
        <v>1734</v>
      </c>
      <c r="C512" t="s">
        <v>1735</v>
      </c>
      <c r="D512" s="2">
        <v>46162</v>
      </c>
      <c r="E512" t="s">
        <v>40</v>
      </c>
      <c r="F512" t="s">
        <v>57</v>
      </c>
      <c r="G512" s="3">
        <v>23.48</v>
      </c>
      <c r="H512" t="s">
        <v>41</v>
      </c>
      <c r="I512" t="s">
        <v>27</v>
      </c>
      <c r="J512" s="4" t="s">
        <v>155</v>
      </c>
      <c r="K512" t="s">
        <v>33</v>
      </c>
      <c r="L512" t="s">
        <v>60</v>
      </c>
      <c r="M512" t="s">
        <v>31</v>
      </c>
      <c r="N512" t="s">
        <v>32</v>
      </c>
      <c r="O512">
        <v>10</v>
      </c>
      <c r="P512">
        <v>15</v>
      </c>
      <c r="Q512" t="s">
        <v>29</v>
      </c>
      <c r="R512" t="s">
        <v>61</v>
      </c>
      <c r="S512" s="3">
        <v>23.48</v>
      </c>
      <c r="T512" t="s">
        <v>62</v>
      </c>
      <c r="U512" t="s">
        <v>63</v>
      </c>
    </row>
    <row r="513" spans="1:21" ht="27.6">
      <c r="A513" t="s">
        <v>1736</v>
      </c>
      <c r="B513" t="s">
        <v>1737</v>
      </c>
      <c r="C513" t="s">
        <v>1738</v>
      </c>
      <c r="D513" s="2">
        <v>46099</v>
      </c>
      <c r="E513" t="s">
        <v>24</v>
      </c>
      <c r="F513" t="s">
        <v>82</v>
      </c>
      <c r="G513" s="3">
        <v>280.86</v>
      </c>
      <c r="H513" t="s">
        <v>26</v>
      </c>
      <c r="I513" t="s">
        <v>27</v>
      </c>
      <c r="J513" s="4" t="s">
        <v>114</v>
      </c>
      <c r="K513" t="s">
        <v>29</v>
      </c>
      <c r="L513" t="s">
        <v>30</v>
      </c>
      <c r="M513" t="s">
        <v>31</v>
      </c>
      <c r="N513" t="s">
        <v>84</v>
      </c>
      <c r="O513">
        <v>7</v>
      </c>
      <c r="P513">
        <v>4</v>
      </c>
      <c r="Q513" t="s">
        <v>33</v>
      </c>
      <c r="R513" t="s">
        <v>85</v>
      </c>
      <c r="S513" s="3">
        <v>0</v>
      </c>
      <c r="T513" t="s">
        <v>43</v>
      </c>
      <c r="U513" t="s">
        <v>53</v>
      </c>
    </row>
    <row r="514" spans="1:21" ht="27.6">
      <c r="A514" t="s">
        <v>1739</v>
      </c>
      <c r="B514" t="s">
        <v>1740</v>
      </c>
      <c r="C514" t="s">
        <v>1741</v>
      </c>
      <c r="D514" s="2">
        <v>46155</v>
      </c>
      <c r="E514" t="s">
        <v>47</v>
      </c>
      <c r="F514" t="s">
        <v>172</v>
      </c>
      <c r="G514" s="3">
        <v>31.64</v>
      </c>
      <c r="H514" t="s">
        <v>41</v>
      </c>
      <c r="I514" t="s">
        <v>67</v>
      </c>
      <c r="J514" s="4" t="s">
        <v>285</v>
      </c>
      <c r="K514" t="s">
        <v>29</v>
      </c>
      <c r="L514" t="s">
        <v>30</v>
      </c>
      <c r="M514" t="s">
        <v>31</v>
      </c>
      <c r="N514" t="s">
        <v>32</v>
      </c>
      <c r="O514">
        <v>7</v>
      </c>
      <c r="P514">
        <v>1</v>
      </c>
      <c r="Q514" t="s">
        <v>33</v>
      </c>
      <c r="R514" t="s">
        <v>174</v>
      </c>
      <c r="S514" s="3">
        <v>31.64</v>
      </c>
      <c r="T514" t="s">
        <v>69</v>
      </c>
      <c r="U514" t="s">
        <v>53</v>
      </c>
    </row>
    <row r="515" spans="1:21" ht="27.6">
      <c r="A515" t="s">
        <v>1742</v>
      </c>
      <c r="B515" t="s">
        <v>1743</v>
      </c>
      <c r="C515" t="s">
        <v>1744</v>
      </c>
      <c r="D515" s="2">
        <v>46055</v>
      </c>
      <c r="E515" t="s">
        <v>24</v>
      </c>
      <c r="F515" t="s">
        <v>103</v>
      </c>
      <c r="G515" s="3">
        <v>40.409999999999997</v>
      </c>
      <c r="H515" t="s">
        <v>41</v>
      </c>
      <c r="I515" t="s">
        <v>27</v>
      </c>
      <c r="J515" s="4" t="s">
        <v>104</v>
      </c>
      <c r="K515" t="s">
        <v>29</v>
      </c>
      <c r="L515" t="s">
        <v>30</v>
      </c>
      <c r="M515" t="s">
        <v>31</v>
      </c>
      <c r="N515" t="s">
        <v>32</v>
      </c>
      <c r="O515">
        <v>5</v>
      </c>
      <c r="P515">
        <v>9</v>
      </c>
      <c r="Q515" t="s">
        <v>29</v>
      </c>
      <c r="R515" t="s">
        <v>34</v>
      </c>
      <c r="S515" s="3">
        <v>0</v>
      </c>
      <c r="T515" t="s">
        <v>247</v>
      </c>
      <c r="U515" t="s">
        <v>63</v>
      </c>
    </row>
    <row r="516" spans="1:21" ht="27.6">
      <c r="A516" t="s">
        <v>1745</v>
      </c>
      <c r="B516" t="s">
        <v>1746</v>
      </c>
      <c r="C516" t="s">
        <v>1747</v>
      </c>
      <c r="D516" s="2">
        <v>46028</v>
      </c>
      <c r="E516" t="s">
        <v>47</v>
      </c>
      <c r="F516" t="s">
        <v>25</v>
      </c>
      <c r="G516" s="3">
        <v>48.27</v>
      </c>
      <c r="H516" t="s">
        <v>108</v>
      </c>
      <c r="I516" t="s">
        <v>27</v>
      </c>
      <c r="J516" s="4" t="s">
        <v>1748</v>
      </c>
      <c r="K516" t="s">
        <v>29</v>
      </c>
      <c r="L516" t="s">
        <v>30</v>
      </c>
      <c r="M516" t="s">
        <v>31</v>
      </c>
      <c r="N516" t="s">
        <v>32</v>
      </c>
      <c r="O516">
        <v>5</v>
      </c>
      <c r="P516">
        <v>3</v>
      </c>
      <c r="Q516" t="s">
        <v>33</v>
      </c>
      <c r="R516" t="s">
        <v>34</v>
      </c>
      <c r="S516" s="3">
        <v>0</v>
      </c>
      <c r="T516" t="s">
        <v>35</v>
      </c>
      <c r="U516" t="s">
        <v>36</v>
      </c>
    </row>
    <row r="517" spans="1:21" ht="27.6">
      <c r="A517" t="s">
        <v>1749</v>
      </c>
      <c r="B517" t="s">
        <v>1750</v>
      </c>
      <c r="C517" t="s">
        <v>1751</v>
      </c>
      <c r="D517" s="2">
        <v>46164</v>
      </c>
      <c r="E517" t="s">
        <v>24</v>
      </c>
      <c r="F517" t="s">
        <v>57</v>
      </c>
      <c r="G517" s="3">
        <v>47.22</v>
      </c>
      <c r="H517" t="s">
        <v>74</v>
      </c>
      <c r="I517" t="s">
        <v>27</v>
      </c>
      <c r="J517" s="4" t="s">
        <v>59</v>
      </c>
      <c r="K517" t="s">
        <v>33</v>
      </c>
      <c r="L517" t="s">
        <v>60</v>
      </c>
      <c r="M517" t="s">
        <v>31</v>
      </c>
      <c r="N517" t="s">
        <v>32</v>
      </c>
      <c r="O517">
        <v>10</v>
      </c>
      <c r="P517">
        <v>16</v>
      </c>
      <c r="Q517" t="s">
        <v>29</v>
      </c>
      <c r="R517" t="s">
        <v>61</v>
      </c>
      <c r="S517" s="3">
        <v>47.22</v>
      </c>
      <c r="T517" t="s">
        <v>52</v>
      </c>
      <c r="U517" t="s">
        <v>63</v>
      </c>
    </row>
    <row r="518" spans="1:21" ht="27.6">
      <c r="A518" t="s">
        <v>1752</v>
      </c>
      <c r="B518" t="s">
        <v>1753</v>
      </c>
      <c r="C518" t="s">
        <v>1754</v>
      </c>
      <c r="D518" s="2">
        <v>46117</v>
      </c>
      <c r="E518" t="s">
        <v>47</v>
      </c>
      <c r="F518" t="s">
        <v>25</v>
      </c>
      <c r="G518" s="3">
        <v>98.53</v>
      </c>
      <c r="H518" t="s">
        <v>74</v>
      </c>
      <c r="I518" t="s">
        <v>67</v>
      </c>
      <c r="J518" s="4" t="s">
        <v>1755</v>
      </c>
      <c r="K518" t="s">
        <v>29</v>
      </c>
      <c r="L518" t="s">
        <v>30</v>
      </c>
      <c r="M518" t="s">
        <v>31</v>
      </c>
      <c r="N518" t="s">
        <v>84</v>
      </c>
      <c r="O518">
        <v>5</v>
      </c>
      <c r="P518">
        <v>4</v>
      </c>
      <c r="Q518" t="s">
        <v>33</v>
      </c>
      <c r="R518" t="s">
        <v>34</v>
      </c>
      <c r="S518" s="3">
        <v>0</v>
      </c>
      <c r="T518" t="s">
        <v>43</v>
      </c>
      <c r="U518" t="s">
        <v>53</v>
      </c>
    </row>
    <row r="519" spans="1:21" ht="27.6">
      <c r="A519" t="s">
        <v>1756</v>
      </c>
      <c r="B519" t="s">
        <v>1757</v>
      </c>
      <c r="C519" t="s">
        <v>1758</v>
      </c>
      <c r="D519" s="2">
        <v>46144</v>
      </c>
      <c r="E519" t="s">
        <v>24</v>
      </c>
      <c r="F519" t="s">
        <v>172</v>
      </c>
      <c r="G519" s="3">
        <v>28.59</v>
      </c>
      <c r="H519" t="s">
        <v>58</v>
      </c>
      <c r="I519" t="s">
        <v>50</v>
      </c>
      <c r="J519" s="4" t="s">
        <v>173</v>
      </c>
      <c r="K519" t="s">
        <v>29</v>
      </c>
      <c r="L519" t="s">
        <v>30</v>
      </c>
      <c r="M519" t="s">
        <v>31</v>
      </c>
      <c r="N519" t="s">
        <v>90</v>
      </c>
      <c r="O519">
        <v>7</v>
      </c>
      <c r="P519">
        <v>8</v>
      </c>
      <c r="Q519" t="s">
        <v>29</v>
      </c>
      <c r="R519" t="s">
        <v>174</v>
      </c>
      <c r="S519" s="3">
        <v>0</v>
      </c>
      <c r="T519" t="s">
        <v>69</v>
      </c>
      <c r="U519" t="s">
        <v>63</v>
      </c>
    </row>
    <row r="520" spans="1:21" ht="27.6">
      <c r="A520" t="s">
        <v>1759</v>
      </c>
      <c r="B520" t="s">
        <v>1760</v>
      </c>
      <c r="C520" t="s">
        <v>1761</v>
      </c>
      <c r="D520" s="2">
        <v>46086</v>
      </c>
      <c r="E520" t="s">
        <v>47</v>
      </c>
      <c r="F520" t="s">
        <v>73</v>
      </c>
      <c r="G520" s="3">
        <v>112.67</v>
      </c>
      <c r="H520" t="s">
        <v>89</v>
      </c>
      <c r="I520" t="s">
        <v>27</v>
      </c>
      <c r="J520" s="4" t="s">
        <v>389</v>
      </c>
      <c r="K520" t="s">
        <v>29</v>
      </c>
      <c r="L520" t="s">
        <v>60</v>
      </c>
      <c r="M520" t="s">
        <v>31</v>
      </c>
      <c r="N520" t="s">
        <v>32</v>
      </c>
      <c r="O520">
        <v>10</v>
      </c>
      <c r="P520">
        <v>13</v>
      </c>
      <c r="Q520" t="s">
        <v>29</v>
      </c>
      <c r="R520" t="s">
        <v>61</v>
      </c>
      <c r="S520" s="3">
        <v>56.34</v>
      </c>
      <c r="T520" t="s">
        <v>62</v>
      </c>
      <c r="U520" t="s">
        <v>63</v>
      </c>
    </row>
    <row r="521" spans="1:21" ht="27.6">
      <c r="A521" t="s">
        <v>1762</v>
      </c>
      <c r="B521" t="s">
        <v>1763</v>
      </c>
      <c r="C521" t="s">
        <v>1764</v>
      </c>
      <c r="D521" s="2">
        <v>46133</v>
      </c>
      <c r="E521" t="s">
        <v>47</v>
      </c>
      <c r="F521" t="s">
        <v>73</v>
      </c>
      <c r="G521" s="3">
        <v>13.87</v>
      </c>
      <c r="H521" t="s">
        <v>108</v>
      </c>
      <c r="I521" t="s">
        <v>50</v>
      </c>
      <c r="J521" s="4" t="s">
        <v>75</v>
      </c>
      <c r="K521" t="s">
        <v>29</v>
      </c>
      <c r="L521" t="s">
        <v>60</v>
      </c>
      <c r="M521" t="s">
        <v>31</v>
      </c>
      <c r="N521" t="s">
        <v>32</v>
      </c>
      <c r="O521">
        <v>10</v>
      </c>
      <c r="P521">
        <v>8</v>
      </c>
      <c r="Q521" t="s">
        <v>33</v>
      </c>
      <c r="R521" t="s">
        <v>61</v>
      </c>
      <c r="S521" s="3">
        <v>6.93</v>
      </c>
      <c r="T521" t="s">
        <v>156</v>
      </c>
      <c r="U521" t="s">
        <v>63</v>
      </c>
    </row>
    <row r="522" spans="1:21" ht="27.6">
      <c r="A522" t="s">
        <v>1765</v>
      </c>
      <c r="B522" t="s">
        <v>1766</v>
      </c>
      <c r="C522" t="s">
        <v>1767</v>
      </c>
      <c r="D522" s="2">
        <v>46164</v>
      </c>
      <c r="E522" t="s">
        <v>24</v>
      </c>
      <c r="F522" t="s">
        <v>82</v>
      </c>
      <c r="G522" s="3">
        <v>85.75</v>
      </c>
      <c r="H522" t="s">
        <v>49</v>
      </c>
      <c r="I522" t="s">
        <v>27</v>
      </c>
      <c r="J522" s="4" t="s">
        <v>1768</v>
      </c>
      <c r="K522" t="s">
        <v>29</v>
      </c>
      <c r="L522" t="s">
        <v>30</v>
      </c>
      <c r="M522" t="s">
        <v>31</v>
      </c>
      <c r="N522" t="s">
        <v>32</v>
      </c>
      <c r="O522">
        <v>7</v>
      </c>
      <c r="P522">
        <v>6</v>
      </c>
      <c r="Q522" t="s">
        <v>33</v>
      </c>
      <c r="R522" t="s">
        <v>85</v>
      </c>
      <c r="S522" s="3">
        <v>0</v>
      </c>
      <c r="T522" t="s">
        <v>69</v>
      </c>
      <c r="U522" t="s">
        <v>36</v>
      </c>
    </row>
    <row r="523" spans="1:21" ht="27.6">
      <c r="A523" t="s">
        <v>1769</v>
      </c>
      <c r="B523" t="s">
        <v>1770</v>
      </c>
      <c r="C523" t="s">
        <v>1771</v>
      </c>
      <c r="D523" s="2">
        <v>46125</v>
      </c>
      <c r="E523" t="s">
        <v>94</v>
      </c>
      <c r="F523" t="s">
        <v>82</v>
      </c>
      <c r="G523" s="3">
        <v>99.88</v>
      </c>
      <c r="H523" t="s">
        <v>58</v>
      </c>
      <c r="I523" t="s">
        <v>27</v>
      </c>
      <c r="J523" s="4" t="s">
        <v>1772</v>
      </c>
      <c r="K523" t="s">
        <v>29</v>
      </c>
      <c r="L523" t="s">
        <v>30</v>
      </c>
      <c r="M523" t="s">
        <v>31</v>
      </c>
      <c r="N523" t="s">
        <v>32</v>
      </c>
      <c r="O523">
        <v>7</v>
      </c>
      <c r="P523">
        <v>6</v>
      </c>
      <c r="Q523" t="s">
        <v>33</v>
      </c>
      <c r="R523" t="s">
        <v>85</v>
      </c>
      <c r="S523" s="3">
        <v>74.91</v>
      </c>
      <c r="T523" t="s">
        <v>43</v>
      </c>
      <c r="U523" t="s">
        <v>53</v>
      </c>
    </row>
    <row r="524" spans="1:21" ht="27.6">
      <c r="A524" t="s">
        <v>1773</v>
      </c>
      <c r="B524" t="s">
        <v>1774</v>
      </c>
      <c r="C524" t="s">
        <v>1775</v>
      </c>
      <c r="D524" s="2">
        <v>46064</v>
      </c>
      <c r="E524" t="s">
        <v>24</v>
      </c>
      <c r="F524" t="s">
        <v>25</v>
      </c>
      <c r="G524" s="3">
        <v>17.72</v>
      </c>
      <c r="H524" t="s">
        <v>89</v>
      </c>
      <c r="I524" t="s">
        <v>50</v>
      </c>
      <c r="J524" s="4" t="s">
        <v>42</v>
      </c>
      <c r="K524" t="s">
        <v>29</v>
      </c>
      <c r="L524" t="s">
        <v>30</v>
      </c>
      <c r="M524" t="s">
        <v>96</v>
      </c>
      <c r="N524" t="s">
        <v>32</v>
      </c>
      <c r="O524">
        <v>5</v>
      </c>
      <c r="P524">
        <v>6</v>
      </c>
      <c r="Q524" t="s">
        <v>29</v>
      </c>
      <c r="R524" t="s">
        <v>34</v>
      </c>
      <c r="S524" s="3">
        <v>17.72</v>
      </c>
      <c r="T524" t="s">
        <v>35</v>
      </c>
      <c r="U524" t="s">
        <v>63</v>
      </c>
    </row>
    <row r="525" spans="1:21" ht="27.6">
      <c r="A525" t="s">
        <v>1776</v>
      </c>
      <c r="B525" t="s">
        <v>1777</v>
      </c>
      <c r="C525" t="s">
        <v>1778</v>
      </c>
      <c r="D525" s="2">
        <v>46031</v>
      </c>
      <c r="E525" t="s">
        <v>94</v>
      </c>
      <c r="F525" t="s">
        <v>172</v>
      </c>
      <c r="G525" s="3">
        <v>37.01</v>
      </c>
      <c r="H525" t="s">
        <v>58</v>
      </c>
      <c r="I525" t="s">
        <v>67</v>
      </c>
      <c r="J525" s="4" t="s">
        <v>285</v>
      </c>
      <c r="K525" t="s">
        <v>29</v>
      </c>
      <c r="L525" t="s">
        <v>30</v>
      </c>
      <c r="M525" t="s">
        <v>31</v>
      </c>
      <c r="N525" t="s">
        <v>32</v>
      </c>
      <c r="O525">
        <v>7</v>
      </c>
      <c r="P525">
        <v>3</v>
      </c>
      <c r="Q525" t="s">
        <v>33</v>
      </c>
      <c r="R525" t="s">
        <v>174</v>
      </c>
      <c r="S525" s="3">
        <v>37.01</v>
      </c>
      <c r="T525" t="s">
        <v>110</v>
      </c>
      <c r="U525" t="s">
        <v>36</v>
      </c>
    </row>
    <row r="526" spans="1:21" ht="27.6">
      <c r="A526" t="s">
        <v>1779</v>
      </c>
      <c r="B526" t="s">
        <v>1780</v>
      </c>
      <c r="C526" t="s">
        <v>1781</v>
      </c>
      <c r="D526" s="2">
        <v>46024</v>
      </c>
      <c r="E526" t="s">
        <v>24</v>
      </c>
      <c r="F526" t="s">
        <v>82</v>
      </c>
      <c r="G526" s="3">
        <v>22.65</v>
      </c>
      <c r="H526" t="s">
        <v>74</v>
      </c>
      <c r="I526" t="s">
        <v>27</v>
      </c>
      <c r="J526" s="4" t="s">
        <v>114</v>
      </c>
      <c r="K526" t="s">
        <v>29</v>
      </c>
      <c r="L526" t="s">
        <v>30</v>
      </c>
      <c r="M526" t="s">
        <v>31</v>
      </c>
      <c r="N526" t="s">
        <v>32</v>
      </c>
      <c r="O526">
        <v>7</v>
      </c>
      <c r="P526">
        <v>8</v>
      </c>
      <c r="Q526" t="s">
        <v>29</v>
      </c>
      <c r="R526" t="s">
        <v>85</v>
      </c>
      <c r="S526" s="3">
        <v>0</v>
      </c>
      <c r="T526" t="s">
        <v>43</v>
      </c>
      <c r="U526" t="s">
        <v>63</v>
      </c>
    </row>
    <row r="527" spans="1:21" ht="27.6">
      <c r="A527" t="s">
        <v>1782</v>
      </c>
      <c r="B527" t="s">
        <v>1783</v>
      </c>
      <c r="C527" t="s">
        <v>1784</v>
      </c>
      <c r="D527" s="2">
        <v>46065</v>
      </c>
      <c r="E527" t="s">
        <v>40</v>
      </c>
      <c r="F527" t="s">
        <v>25</v>
      </c>
      <c r="G527" s="3">
        <v>44.65</v>
      </c>
      <c r="H527" t="s">
        <v>41</v>
      </c>
      <c r="I527" t="s">
        <v>50</v>
      </c>
      <c r="J527" s="4" t="s">
        <v>1785</v>
      </c>
      <c r="K527" t="s">
        <v>29</v>
      </c>
      <c r="L527" t="s">
        <v>30</v>
      </c>
      <c r="M527" t="s">
        <v>96</v>
      </c>
      <c r="N527" t="s">
        <v>90</v>
      </c>
      <c r="O527">
        <v>5</v>
      </c>
      <c r="P527">
        <v>5</v>
      </c>
      <c r="Q527" t="s">
        <v>33</v>
      </c>
      <c r="R527" t="s">
        <v>34</v>
      </c>
      <c r="S527" s="3">
        <v>0</v>
      </c>
      <c r="T527" t="s">
        <v>110</v>
      </c>
      <c r="U527" t="s">
        <v>36</v>
      </c>
    </row>
    <row r="528" spans="1:21" ht="27.6">
      <c r="A528" t="s">
        <v>1786</v>
      </c>
      <c r="B528" t="s">
        <v>1787</v>
      </c>
      <c r="C528" t="s">
        <v>1788</v>
      </c>
      <c r="D528" s="2">
        <v>46050</v>
      </c>
      <c r="E528" t="s">
        <v>24</v>
      </c>
      <c r="F528" t="s">
        <v>25</v>
      </c>
      <c r="G528" s="3">
        <v>32.83</v>
      </c>
      <c r="H528" t="s">
        <v>108</v>
      </c>
      <c r="I528" t="s">
        <v>27</v>
      </c>
      <c r="J528" s="4" t="s">
        <v>42</v>
      </c>
      <c r="K528" t="s">
        <v>29</v>
      </c>
      <c r="L528" t="s">
        <v>30</v>
      </c>
      <c r="M528" t="s">
        <v>31</v>
      </c>
      <c r="N528" t="s">
        <v>32</v>
      </c>
      <c r="O528">
        <v>5</v>
      </c>
      <c r="P528">
        <v>7</v>
      </c>
      <c r="Q528" t="s">
        <v>29</v>
      </c>
      <c r="R528" t="s">
        <v>34</v>
      </c>
      <c r="S528" s="3">
        <v>16.41</v>
      </c>
      <c r="T528" t="s">
        <v>35</v>
      </c>
      <c r="U528" t="s">
        <v>63</v>
      </c>
    </row>
    <row r="529" spans="1:21" ht="27.6">
      <c r="A529" t="s">
        <v>1789</v>
      </c>
      <c r="B529" t="s">
        <v>1790</v>
      </c>
      <c r="C529" t="s">
        <v>1791</v>
      </c>
      <c r="D529" s="2">
        <v>46150</v>
      </c>
      <c r="E529" t="s">
        <v>94</v>
      </c>
      <c r="F529" t="s">
        <v>25</v>
      </c>
      <c r="G529" s="3">
        <v>74.95</v>
      </c>
      <c r="H529" t="s">
        <v>26</v>
      </c>
      <c r="I529" t="s">
        <v>50</v>
      </c>
      <c r="J529" s="4" t="s">
        <v>42</v>
      </c>
      <c r="K529" t="s">
        <v>33</v>
      </c>
      <c r="L529" t="s">
        <v>30</v>
      </c>
      <c r="M529" t="s">
        <v>31</v>
      </c>
      <c r="N529" t="s">
        <v>32</v>
      </c>
      <c r="O529">
        <v>5</v>
      </c>
      <c r="P529">
        <v>5</v>
      </c>
      <c r="Q529" t="s">
        <v>33</v>
      </c>
      <c r="R529" t="s">
        <v>34</v>
      </c>
      <c r="S529" s="3">
        <v>0</v>
      </c>
      <c r="T529" t="s">
        <v>35</v>
      </c>
      <c r="U529" t="s">
        <v>53</v>
      </c>
    </row>
    <row r="530" spans="1:21" ht="27.6">
      <c r="A530" t="s">
        <v>1792</v>
      </c>
      <c r="B530" t="s">
        <v>1793</v>
      </c>
      <c r="C530" t="s">
        <v>1794</v>
      </c>
      <c r="D530" s="2">
        <v>46104</v>
      </c>
      <c r="E530" t="s">
        <v>94</v>
      </c>
      <c r="F530" t="s">
        <v>172</v>
      </c>
      <c r="G530" s="3">
        <v>120.35</v>
      </c>
      <c r="H530" t="s">
        <v>89</v>
      </c>
      <c r="I530" t="s">
        <v>50</v>
      </c>
      <c r="J530" s="4" t="s">
        <v>285</v>
      </c>
      <c r="K530" t="s">
        <v>29</v>
      </c>
      <c r="L530" t="s">
        <v>30</v>
      </c>
      <c r="M530" t="s">
        <v>31</v>
      </c>
      <c r="N530" t="s">
        <v>32</v>
      </c>
      <c r="O530">
        <v>7</v>
      </c>
      <c r="P530">
        <v>7</v>
      </c>
      <c r="Q530" t="s">
        <v>33</v>
      </c>
      <c r="R530" t="s">
        <v>174</v>
      </c>
      <c r="S530" s="3">
        <v>0</v>
      </c>
      <c r="T530" t="s">
        <v>110</v>
      </c>
      <c r="U530" t="s">
        <v>53</v>
      </c>
    </row>
    <row r="531" spans="1:21" ht="27.6">
      <c r="A531" t="s">
        <v>1795</v>
      </c>
      <c r="B531" t="s">
        <v>1796</v>
      </c>
      <c r="C531" t="s">
        <v>1797</v>
      </c>
      <c r="D531" s="2">
        <v>46132</v>
      </c>
      <c r="E531" t="s">
        <v>40</v>
      </c>
      <c r="F531" t="s">
        <v>172</v>
      </c>
      <c r="G531" s="3">
        <v>14.5</v>
      </c>
      <c r="H531" t="s">
        <v>41</v>
      </c>
      <c r="I531" t="s">
        <v>27</v>
      </c>
      <c r="J531" s="4" t="s">
        <v>285</v>
      </c>
      <c r="K531" t="s">
        <v>29</v>
      </c>
      <c r="L531" t="s">
        <v>30</v>
      </c>
      <c r="M531" t="s">
        <v>31</v>
      </c>
      <c r="N531" t="s">
        <v>32</v>
      </c>
      <c r="O531">
        <v>7</v>
      </c>
      <c r="P531">
        <v>7</v>
      </c>
      <c r="Q531" t="s">
        <v>33</v>
      </c>
      <c r="R531" t="s">
        <v>174</v>
      </c>
      <c r="S531" s="3">
        <v>0</v>
      </c>
      <c r="T531" t="s">
        <v>110</v>
      </c>
      <c r="U531" t="s">
        <v>36</v>
      </c>
    </row>
    <row r="532" spans="1:21" ht="27.6">
      <c r="A532" t="s">
        <v>1798</v>
      </c>
      <c r="B532" t="s">
        <v>1799</v>
      </c>
      <c r="C532" t="s">
        <v>1800</v>
      </c>
      <c r="D532" s="2">
        <v>46104</v>
      </c>
      <c r="E532" t="s">
        <v>40</v>
      </c>
      <c r="F532" t="s">
        <v>57</v>
      </c>
      <c r="G532" s="3">
        <v>157.09</v>
      </c>
      <c r="H532" t="s">
        <v>58</v>
      </c>
      <c r="I532" t="s">
        <v>67</v>
      </c>
      <c r="J532" s="4" t="s">
        <v>59</v>
      </c>
      <c r="K532" t="s">
        <v>33</v>
      </c>
      <c r="L532" t="s">
        <v>60</v>
      </c>
      <c r="M532" t="s">
        <v>31</v>
      </c>
      <c r="N532" t="s">
        <v>32</v>
      </c>
      <c r="O532">
        <v>10</v>
      </c>
      <c r="P532">
        <v>15</v>
      </c>
      <c r="Q532" t="s">
        <v>29</v>
      </c>
      <c r="R532" t="s">
        <v>61</v>
      </c>
      <c r="S532" s="3">
        <v>157.09</v>
      </c>
      <c r="T532" t="s">
        <v>156</v>
      </c>
      <c r="U532" t="s">
        <v>63</v>
      </c>
    </row>
    <row r="533" spans="1:21" ht="27.6">
      <c r="A533" t="s">
        <v>1801</v>
      </c>
      <c r="B533" t="s">
        <v>153</v>
      </c>
      <c r="C533" t="s">
        <v>1802</v>
      </c>
      <c r="D533" s="2">
        <v>46120</v>
      </c>
      <c r="E533" t="s">
        <v>47</v>
      </c>
      <c r="F533" t="s">
        <v>25</v>
      </c>
      <c r="G533" s="3">
        <v>49.52</v>
      </c>
      <c r="H533" t="s">
        <v>108</v>
      </c>
      <c r="I533" t="s">
        <v>27</v>
      </c>
      <c r="J533" s="4" t="s">
        <v>1803</v>
      </c>
      <c r="K533" t="s">
        <v>29</v>
      </c>
      <c r="L533" t="s">
        <v>30</v>
      </c>
      <c r="M533" t="s">
        <v>31</v>
      </c>
      <c r="N533" t="s">
        <v>84</v>
      </c>
      <c r="O533">
        <v>5</v>
      </c>
      <c r="P533">
        <v>3</v>
      </c>
      <c r="Q533" t="s">
        <v>33</v>
      </c>
      <c r="R533" t="s">
        <v>34</v>
      </c>
      <c r="S533" s="3">
        <v>0</v>
      </c>
      <c r="T533" t="s">
        <v>35</v>
      </c>
      <c r="U533" t="s">
        <v>53</v>
      </c>
    </row>
    <row r="534" spans="1:21" ht="27.6">
      <c r="A534" t="s">
        <v>1804</v>
      </c>
      <c r="B534" t="s">
        <v>1805</v>
      </c>
      <c r="C534" t="s">
        <v>1806</v>
      </c>
      <c r="D534" s="2">
        <v>46163</v>
      </c>
      <c r="E534" t="s">
        <v>40</v>
      </c>
      <c r="F534" t="s">
        <v>48</v>
      </c>
      <c r="G534" s="3">
        <v>26.65</v>
      </c>
      <c r="H534" t="s">
        <v>58</v>
      </c>
      <c r="I534" t="s">
        <v>27</v>
      </c>
      <c r="J534" s="4" t="s">
        <v>68</v>
      </c>
      <c r="K534" t="s">
        <v>29</v>
      </c>
      <c r="L534" t="s">
        <v>30</v>
      </c>
      <c r="M534" t="s">
        <v>31</v>
      </c>
      <c r="N534" t="s">
        <v>32</v>
      </c>
      <c r="O534">
        <v>10</v>
      </c>
      <c r="P534">
        <v>6</v>
      </c>
      <c r="Q534" t="s">
        <v>33</v>
      </c>
      <c r="R534" t="s">
        <v>34</v>
      </c>
      <c r="S534" s="3">
        <v>19.989999999999998</v>
      </c>
      <c r="T534" t="s">
        <v>69</v>
      </c>
      <c r="U534" t="s">
        <v>53</v>
      </c>
    </row>
    <row r="535" spans="1:21" ht="27.6">
      <c r="A535" t="s">
        <v>1807</v>
      </c>
      <c r="B535" t="s">
        <v>1808</v>
      </c>
      <c r="C535" t="s">
        <v>1809</v>
      </c>
      <c r="D535" s="2">
        <v>46115</v>
      </c>
      <c r="E535" t="s">
        <v>24</v>
      </c>
      <c r="F535" t="s">
        <v>25</v>
      </c>
      <c r="G535" s="3">
        <v>34.03</v>
      </c>
      <c r="H535" t="s">
        <v>58</v>
      </c>
      <c r="I535" t="s">
        <v>27</v>
      </c>
      <c r="J535" s="4" t="s">
        <v>42</v>
      </c>
      <c r="K535" t="s">
        <v>29</v>
      </c>
      <c r="L535" t="s">
        <v>30</v>
      </c>
      <c r="M535" t="s">
        <v>31</v>
      </c>
      <c r="N535" t="s">
        <v>32</v>
      </c>
      <c r="O535">
        <v>5</v>
      </c>
      <c r="P535">
        <v>7</v>
      </c>
      <c r="Q535" t="s">
        <v>29</v>
      </c>
      <c r="R535" t="s">
        <v>34</v>
      </c>
      <c r="S535" s="3">
        <v>17.02</v>
      </c>
      <c r="T535" t="s">
        <v>43</v>
      </c>
      <c r="U535" t="s">
        <v>63</v>
      </c>
    </row>
    <row r="536" spans="1:21" ht="27.6">
      <c r="A536" t="s">
        <v>1810</v>
      </c>
      <c r="B536" t="s">
        <v>1811</v>
      </c>
      <c r="C536" t="s">
        <v>1812</v>
      </c>
      <c r="D536" s="2">
        <v>46164</v>
      </c>
      <c r="E536" t="s">
        <v>40</v>
      </c>
      <c r="F536" t="s">
        <v>118</v>
      </c>
      <c r="G536" s="3">
        <v>36.71</v>
      </c>
      <c r="H536" t="s">
        <v>108</v>
      </c>
      <c r="I536" t="s">
        <v>50</v>
      </c>
      <c r="J536" s="4" t="s">
        <v>1813</v>
      </c>
      <c r="K536" t="s">
        <v>29</v>
      </c>
      <c r="L536" t="s">
        <v>120</v>
      </c>
      <c r="M536" t="s">
        <v>96</v>
      </c>
      <c r="N536" t="s">
        <v>32</v>
      </c>
      <c r="O536">
        <v>5</v>
      </c>
      <c r="P536">
        <v>1</v>
      </c>
      <c r="Q536" t="s">
        <v>33</v>
      </c>
      <c r="R536" t="s">
        <v>85</v>
      </c>
      <c r="S536" s="3">
        <v>36.71</v>
      </c>
      <c r="T536" t="s">
        <v>121</v>
      </c>
      <c r="U536" t="s">
        <v>53</v>
      </c>
    </row>
    <row r="537" spans="1:21" ht="27.6">
      <c r="A537" t="s">
        <v>1814</v>
      </c>
      <c r="B537" t="s">
        <v>1815</v>
      </c>
      <c r="C537" t="s">
        <v>1816</v>
      </c>
      <c r="D537" s="2">
        <v>46118</v>
      </c>
      <c r="E537" t="s">
        <v>47</v>
      </c>
      <c r="F537" t="s">
        <v>48</v>
      </c>
      <c r="G537" s="3">
        <v>28.15</v>
      </c>
      <c r="H537" t="s">
        <v>58</v>
      </c>
      <c r="I537" t="s">
        <v>67</v>
      </c>
      <c r="J537" s="4" t="s">
        <v>68</v>
      </c>
      <c r="K537" t="s">
        <v>29</v>
      </c>
      <c r="L537" t="s">
        <v>30</v>
      </c>
      <c r="M537" t="s">
        <v>31</v>
      </c>
      <c r="N537" t="s">
        <v>84</v>
      </c>
      <c r="O537">
        <v>10</v>
      </c>
      <c r="P537">
        <v>10</v>
      </c>
      <c r="Q537" t="s">
        <v>33</v>
      </c>
      <c r="R537" t="s">
        <v>34</v>
      </c>
      <c r="S537" s="3">
        <v>0</v>
      </c>
      <c r="T537" t="s">
        <v>69</v>
      </c>
      <c r="U537" t="s">
        <v>63</v>
      </c>
    </row>
    <row r="538" spans="1:21" ht="27.6">
      <c r="A538" t="s">
        <v>1817</v>
      </c>
      <c r="B538" t="s">
        <v>1818</v>
      </c>
      <c r="C538" t="s">
        <v>1819</v>
      </c>
      <c r="D538" s="2">
        <v>46134</v>
      </c>
      <c r="E538" t="s">
        <v>94</v>
      </c>
      <c r="F538" t="s">
        <v>57</v>
      </c>
      <c r="G538" s="3">
        <v>71.03</v>
      </c>
      <c r="H538" t="s">
        <v>58</v>
      </c>
      <c r="I538" t="s">
        <v>50</v>
      </c>
      <c r="J538" s="4" t="s">
        <v>59</v>
      </c>
      <c r="K538" t="s">
        <v>29</v>
      </c>
      <c r="L538" t="s">
        <v>60</v>
      </c>
      <c r="M538" t="s">
        <v>31</v>
      </c>
      <c r="N538" t="s">
        <v>32</v>
      </c>
      <c r="O538">
        <v>10</v>
      </c>
      <c r="P538">
        <v>13</v>
      </c>
      <c r="Q538" t="s">
        <v>29</v>
      </c>
      <c r="R538" t="s">
        <v>61</v>
      </c>
      <c r="S538" s="3">
        <v>53.27</v>
      </c>
      <c r="T538" t="s">
        <v>62</v>
      </c>
      <c r="U538" t="s">
        <v>63</v>
      </c>
    </row>
    <row r="539" spans="1:21" ht="27.6">
      <c r="A539" t="s">
        <v>1820</v>
      </c>
      <c r="B539" t="s">
        <v>1821</v>
      </c>
      <c r="C539" t="s">
        <v>1822</v>
      </c>
      <c r="D539" s="2">
        <v>46030</v>
      </c>
      <c r="E539" t="s">
        <v>40</v>
      </c>
      <c r="F539" t="s">
        <v>172</v>
      </c>
      <c r="G539" s="3">
        <v>21.35</v>
      </c>
      <c r="H539" t="s">
        <v>58</v>
      </c>
      <c r="I539" t="s">
        <v>27</v>
      </c>
      <c r="J539" s="4" t="s">
        <v>173</v>
      </c>
      <c r="K539" t="s">
        <v>29</v>
      </c>
      <c r="L539" t="s">
        <v>30</v>
      </c>
      <c r="M539" t="s">
        <v>31</v>
      </c>
      <c r="N539" t="s">
        <v>84</v>
      </c>
      <c r="O539">
        <v>7</v>
      </c>
      <c r="P539">
        <v>9</v>
      </c>
      <c r="Q539" t="s">
        <v>29</v>
      </c>
      <c r="R539" t="s">
        <v>174</v>
      </c>
      <c r="S539" s="3">
        <v>0</v>
      </c>
      <c r="T539" t="s">
        <v>110</v>
      </c>
      <c r="U539" t="s">
        <v>63</v>
      </c>
    </row>
    <row r="540" spans="1:21" ht="27.6">
      <c r="A540" t="s">
        <v>1823</v>
      </c>
      <c r="B540" t="s">
        <v>1824</v>
      </c>
      <c r="C540" t="s">
        <v>1825</v>
      </c>
      <c r="D540" s="2">
        <v>46046</v>
      </c>
      <c r="E540" t="s">
        <v>40</v>
      </c>
      <c r="F540" t="s">
        <v>73</v>
      </c>
      <c r="G540" s="3">
        <v>28.2</v>
      </c>
      <c r="H540" t="s">
        <v>26</v>
      </c>
      <c r="I540" t="s">
        <v>50</v>
      </c>
      <c r="J540" s="4" t="s">
        <v>389</v>
      </c>
      <c r="K540" t="s">
        <v>29</v>
      </c>
      <c r="L540" t="s">
        <v>60</v>
      </c>
      <c r="M540" t="s">
        <v>31</v>
      </c>
      <c r="N540" t="s">
        <v>32</v>
      </c>
      <c r="O540">
        <v>10</v>
      </c>
      <c r="P540">
        <v>12</v>
      </c>
      <c r="Q540" t="s">
        <v>29</v>
      </c>
      <c r="R540" t="s">
        <v>61</v>
      </c>
      <c r="S540" s="3">
        <v>28.2</v>
      </c>
      <c r="T540" t="s">
        <v>52</v>
      </c>
      <c r="U540" t="s">
        <v>63</v>
      </c>
    </row>
    <row r="541" spans="1:21" ht="27.6">
      <c r="A541" t="s">
        <v>1826</v>
      </c>
      <c r="B541" t="s">
        <v>1827</v>
      </c>
      <c r="C541" t="s">
        <v>1828</v>
      </c>
      <c r="D541" s="2">
        <v>46128</v>
      </c>
      <c r="E541" t="s">
        <v>40</v>
      </c>
      <c r="F541" t="s">
        <v>48</v>
      </c>
      <c r="G541" s="3">
        <v>68.239999999999995</v>
      </c>
      <c r="H541" t="s">
        <v>49</v>
      </c>
      <c r="I541" t="s">
        <v>27</v>
      </c>
      <c r="J541" s="4" t="s">
        <v>68</v>
      </c>
      <c r="K541" t="s">
        <v>33</v>
      </c>
      <c r="L541" t="s">
        <v>30</v>
      </c>
      <c r="M541" t="s">
        <v>31</v>
      </c>
      <c r="N541" t="s">
        <v>32</v>
      </c>
      <c r="O541">
        <v>10</v>
      </c>
      <c r="P541">
        <v>11</v>
      </c>
      <c r="Q541" t="s">
        <v>29</v>
      </c>
      <c r="R541" t="s">
        <v>34</v>
      </c>
      <c r="S541" s="3">
        <v>34.119999999999997</v>
      </c>
      <c r="T541" t="s">
        <v>62</v>
      </c>
      <c r="U541" t="s">
        <v>63</v>
      </c>
    </row>
    <row r="542" spans="1:21" ht="27.6">
      <c r="A542" t="s">
        <v>1829</v>
      </c>
      <c r="B542" t="s">
        <v>1830</v>
      </c>
      <c r="C542" t="s">
        <v>1831</v>
      </c>
      <c r="D542" s="2">
        <v>46040</v>
      </c>
      <c r="E542" t="s">
        <v>40</v>
      </c>
      <c r="F542" t="s">
        <v>82</v>
      </c>
      <c r="G542" s="3">
        <v>34.11</v>
      </c>
      <c r="H542" t="s">
        <v>108</v>
      </c>
      <c r="I542" t="s">
        <v>27</v>
      </c>
      <c r="J542" s="4" t="s">
        <v>114</v>
      </c>
      <c r="K542" t="s">
        <v>29</v>
      </c>
      <c r="L542" t="s">
        <v>30</v>
      </c>
      <c r="M542" t="s">
        <v>31</v>
      </c>
      <c r="N542" t="s">
        <v>32</v>
      </c>
      <c r="O542">
        <v>7</v>
      </c>
      <c r="P542">
        <v>8</v>
      </c>
      <c r="Q542" t="s">
        <v>29</v>
      </c>
      <c r="R542" t="s">
        <v>85</v>
      </c>
      <c r="S542" s="3">
        <v>34.11</v>
      </c>
      <c r="T542" t="s">
        <v>62</v>
      </c>
      <c r="U542" t="s">
        <v>63</v>
      </c>
    </row>
    <row r="543" spans="1:21" ht="27.6">
      <c r="A543" t="s">
        <v>1832</v>
      </c>
      <c r="B543" t="s">
        <v>1833</v>
      </c>
      <c r="C543" t="s">
        <v>1834</v>
      </c>
      <c r="D543" s="2">
        <v>46038</v>
      </c>
      <c r="E543" t="s">
        <v>40</v>
      </c>
      <c r="F543" t="s">
        <v>57</v>
      </c>
      <c r="G543" s="3">
        <v>106.58</v>
      </c>
      <c r="H543" t="s">
        <v>89</v>
      </c>
      <c r="I543" t="s">
        <v>27</v>
      </c>
      <c r="J543" s="4" t="s">
        <v>59</v>
      </c>
      <c r="K543" t="s">
        <v>29</v>
      </c>
      <c r="L543" t="s">
        <v>60</v>
      </c>
      <c r="M543" t="s">
        <v>31</v>
      </c>
      <c r="N543" t="s">
        <v>32</v>
      </c>
      <c r="O543">
        <v>10</v>
      </c>
      <c r="P543">
        <v>13</v>
      </c>
      <c r="Q543" t="s">
        <v>29</v>
      </c>
      <c r="R543" t="s">
        <v>61</v>
      </c>
      <c r="S543" s="3">
        <v>79.94</v>
      </c>
      <c r="T543" t="s">
        <v>156</v>
      </c>
      <c r="U543" t="s">
        <v>63</v>
      </c>
    </row>
    <row r="544" spans="1:21" ht="27.6">
      <c r="A544" t="s">
        <v>1835</v>
      </c>
      <c r="B544" t="s">
        <v>1836</v>
      </c>
      <c r="C544" t="s">
        <v>1837</v>
      </c>
      <c r="D544" s="2">
        <v>46172</v>
      </c>
      <c r="E544" t="s">
        <v>24</v>
      </c>
      <c r="F544" t="s">
        <v>82</v>
      </c>
      <c r="G544" s="3">
        <v>126.93</v>
      </c>
      <c r="H544" t="s">
        <v>26</v>
      </c>
      <c r="I544" t="s">
        <v>27</v>
      </c>
      <c r="J544" s="4" t="s">
        <v>1838</v>
      </c>
      <c r="K544" t="s">
        <v>29</v>
      </c>
      <c r="L544" t="s">
        <v>30</v>
      </c>
      <c r="M544" t="s">
        <v>31</v>
      </c>
      <c r="N544" t="s">
        <v>90</v>
      </c>
      <c r="O544">
        <v>7</v>
      </c>
      <c r="P544">
        <v>3</v>
      </c>
      <c r="Q544" t="s">
        <v>33</v>
      </c>
      <c r="R544" t="s">
        <v>85</v>
      </c>
      <c r="S544" s="3">
        <v>0</v>
      </c>
      <c r="T544" t="s">
        <v>43</v>
      </c>
      <c r="U544" t="s">
        <v>36</v>
      </c>
    </row>
    <row r="545" spans="1:21" ht="27.6">
      <c r="A545" t="s">
        <v>1839</v>
      </c>
      <c r="B545" t="s">
        <v>1840</v>
      </c>
      <c r="C545" t="s">
        <v>1841</v>
      </c>
      <c r="D545" s="2">
        <v>46132</v>
      </c>
      <c r="E545" t="s">
        <v>24</v>
      </c>
      <c r="F545" t="s">
        <v>103</v>
      </c>
      <c r="G545" s="3">
        <v>28.96</v>
      </c>
      <c r="H545" t="s">
        <v>74</v>
      </c>
      <c r="I545" t="s">
        <v>67</v>
      </c>
      <c r="J545" s="4" t="s">
        <v>104</v>
      </c>
      <c r="K545" t="s">
        <v>29</v>
      </c>
      <c r="L545" t="s">
        <v>30</v>
      </c>
      <c r="M545" t="s">
        <v>31</v>
      </c>
      <c r="N545" t="s">
        <v>32</v>
      </c>
      <c r="O545">
        <v>5</v>
      </c>
      <c r="P545">
        <v>8</v>
      </c>
      <c r="Q545" t="s">
        <v>29</v>
      </c>
      <c r="R545" t="s">
        <v>34</v>
      </c>
      <c r="S545" s="3">
        <v>0</v>
      </c>
      <c r="T545" t="s">
        <v>247</v>
      </c>
      <c r="U545" t="s">
        <v>63</v>
      </c>
    </row>
    <row r="546" spans="1:21" ht="27.6">
      <c r="A546" t="s">
        <v>1842</v>
      </c>
      <c r="B546" t="s">
        <v>1843</v>
      </c>
      <c r="C546" t="s">
        <v>1844</v>
      </c>
      <c r="D546" s="2">
        <v>46139</v>
      </c>
      <c r="E546" t="s">
        <v>94</v>
      </c>
      <c r="F546" t="s">
        <v>82</v>
      </c>
      <c r="G546" s="3">
        <v>100.75</v>
      </c>
      <c r="H546" t="s">
        <v>49</v>
      </c>
      <c r="I546" t="s">
        <v>67</v>
      </c>
      <c r="J546" s="4" t="s">
        <v>1845</v>
      </c>
      <c r="K546" t="s">
        <v>29</v>
      </c>
      <c r="L546" t="s">
        <v>30</v>
      </c>
      <c r="M546" t="s">
        <v>31</v>
      </c>
      <c r="N546" t="s">
        <v>32</v>
      </c>
      <c r="O546">
        <v>7</v>
      </c>
      <c r="P546">
        <v>3</v>
      </c>
      <c r="Q546" t="s">
        <v>33</v>
      </c>
      <c r="R546" t="s">
        <v>85</v>
      </c>
      <c r="S546" s="3">
        <v>0</v>
      </c>
      <c r="T546" t="s">
        <v>62</v>
      </c>
      <c r="U546" t="s">
        <v>53</v>
      </c>
    </row>
    <row r="547" spans="1:21" ht="27.6">
      <c r="A547" t="s">
        <v>1846</v>
      </c>
      <c r="B547" t="s">
        <v>1847</v>
      </c>
      <c r="C547" t="s">
        <v>1848</v>
      </c>
      <c r="D547" s="2">
        <v>46115</v>
      </c>
      <c r="E547" t="s">
        <v>94</v>
      </c>
      <c r="F547" t="s">
        <v>48</v>
      </c>
      <c r="G547" s="3">
        <v>117.64</v>
      </c>
      <c r="H547" t="s">
        <v>74</v>
      </c>
      <c r="I547" t="s">
        <v>50</v>
      </c>
      <c r="J547" s="4" t="s">
        <v>68</v>
      </c>
      <c r="K547" t="s">
        <v>29</v>
      </c>
      <c r="L547" t="s">
        <v>30</v>
      </c>
      <c r="M547" t="s">
        <v>31</v>
      </c>
      <c r="N547" t="s">
        <v>90</v>
      </c>
      <c r="O547">
        <v>10</v>
      </c>
      <c r="P547">
        <v>1</v>
      </c>
      <c r="Q547" t="s">
        <v>33</v>
      </c>
      <c r="R547" t="s">
        <v>34</v>
      </c>
      <c r="S547" s="3">
        <v>0</v>
      </c>
      <c r="T547" t="s">
        <v>62</v>
      </c>
      <c r="U547" t="s">
        <v>36</v>
      </c>
    </row>
    <row r="548" spans="1:21" ht="27.6">
      <c r="A548" t="s">
        <v>1849</v>
      </c>
      <c r="B548" t="s">
        <v>1850</v>
      </c>
      <c r="C548" t="s">
        <v>1851</v>
      </c>
      <c r="D548" s="2">
        <v>46121</v>
      </c>
      <c r="E548" t="s">
        <v>24</v>
      </c>
      <c r="F548" t="s">
        <v>25</v>
      </c>
      <c r="G548" s="3">
        <v>13.68</v>
      </c>
      <c r="H548" t="s">
        <v>89</v>
      </c>
      <c r="I548" t="s">
        <v>67</v>
      </c>
      <c r="J548" s="4" t="s">
        <v>42</v>
      </c>
      <c r="K548" t="s">
        <v>29</v>
      </c>
      <c r="L548" t="s">
        <v>30</v>
      </c>
      <c r="M548" t="s">
        <v>31</v>
      </c>
      <c r="N548" t="s">
        <v>32</v>
      </c>
      <c r="O548">
        <v>5</v>
      </c>
      <c r="P548">
        <v>9</v>
      </c>
      <c r="Q548" t="s">
        <v>29</v>
      </c>
      <c r="R548" t="s">
        <v>34</v>
      </c>
      <c r="S548" s="3">
        <v>0</v>
      </c>
      <c r="T548" t="s">
        <v>110</v>
      </c>
      <c r="U548" t="s">
        <v>63</v>
      </c>
    </row>
    <row r="549" spans="1:21" ht="27.6">
      <c r="A549" t="s">
        <v>1852</v>
      </c>
      <c r="B549" t="s">
        <v>1853</v>
      </c>
      <c r="C549" t="s">
        <v>1854</v>
      </c>
      <c r="D549" s="2">
        <v>46052</v>
      </c>
      <c r="E549" t="s">
        <v>47</v>
      </c>
      <c r="F549" t="s">
        <v>172</v>
      </c>
      <c r="G549" s="3">
        <v>25.76</v>
      </c>
      <c r="H549" t="s">
        <v>58</v>
      </c>
      <c r="I549" t="s">
        <v>50</v>
      </c>
      <c r="J549" s="4" t="s">
        <v>285</v>
      </c>
      <c r="K549" t="s">
        <v>29</v>
      </c>
      <c r="L549" t="s">
        <v>30</v>
      </c>
      <c r="M549" t="s">
        <v>31</v>
      </c>
      <c r="N549" t="s">
        <v>32</v>
      </c>
      <c r="O549">
        <v>7</v>
      </c>
      <c r="P549">
        <v>11</v>
      </c>
      <c r="Q549" t="s">
        <v>29</v>
      </c>
      <c r="R549" t="s">
        <v>174</v>
      </c>
      <c r="S549" s="3">
        <v>0</v>
      </c>
      <c r="T549" t="s">
        <v>110</v>
      </c>
      <c r="U549" t="s">
        <v>63</v>
      </c>
    </row>
    <row r="550" spans="1:21" ht="27.6">
      <c r="A550" t="s">
        <v>1855</v>
      </c>
      <c r="B550" t="s">
        <v>1510</v>
      </c>
      <c r="C550" t="s">
        <v>1856</v>
      </c>
      <c r="D550" s="2">
        <v>46094</v>
      </c>
      <c r="E550" t="s">
        <v>24</v>
      </c>
      <c r="F550" t="s">
        <v>118</v>
      </c>
      <c r="G550" s="3">
        <v>28.87</v>
      </c>
      <c r="H550" t="s">
        <v>26</v>
      </c>
      <c r="I550" t="s">
        <v>50</v>
      </c>
      <c r="J550" s="4" t="s">
        <v>1857</v>
      </c>
      <c r="K550" t="s">
        <v>33</v>
      </c>
      <c r="L550" t="s">
        <v>30</v>
      </c>
      <c r="M550" t="s">
        <v>31</v>
      </c>
      <c r="N550" t="s">
        <v>90</v>
      </c>
      <c r="O550">
        <v>5</v>
      </c>
      <c r="P550">
        <v>6</v>
      </c>
      <c r="Q550" t="s">
        <v>29</v>
      </c>
      <c r="R550" t="s">
        <v>85</v>
      </c>
      <c r="S550" s="3">
        <v>0</v>
      </c>
      <c r="T550" t="s">
        <v>121</v>
      </c>
      <c r="U550" t="s">
        <v>63</v>
      </c>
    </row>
    <row r="551" spans="1:21" ht="27.6">
      <c r="A551" t="s">
        <v>1858</v>
      </c>
      <c r="B551" t="s">
        <v>1859</v>
      </c>
      <c r="C551" t="s">
        <v>1860</v>
      </c>
      <c r="D551" s="2">
        <v>46110</v>
      </c>
      <c r="E551" t="s">
        <v>24</v>
      </c>
      <c r="F551" t="s">
        <v>103</v>
      </c>
      <c r="G551" s="3">
        <v>70.569999999999993</v>
      </c>
      <c r="H551" t="s">
        <v>58</v>
      </c>
      <c r="I551" t="s">
        <v>67</v>
      </c>
      <c r="J551" s="4" t="s">
        <v>104</v>
      </c>
      <c r="K551" t="s">
        <v>33</v>
      </c>
      <c r="L551" t="s">
        <v>30</v>
      </c>
      <c r="M551" t="s">
        <v>31</v>
      </c>
      <c r="N551" t="s">
        <v>84</v>
      </c>
      <c r="O551">
        <v>5</v>
      </c>
      <c r="P551">
        <v>6</v>
      </c>
      <c r="Q551" t="s">
        <v>29</v>
      </c>
      <c r="R551" t="s">
        <v>34</v>
      </c>
      <c r="S551" s="3">
        <v>0</v>
      </c>
      <c r="T551" t="s">
        <v>247</v>
      </c>
      <c r="U551" t="s">
        <v>63</v>
      </c>
    </row>
    <row r="552" spans="1:21" ht="27.6">
      <c r="A552" t="s">
        <v>1861</v>
      </c>
      <c r="B552" t="s">
        <v>1862</v>
      </c>
      <c r="C552" t="s">
        <v>1863</v>
      </c>
      <c r="D552" s="2">
        <v>46045</v>
      </c>
      <c r="E552" t="s">
        <v>24</v>
      </c>
      <c r="F552" t="s">
        <v>82</v>
      </c>
      <c r="G552" s="3">
        <v>47.73</v>
      </c>
      <c r="H552" t="s">
        <v>26</v>
      </c>
      <c r="I552" t="s">
        <v>50</v>
      </c>
      <c r="J552" s="4" t="s">
        <v>114</v>
      </c>
      <c r="K552" t="s">
        <v>29</v>
      </c>
      <c r="L552" t="s">
        <v>30</v>
      </c>
      <c r="M552" t="s">
        <v>31</v>
      </c>
      <c r="N552" t="s">
        <v>32</v>
      </c>
      <c r="O552">
        <v>7</v>
      </c>
      <c r="P552">
        <v>9</v>
      </c>
      <c r="Q552" t="s">
        <v>29</v>
      </c>
      <c r="R552" t="s">
        <v>85</v>
      </c>
      <c r="S552" s="3">
        <v>47.73</v>
      </c>
      <c r="T552" t="s">
        <v>69</v>
      </c>
      <c r="U552" t="s">
        <v>63</v>
      </c>
    </row>
    <row r="553" spans="1:21" ht="27.6">
      <c r="A553" t="s">
        <v>1864</v>
      </c>
      <c r="B553" t="s">
        <v>1865</v>
      </c>
      <c r="C553" t="s">
        <v>1866</v>
      </c>
      <c r="D553" s="2">
        <v>46104</v>
      </c>
      <c r="E553" t="s">
        <v>40</v>
      </c>
      <c r="F553" t="s">
        <v>57</v>
      </c>
      <c r="G553" s="3">
        <v>72.489999999999995</v>
      </c>
      <c r="H553" t="s">
        <v>26</v>
      </c>
      <c r="I553" t="s">
        <v>27</v>
      </c>
      <c r="J553" s="4" t="s">
        <v>155</v>
      </c>
      <c r="K553" t="s">
        <v>29</v>
      </c>
      <c r="L553" t="s">
        <v>60</v>
      </c>
      <c r="M553" t="s">
        <v>31</v>
      </c>
      <c r="N553" t="s">
        <v>32</v>
      </c>
      <c r="O553">
        <v>10</v>
      </c>
      <c r="P553">
        <v>9</v>
      </c>
      <c r="Q553" t="s">
        <v>33</v>
      </c>
      <c r="R553" t="s">
        <v>61</v>
      </c>
      <c r="S553" s="3">
        <v>36.24</v>
      </c>
      <c r="T553" t="s">
        <v>52</v>
      </c>
      <c r="U553" t="s">
        <v>63</v>
      </c>
    </row>
    <row r="554" spans="1:21" ht="27.6">
      <c r="A554" t="s">
        <v>1867</v>
      </c>
      <c r="B554" t="s">
        <v>1868</v>
      </c>
      <c r="C554" t="s">
        <v>1869</v>
      </c>
      <c r="D554" s="2">
        <v>46095</v>
      </c>
      <c r="E554" t="s">
        <v>24</v>
      </c>
      <c r="F554" t="s">
        <v>172</v>
      </c>
      <c r="G554" s="3">
        <v>177.52</v>
      </c>
      <c r="H554" t="s">
        <v>89</v>
      </c>
      <c r="I554" t="s">
        <v>27</v>
      </c>
      <c r="J554" s="4" t="s">
        <v>285</v>
      </c>
      <c r="K554" t="s">
        <v>29</v>
      </c>
      <c r="L554" t="s">
        <v>30</v>
      </c>
      <c r="M554" t="s">
        <v>31</v>
      </c>
      <c r="N554" t="s">
        <v>32</v>
      </c>
      <c r="O554">
        <v>7</v>
      </c>
      <c r="P554">
        <v>15</v>
      </c>
      <c r="Q554" t="s">
        <v>29</v>
      </c>
      <c r="R554" t="s">
        <v>174</v>
      </c>
      <c r="S554" s="3">
        <v>88.76</v>
      </c>
      <c r="T554" t="s">
        <v>110</v>
      </c>
      <c r="U554" t="s">
        <v>63</v>
      </c>
    </row>
    <row r="555" spans="1:21" ht="27.6">
      <c r="A555" t="s">
        <v>1870</v>
      </c>
      <c r="B555" t="s">
        <v>598</v>
      </c>
      <c r="C555" t="s">
        <v>1871</v>
      </c>
      <c r="D555" s="2">
        <v>46119</v>
      </c>
      <c r="E555" t="s">
        <v>24</v>
      </c>
      <c r="F555" t="s">
        <v>57</v>
      </c>
      <c r="G555" s="3">
        <v>6.77</v>
      </c>
      <c r="H555" t="s">
        <v>49</v>
      </c>
      <c r="I555" t="s">
        <v>50</v>
      </c>
      <c r="J555" s="4" t="s">
        <v>155</v>
      </c>
      <c r="K555" t="s">
        <v>33</v>
      </c>
      <c r="L555" t="s">
        <v>60</v>
      </c>
      <c r="M555" t="s">
        <v>31</v>
      </c>
      <c r="N555" t="s">
        <v>32</v>
      </c>
      <c r="O555">
        <v>10</v>
      </c>
      <c r="P555">
        <v>21</v>
      </c>
      <c r="Q555" t="s">
        <v>29</v>
      </c>
      <c r="R555" t="s">
        <v>61</v>
      </c>
      <c r="S555" s="3">
        <v>0</v>
      </c>
      <c r="T555" t="s">
        <v>62</v>
      </c>
      <c r="U555" t="s">
        <v>63</v>
      </c>
    </row>
    <row r="556" spans="1:21" ht="27.6">
      <c r="A556" t="s">
        <v>1872</v>
      </c>
      <c r="B556" t="s">
        <v>1873</v>
      </c>
      <c r="C556" t="s">
        <v>1874</v>
      </c>
      <c r="D556" s="2">
        <v>46063</v>
      </c>
      <c r="E556" t="s">
        <v>94</v>
      </c>
      <c r="F556" t="s">
        <v>172</v>
      </c>
      <c r="G556" s="3">
        <v>19.37</v>
      </c>
      <c r="H556" t="s">
        <v>41</v>
      </c>
      <c r="I556" t="s">
        <v>50</v>
      </c>
      <c r="J556" s="4" t="s">
        <v>173</v>
      </c>
      <c r="K556" t="s">
        <v>33</v>
      </c>
      <c r="L556" t="s">
        <v>30</v>
      </c>
      <c r="M556" t="s">
        <v>31</v>
      </c>
      <c r="N556" t="s">
        <v>126</v>
      </c>
      <c r="O556">
        <v>7</v>
      </c>
      <c r="P556">
        <v>7</v>
      </c>
      <c r="Q556" t="s">
        <v>33</v>
      </c>
      <c r="R556" t="s">
        <v>174</v>
      </c>
      <c r="S556" s="3">
        <v>0</v>
      </c>
      <c r="T556" t="s">
        <v>110</v>
      </c>
      <c r="U556" t="s">
        <v>36</v>
      </c>
    </row>
    <row r="557" spans="1:21" ht="27.6">
      <c r="A557" t="s">
        <v>1875</v>
      </c>
      <c r="B557" t="s">
        <v>1876</v>
      </c>
      <c r="C557" t="s">
        <v>1877</v>
      </c>
      <c r="D557" s="2">
        <v>46171</v>
      </c>
      <c r="E557" t="s">
        <v>94</v>
      </c>
      <c r="F557" t="s">
        <v>25</v>
      </c>
      <c r="G557" s="3">
        <v>100.54</v>
      </c>
      <c r="H557" t="s">
        <v>58</v>
      </c>
      <c r="I557" t="s">
        <v>27</v>
      </c>
      <c r="J557" s="4" t="s">
        <v>1878</v>
      </c>
      <c r="K557" t="s">
        <v>29</v>
      </c>
      <c r="L557" t="s">
        <v>30</v>
      </c>
      <c r="M557" t="s">
        <v>31</v>
      </c>
      <c r="N557" t="s">
        <v>32</v>
      </c>
      <c r="O557">
        <v>5</v>
      </c>
      <c r="P557">
        <v>3</v>
      </c>
      <c r="Q557" t="s">
        <v>33</v>
      </c>
      <c r="R557" t="s">
        <v>34</v>
      </c>
      <c r="S557" s="3">
        <v>0</v>
      </c>
      <c r="T557" t="s">
        <v>35</v>
      </c>
      <c r="U557" t="s">
        <v>53</v>
      </c>
    </row>
    <row r="558" spans="1:21" ht="27.6">
      <c r="A558" t="s">
        <v>1879</v>
      </c>
      <c r="B558" t="s">
        <v>1880</v>
      </c>
      <c r="C558" t="s">
        <v>1881</v>
      </c>
      <c r="D558" s="2">
        <v>46025</v>
      </c>
      <c r="E558" t="s">
        <v>24</v>
      </c>
      <c r="F558" t="s">
        <v>73</v>
      </c>
      <c r="G558" s="3">
        <v>93.54</v>
      </c>
      <c r="H558" t="s">
        <v>108</v>
      </c>
      <c r="I558" t="s">
        <v>50</v>
      </c>
      <c r="J558" s="4" t="s">
        <v>389</v>
      </c>
      <c r="K558" t="s">
        <v>29</v>
      </c>
      <c r="L558" t="s">
        <v>60</v>
      </c>
      <c r="M558" t="s">
        <v>31</v>
      </c>
      <c r="N558" t="s">
        <v>32</v>
      </c>
      <c r="O558">
        <v>10</v>
      </c>
      <c r="P558">
        <v>17</v>
      </c>
      <c r="Q558" t="s">
        <v>29</v>
      </c>
      <c r="R558" t="s">
        <v>61</v>
      </c>
      <c r="S558" s="3">
        <v>93.54</v>
      </c>
      <c r="T558" t="s">
        <v>156</v>
      </c>
      <c r="U558" t="s">
        <v>63</v>
      </c>
    </row>
    <row r="559" spans="1:21" ht="27.6">
      <c r="A559" t="s">
        <v>1882</v>
      </c>
      <c r="B559" t="s">
        <v>1883</v>
      </c>
      <c r="C559" t="s">
        <v>1884</v>
      </c>
      <c r="D559" s="2">
        <v>46126</v>
      </c>
      <c r="E559" t="s">
        <v>24</v>
      </c>
      <c r="F559" t="s">
        <v>25</v>
      </c>
      <c r="G559" s="3">
        <v>32.590000000000003</v>
      </c>
      <c r="H559" t="s">
        <v>89</v>
      </c>
      <c r="I559" t="s">
        <v>67</v>
      </c>
      <c r="J559" s="4" t="s">
        <v>1885</v>
      </c>
      <c r="K559" t="s">
        <v>29</v>
      </c>
      <c r="L559" t="s">
        <v>30</v>
      </c>
      <c r="M559" t="s">
        <v>31</v>
      </c>
      <c r="N559" t="s">
        <v>32</v>
      </c>
      <c r="O559">
        <v>5</v>
      </c>
      <c r="P559">
        <v>10</v>
      </c>
      <c r="Q559" t="s">
        <v>29</v>
      </c>
      <c r="R559" t="s">
        <v>34</v>
      </c>
      <c r="S559" s="3">
        <v>0</v>
      </c>
      <c r="T559" t="s">
        <v>43</v>
      </c>
      <c r="U559" t="s">
        <v>63</v>
      </c>
    </row>
    <row r="560" spans="1:21" ht="27.6">
      <c r="A560" t="s">
        <v>1886</v>
      </c>
      <c r="B560" t="s">
        <v>1887</v>
      </c>
      <c r="C560" t="s">
        <v>1888</v>
      </c>
      <c r="D560" s="2">
        <v>46120</v>
      </c>
      <c r="E560" t="s">
        <v>24</v>
      </c>
      <c r="F560" t="s">
        <v>172</v>
      </c>
      <c r="G560" s="3">
        <v>32.46</v>
      </c>
      <c r="H560" t="s">
        <v>26</v>
      </c>
      <c r="I560" t="s">
        <v>27</v>
      </c>
      <c r="J560" s="4" t="s">
        <v>285</v>
      </c>
      <c r="K560" t="s">
        <v>29</v>
      </c>
      <c r="L560" t="s">
        <v>30</v>
      </c>
      <c r="M560" t="s">
        <v>31</v>
      </c>
      <c r="N560" t="s">
        <v>90</v>
      </c>
      <c r="O560">
        <v>7</v>
      </c>
      <c r="P560">
        <v>8</v>
      </c>
      <c r="Q560" t="s">
        <v>29</v>
      </c>
      <c r="R560" t="s">
        <v>174</v>
      </c>
      <c r="S560" s="3">
        <v>0</v>
      </c>
      <c r="T560" t="s">
        <v>110</v>
      </c>
      <c r="U560" t="s">
        <v>63</v>
      </c>
    </row>
    <row r="561" spans="1:21" ht="27.6">
      <c r="A561" t="s">
        <v>1889</v>
      </c>
      <c r="B561" t="s">
        <v>1890</v>
      </c>
      <c r="C561" t="s">
        <v>1891</v>
      </c>
      <c r="D561" s="2">
        <v>46069</v>
      </c>
      <c r="E561" t="s">
        <v>24</v>
      </c>
      <c r="F561" t="s">
        <v>48</v>
      </c>
      <c r="G561" s="3">
        <v>61.64</v>
      </c>
      <c r="H561" t="s">
        <v>74</v>
      </c>
      <c r="I561" t="s">
        <v>27</v>
      </c>
      <c r="J561" s="4" t="s">
        <v>51</v>
      </c>
      <c r="K561" t="s">
        <v>29</v>
      </c>
      <c r="L561" t="s">
        <v>30</v>
      </c>
      <c r="M561" t="s">
        <v>31</v>
      </c>
      <c r="N561" t="s">
        <v>32</v>
      </c>
      <c r="O561">
        <v>10</v>
      </c>
      <c r="P561">
        <v>9</v>
      </c>
      <c r="Q561" t="s">
        <v>33</v>
      </c>
      <c r="R561" t="s">
        <v>34</v>
      </c>
      <c r="S561" s="3">
        <v>0</v>
      </c>
      <c r="T561" t="s">
        <v>62</v>
      </c>
      <c r="U561" t="s">
        <v>63</v>
      </c>
    </row>
    <row r="562" spans="1:21" ht="27.6">
      <c r="A562" t="s">
        <v>1892</v>
      </c>
      <c r="B562" t="s">
        <v>1893</v>
      </c>
      <c r="C562" t="s">
        <v>1894</v>
      </c>
      <c r="D562" s="2">
        <v>46160</v>
      </c>
      <c r="E562" t="s">
        <v>40</v>
      </c>
      <c r="F562" t="s">
        <v>172</v>
      </c>
      <c r="G562" s="3">
        <v>55.35</v>
      </c>
      <c r="H562" t="s">
        <v>58</v>
      </c>
      <c r="I562" t="s">
        <v>27</v>
      </c>
      <c r="J562" s="4" t="s">
        <v>285</v>
      </c>
      <c r="K562" t="s">
        <v>33</v>
      </c>
      <c r="L562" t="s">
        <v>30</v>
      </c>
      <c r="M562" t="s">
        <v>31</v>
      </c>
      <c r="N562" t="s">
        <v>32</v>
      </c>
      <c r="O562">
        <v>7</v>
      </c>
      <c r="P562">
        <v>12</v>
      </c>
      <c r="Q562" t="s">
        <v>29</v>
      </c>
      <c r="R562" t="s">
        <v>174</v>
      </c>
      <c r="S562" s="3">
        <v>55.35</v>
      </c>
      <c r="T562" t="s">
        <v>110</v>
      </c>
      <c r="U562" t="s">
        <v>63</v>
      </c>
    </row>
    <row r="563" spans="1:21" ht="27.6">
      <c r="A563" t="s">
        <v>1895</v>
      </c>
      <c r="B563" t="s">
        <v>1896</v>
      </c>
      <c r="C563" t="s">
        <v>1897</v>
      </c>
      <c r="D563" s="2">
        <v>46033</v>
      </c>
      <c r="E563" t="s">
        <v>24</v>
      </c>
      <c r="F563" t="s">
        <v>118</v>
      </c>
      <c r="G563" s="3">
        <v>13.08</v>
      </c>
      <c r="H563" t="s">
        <v>49</v>
      </c>
      <c r="I563" t="s">
        <v>50</v>
      </c>
      <c r="J563" s="4" t="s">
        <v>119</v>
      </c>
      <c r="K563" t="s">
        <v>29</v>
      </c>
      <c r="L563" t="s">
        <v>120</v>
      </c>
      <c r="M563" t="s">
        <v>96</v>
      </c>
      <c r="N563" t="s">
        <v>32</v>
      </c>
      <c r="O563">
        <v>5</v>
      </c>
      <c r="P563">
        <v>1</v>
      </c>
      <c r="Q563" t="s">
        <v>33</v>
      </c>
      <c r="R563" t="s">
        <v>85</v>
      </c>
      <c r="S563" s="3">
        <v>13.08</v>
      </c>
      <c r="T563" t="s">
        <v>121</v>
      </c>
      <c r="U563" t="s">
        <v>36</v>
      </c>
    </row>
    <row r="564" spans="1:21" ht="27.6">
      <c r="A564" t="s">
        <v>1898</v>
      </c>
      <c r="B564" t="s">
        <v>1899</v>
      </c>
      <c r="C564" t="s">
        <v>1900</v>
      </c>
      <c r="D564" s="2">
        <v>46131</v>
      </c>
      <c r="E564" t="s">
        <v>94</v>
      </c>
      <c r="F564" t="s">
        <v>172</v>
      </c>
      <c r="G564" s="3">
        <v>21.19</v>
      </c>
      <c r="H564" t="s">
        <v>74</v>
      </c>
      <c r="I564" t="s">
        <v>50</v>
      </c>
      <c r="J564" s="4" t="s">
        <v>173</v>
      </c>
      <c r="K564" t="s">
        <v>29</v>
      </c>
      <c r="L564" t="s">
        <v>30</v>
      </c>
      <c r="M564" t="s">
        <v>31</v>
      </c>
      <c r="N564" t="s">
        <v>32</v>
      </c>
      <c r="O564">
        <v>7</v>
      </c>
      <c r="P564">
        <v>16</v>
      </c>
      <c r="Q564" t="s">
        <v>29</v>
      </c>
      <c r="R564" t="s">
        <v>174</v>
      </c>
      <c r="S564" s="3">
        <v>21.19</v>
      </c>
      <c r="T564" t="s">
        <v>110</v>
      </c>
      <c r="U564" t="s">
        <v>63</v>
      </c>
    </row>
    <row r="565" spans="1:21" ht="27.6">
      <c r="A565" t="s">
        <v>1901</v>
      </c>
      <c r="B565" t="s">
        <v>1902</v>
      </c>
      <c r="C565" t="s">
        <v>1903</v>
      </c>
      <c r="D565" s="2">
        <v>46032</v>
      </c>
      <c r="E565" t="s">
        <v>24</v>
      </c>
      <c r="F565" t="s">
        <v>118</v>
      </c>
      <c r="G565" s="3">
        <v>48.91</v>
      </c>
      <c r="H565" t="s">
        <v>41</v>
      </c>
      <c r="I565" t="s">
        <v>27</v>
      </c>
      <c r="J565" s="4" t="s">
        <v>1904</v>
      </c>
      <c r="K565" t="s">
        <v>33</v>
      </c>
      <c r="L565" t="s">
        <v>30</v>
      </c>
      <c r="M565" t="s">
        <v>31</v>
      </c>
      <c r="N565" t="s">
        <v>32</v>
      </c>
      <c r="O565">
        <v>5</v>
      </c>
      <c r="P565">
        <v>3</v>
      </c>
      <c r="Q565" t="s">
        <v>33</v>
      </c>
      <c r="R565" t="s">
        <v>85</v>
      </c>
      <c r="S565" s="3">
        <v>36.68</v>
      </c>
      <c r="T565" t="s">
        <v>121</v>
      </c>
      <c r="U565" t="s">
        <v>36</v>
      </c>
    </row>
    <row r="566" spans="1:21" ht="27.6">
      <c r="A566" t="s">
        <v>1905</v>
      </c>
      <c r="B566" t="s">
        <v>1906</v>
      </c>
      <c r="C566" t="s">
        <v>1907</v>
      </c>
      <c r="D566" s="2">
        <v>46044</v>
      </c>
      <c r="E566" t="s">
        <v>94</v>
      </c>
      <c r="F566" t="s">
        <v>103</v>
      </c>
      <c r="G566" s="3">
        <v>12.6</v>
      </c>
      <c r="H566" t="s">
        <v>41</v>
      </c>
      <c r="I566" t="s">
        <v>67</v>
      </c>
      <c r="J566" s="4" t="s">
        <v>134</v>
      </c>
      <c r="K566" t="s">
        <v>29</v>
      </c>
      <c r="L566" t="s">
        <v>30</v>
      </c>
      <c r="M566" t="s">
        <v>31</v>
      </c>
      <c r="N566" t="s">
        <v>32</v>
      </c>
      <c r="O566">
        <v>5</v>
      </c>
      <c r="P566">
        <v>5</v>
      </c>
      <c r="Q566" t="s">
        <v>33</v>
      </c>
      <c r="R566" t="s">
        <v>34</v>
      </c>
      <c r="S566" s="3">
        <v>6.3</v>
      </c>
      <c r="T566" t="s">
        <v>35</v>
      </c>
      <c r="U566" t="s">
        <v>36</v>
      </c>
    </row>
    <row r="567" spans="1:21" ht="27.6">
      <c r="A567" t="s">
        <v>1908</v>
      </c>
      <c r="B567" t="s">
        <v>1909</v>
      </c>
      <c r="C567" t="s">
        <v>1910</v>
      </c>
      <c r="D567" s="2">
        <v>46134</v>
      </c>
      <c r="E567" t="s">
        <v>24</v>
      </c>
      <c r="F567" t="s">
        <v>48</v>
      </c>
      <c r="G567" s="3">
        <v>24.42</v>
      </c>
      <c r="H567" t="s">
        <v>89</v>
      </c>
      <c r="I567" t="s">
        <v>27</v>
      </c>
      <c r="J567" s="4" t="s">
        <v>51</v>
      </c>
      <c r="K567" t="s">
        <v>29</v>
      </c>
      <c r="L567" t="s">
        <v>30</v>
      </c>
      <c r="M567" t="s">
        <v>31</v>
      </c>
      <c r="N567" t="s">
        <v>32</v>
      </c>
      <c r="O567">
        <v>10</v>
      </c>
      <c r="P567">
        <v>2</v>
      </c>
      <c r="Q567" t="s">
        <v>33</v>
      </c>
      <c r="R567" t="s">
        <v>34</v>
      </c>
      <c r="S567" s="3">
        <v>18.32</v>
      </c>
      <c r="T567" t="s">
        <v>69</v>
      </c>
      <c r="U567" t="s">
        <v>36</v>
      </c>
    </row>
    <row r="568" spans="1:21" ht="27.6">
      <c r="A568" t="s">
        <v>1911</v>
      </c>
      <c r="B568" t="s">
        <v>1912</v>
      </c>
      <c r="C568" t="s">
        <v>1913</v>
      </c>
      <c r="D568" s="2">
        <v>46025</v>
      </c>
      <c r="E568" t="s">
        <v>24</v>
      </c>
      <c r="F568" t="s">
        <v>48</v>
      </c>
      <c r="G568" s="3">
        <v>64.739999999999995</v>
      </c>
      <c r="H568" t="s">
        <v>89</v>
      </c>
      <c r="I568" t="s">
        <v>50</v>
      </c>
      <c r="J568" s="4" t="s">
        <v>51</v>
      </c>
      <c r="K568" t="s">
        <v>29</v>
      </c>
      <c r="L568" t="s">
        <v>30</v>
      </c>
      <c r="M568" t="s">
        <v>31</v>
      </c>
      <c r="N568" t="s">
        <v>32</v>
      </c>
      <c r="O568">
        <v>10</v>
      </c>
      <c r="P568">
        <v>8</v>
      </c>
      <c r="Q568" t="s">
        <v>33</v>
      </c>
      <c r="R568" t="s">
        <v>34</v>
      </c>
      <c r="S568" s="3">
        <v>48.55</v>
      </c>
      <c r="T568" t="s">
        <v>52</v>
      </c>
      <c r="U568" t="s">
        <v>63</v>
      </c>
    </row>
    <row r="569" spans="1:21" ht="27.6">
      <c r="A569" t="s">
        <v>1914</v>
      </c>
      <c r="B569" t="s">
        <v>1915</v>
      </c>
      <c r="C569" t="s">
        <v>1916</v>
      </c>
      <c r="D569" s="2">
        <v>46104</v>
      </c>
      <c r="E569" t="s">
        <v>94</v>
      </c>
      <c r="F569" t="s">
        <v>82</v>
      </c>
      <c r="G569" s="3">
        <v>16.899999999999999</v>
      </c>
      <c r="H569" t="s">
        <v>49</v>
      </c>
      <c r="I569" t="s">
        <v>50</v>
      </c>
      <c r="J569" s="4" t="s">
        <v>114</v>
      </c>
      <c r="K569" t="s">
        <v>29</v>
      </c>
      <c r="L569" t="s">
        <v>30</v>
      </c>
      <c r="M569" t="s">
        <v>31</v>
      </c>
      <c r="N569" t="s">
        <v>32</v>
      </c>
      <c r="O569">
        <v>7</v>
      </c>
      <c r="P569">
        <v>7</v>
      </c>
      <c r="Q569" t="s">
        <v>33</v>
      </c>
      <c r="R569" t="s">
        <v>85</v>
      </c>
      <c r="S569" s="3">
        <v>8.4499999999999993</v>
      </c>
      <c r="T569" t="s">
        <v>69</v>
      </c>
      <c r="U569" t="s">
        <v>53</v>
      </c>
    </row>
    <row r="570" spans="1:21" ht="27.6">
      <c r="A570" t="s">
        <v>1917</v>
      </c>
      <c r="B570" t="s">
        <v>1918</v>
      </c>
      <c r="C570" t="s">
        <v>1919</v>
      </c>
      <c r="D570" s="2">
        <v>46168</v>
      </c>
      <c r="E570" t="s">
        <v>40</v>
      </c>
      <c r="F570" t="s">
        <v>25</v>
      </c>
      <c r="G570" s="3">
        <v>60.52</v>
      </c>
      <c r="H570" t="s">
        <v>89</v>
      </c>
      <c r="I570" t="s">
        <v>27</v>
      </c>
      <c r="J570" s="4" t="s">
        <v>1920</v>
      </c>
      <c r="K570" t="s">
        <v>29</v>
      </c>
      <c r="L570" t="s">
        <v>30</v>
      </c>
      <c r="M570" t="s">
        <v>31</v>
      </c>
      <c r="N570" t="s">
        <v>32</v>
      </c>
      <c r="O570">
        <v>5</v>
      </c>
      <c r="P570">
        <v>11</v>
      </c>
      <c r="Q570" t="s">
        <v>29</v>
      </c>
      <c r="R570" t="s">
        <v>34</v>
      </c>
      <c r="S570" s="3">
        <v>45.39</v>
      </c>
      <c r="T570" t="s">
        <v>43</v>
      </c>
      <c r="U570" t="s">
        <v>63</v>
      </c>
    </row>
    <row r="571" spans="1:21" ht="27.6">
      <c r="A571" t="s">
        <v>1921</v>
      </c>
      <c r="B571" t="s">
        <v>1922</v>
      </c>
      <c r="C571" t="s">
        <v>1923</v>
      </c>
      <c r="D571" s="2">
        <v>46045</v>
      </c>
      <c r="E571" t="s">
        <v>94</v>
      </c>
      <c r="F571" t="s">
        <v>82</v>
      </c>
      <c r="G571" s="3">
        <v>29.96</v>
      </c>
      <c r="H571" t="s">
        <v>26</v>
      </c>
      <c r="I571" t="s">
        <v>27</v>
      </c>
      <c r="J571" s="4" t="s">
        <v>1924</v>
      </c>
      <c r="K571" t="s">
        <v>29</v>
      </c>
      <c r="L571" t="s">
        <v>30</v>
      </c>
      <c r="M571" t="s">
        <v>31</v>
      </c>
      <c r="N571" t="s">
        <v>32</v>
      </c>
      <c r="O571">
        <v>7</v>
      </c>
      <c r="P571">
        <v>5</v>
      </c>
      <c r="Q571" t="s">
        <v>33</v>
      </c>
      <c r="R571" t="s">
        <v>85</v>
      </c>
      <c r="S571" s="3">
        <v>29.96</v>
      </c>
      <c r="T571" t="s">
        <v>43</v>
      </c>
      <c r="U571" t="s">
        <v>36</v>
      </c>
    </row>
    <row r="572" spans="1:21" ht="27.6">
      <c r="A572" t="s">
        <v>1925</v>
      </c>
      <c r="B572" t="s">
        <v>1926</v>
      </c>
      <c r="C572" t="s">
        <v>1927</v>
      </c>
      <c r="D572" s="2">
        <v>46153</v>
      </c>
      <c r="E572" t="s">
        <v>94</v>
      </c>
      <c r="F572" t="s">
        <v>25</v>
      </c>
      <c r="G572" s="3">
        <v>40.04</v>
      </c>
      <c r="H572" t="s">
        <v>58</v>
      </c>
      <c r="I572" t="s">
        <v>67</v>
      </c>
      <c r="J572" s="4" t="s">
        <v>42</v>
      </c>
      <c r="K572" t="s">
        <v>29</v>
      </c>
      <c r="L572" t="s">
        <v>30</v>
      </c>
      <c r="M572" t="s">
        <v>31</v>
      </c>
      <c r="N572" t="s">
        <v>84</v>
      </c>
      <c r="O572">
        <v>5</v>
      </c>
      <c r="P572">
        <v>7</v>
      </c>
      <c r="Q572" t="s">
        <v>29</v>
      </c>
      <c r="R572" t="s">
        <v>34</v>
      </c>
      <c r="S572" s="3">
        <v>0</v>
      </c>
      <c r="T572" t="s">
        <v>43</v>
      </c>
      <c r="U572" t="s">
        <v>63</v>
      </c>
    </row>
    <row r="573" spans="1:21" ht="27.6">
      <c r="A573" t="s">
        <v>1928</v>
      </c>
      <c r="B573" t="s">
        <v>1929</v>
      </c>
      <c r="C573" t="s">
        <v>1930</v>
      </c>
      <c r="D573" s="2">
        <v>46111</v>
      </c>
      <c r="E573" t="s">
        <v>24</v>
      </c>
      <c r="F573" t="s">
        <v>103</v>
      </c>
      <c r="G573" s="3">
        <v>131.01</v>
      </c>
      <c r="H573" t="s">
        <v>89</v>
      </c>
      <c r="I573" t="s">
        <v>27</v>
      </c>
      <c r="J573" s="4" t="s">
        <v>134</v>
      </c>
      <c r="K573" t="s">
        <v>29</v>
      </c>
      <c r="L573" t="s">
        <v>30</v>
      </c>
      <c r="M573" t="s">
        <v>31</v>
      </c>
      <c r="N573" t="s">
        <v>32</v>
      </c>
      <c r="O573">
        <v>5</v>
      </c>
      <c r="P573">
        <v>6</v>
      </c>
      <c r="Q573" t="s">
        <v>29</v>
      </c>
      <c r="R573" t="s">
        <v>34</v>
      </c>
      <c r="S573" s="3">
        <v>0</v>
      </c>
      <c r="T573" t="s">
        <v>35</v>
      </c>
      <c r="U573" t="s">
        <v>63</v>
      </c>
    </row>
    <row r="574" spans="1:21" ht="27.6">
      <c r="A574" t="s">
        <v>1931</v>
      </c>
      <c r="B574" t="s">
        <v>1932</v>
      </c>
      <c r="C574" t="s">
        <v>1933</v>
      </c>
      <c r="D574" s="2">
        <v>46116</v>
      </c>
      <c r="E574" t="s">
        <v>40</v>
      </c>
      <c r="F574" t="s">
        <v>172</v>
      </c>
      <c r="G574" s="3">
        <v>126.85</v>
      </c>
      <c r="H574" t="s">
        <v>108</v>
      </c>
      <c r="I574" t="s">
        <v>27</v>
      </c>
      <c r="J574" s="4" t="s">
        <v>173</v>
      </c>
      <c r="K574" t="s">
        <v>33</v>
      </c>
      <c r="L574" t="s">
        <v>30</v>
      </c>
      <c r="M574" t="s">
        <v>31</v>
      </c>
      <c r="N574" t="s">
        <v>32</v>
      </c>
      <c r="O574">
        <v>7</v>
      </c>
      <c r="P574">
        <v>12</v>
      </c>
      <c r="Q574" t="s">
        <v>29</v>
      </c>
      <c r="R574" t="s">
        <v>174</v>
      </c>
      <c r="S574" s="3">
        <v>0</v>
      </c>
      <c r="T574" t="s">
        <v>286</v>
      </c>
      <c r="U574" t="s">
        <v>63</v>
      </c>
    </row>
    <row r="575" spans="1:21" ht="27.6">
      <c r="A575" t="s">
        <v>1934</v>
      </c>
      <c r="B575" t="s">
        <v>1935</v>
      </c>
      <c r="C575" t="s">
        <v>1936</v>
      </c>
      <c r="D575" s="2">
        <v>46146</v>
      </c>
      <c r="E575" t="s">
        <v>24</v>
      </c>
      <c r="F575" t="s">
        <v>118</v>
      </c>
      <c r="G575" s="3">
        <v>90.47</v>
      </c>
      <c r="H575" t="s">
        <v>74</v>
      </c>
      <c r="I575" t="s">
        <v>67</v>
      </c>
      <c r="J575" s="4" t="s">
        <v>1937</v>
      </c>
      <c r="K575" t="s">
        <v>33</v>
      </c>
      <c r="L575" t="s">
        <v>30</v>
      </c>
      <c r="M575" t="s">
        <v>31</v>
      </c>
      <c r="N575" t="s">
        <v>126</v>
      </c>
      <c r="O575">
        <v>5</v>
      </c>
      <c r="P575">
        <v>7</v>
      </c>
      <c r="Q575" t="s">
        <v>29</v>
      </c>
      <c r="R575" t="s">
        <v>85</v>
      </c>
      <c r="S575" s="3">
        <v>0</v>
      </c>
      <c r="T575" t="s">
        <v>121</v>
      </c>
      <c r="U575" t="s">
        <v>63</v>
      </c>
    </row>
    <row r="576" spans="1:21" ht="27.6">
      <c r="A576" t="s">
        <v>1938</v>
      </c>
      <c r="B576" t="s">
        <v>1939</v>
      </c>
      <c r="C576" t="s">
        <v>1940</v>
      </c>
      <c r="D576" s="2">
        <v>46147</v>
      </c>
      <c r="E576" t="s">
        <v>24</v>
      </c>
      <c r="F576" t="s">
        <v>25</v>
      </c>
      <c r="G576" s="3">
        <v>37.25</v>
      </c>
      <c r="H576" t="s">
        <v>26</v>
      </c>
      <c r="I576" t="s">
        <v>27</v>
      </c>
      <c r="J576" s="4" t="s">
        <v>1941</v>
      </c>
      <c r="K576" t="s">
        <v>33</v>
      </c>
      <c r="L576" t="s">
        <v>30</v>
      </c>
      <c r="M576" t="s">
        <v>31</v>
      </c>
      <c r="N576" t="s">
        <v>32</v>
      </c>
      <c r="O576">
        <v>5</v>
      </c>
      <c r="P576">
        <v>8</v>
      </c>
      <c r="Q576" t="s">
        <v>29</v>
      </c>
      <c r="R576" t="s">
        <v>34</v>
      </c>
      <c r="S576" s="3">
        <v>37.25</v>
      </c>
      <c r="T576" t="s">
        <v>110</v>
      </c>
      <c r="U576" t="s">
        <v>63</v>
      </c>
    </row>
    <row r="577" spans="1:21" ht="27.6">
      <c r="A577" t="s">
        <v>1942</v>
      </c>
      <c r="B577" t="s">
        <v>1943</v>
      </c>
      <c r="C577" t="s">
        <v>1944</v>
      </c>
      <c r="D577" s="2">
        <v>46147</v>
      </c>
      <c r="E577" t="s">
        <v>24</v>
      </c>
      <c r="F577" t="s">
        <v>57</v>
      </c>
      <c r="G577" s="3">
        <v>20.32</v>
      </c>
      <c r="H577" t="s">
        <v>41</v>
      </c>
      <c r="I577" t="s">
        <v>27</v>
      </c>
      <c r="J577" s="4" t="s">
        <v>155</v>
      </c>
      <c r="K577" t="s">
        <v>29</v>
      </c>
      <c r="L577" t="s">
        <v>60</v>
      </c>
      <c r="M577" t="s">
        <v>31</v>
      </c>
      <c r="N577" t="s">
        <v>32</v>
      </c>
      <c r="O577">
        <v>10</v>
      </c>
      <c r="P577">
        <v>11</v>
      </c>
      <c r="Q577" t="s">
        <v>29</v>
      </c>
      <c r="R577" t="s">
        <v>61</v>
      </c>
      <c r="S577" s="3">
        <v>15.24</v>
      </c>
      <c r="T577" t="s">
        <v>156</v>
      </c>
      <c r="U577" t="s">
        <v>63</v>
      </c>
    </row>
    <row r="578" spans="1:21" ht="27.6">
      <c r="A578" t="s">
        <v>1945</v>
      </c>
      <c r="B578" t="s">
        <v>1946</v>
      </c>
      <c r="C578" t="s">
        <v>1947</v>
      </c>
      <c r="D578" s="2">
        <v>46113</v>
      </c>
      <c r="E578" t="s">
        <v>40</v>
      </c>
      <c r="F578" t="s">
        <v>25</v>
      </c>
      <c r="G578" s="3">
        <v>18.29</v>
      </c>
      <c r="H578" t="s">
        <v>74</v>
      </c>
      <c r="I578" t="s">
        <v>27</v>
      </c>
      <c r="J578" s="4" t="s">
        <v>42</v>
      </c>
      <c r="K578" t="s">
        <v>33</v>
      </c>
      <c r="L578" t="s">
        <v>30</v>
      </c>
      <c r="M578" t="s">
        <v>31</v>
      </c>
      <c r="N578" t="s">
        <v>32</v>
      </c>
      <c r="O578">
        <v>5</v>
      </c>
      <c r="P578">
        <v>10</v>
      </c>
      <c r="Q578" t="s">
        <v>29</v>
      </c>
      <c r="R578" t="s">
        <v>34</v>
      </c>
      <c r="S578" s="3">
        <v>0</v>
      </c>
      <c r="T578" t="s">
        <v>110</v>
      </c>
      <c r="U578" t="s">
        <v>63</v>
      </c>
    </row>
    <row r="579" spans="1:21" ht="27.6">
      <c r="A579" t="s">
        <v>1948</v>
      </c>
      <c r="B579" t="s">
        <v>1949</v>
      </c>
      <c r="C579" t="s">
        <v>1950</v>
      </c>
      <c r="D579" s="2">
        <v>46148</v>
      </c>
      <c r="E579" t="s">
        <v>47</v>
      </c>
      <c r="F579" t="s">
        <v>57</v>
      </c>
      <c r="G579" s="3">
        <v>64.260000000000005</v>
      </c>
      <c r="H579" t="s">
        <v>49</v>
      </c>
      <c r="I579" t="s">
        <v>67</v>
      </c>
      <c r="J579" s="4" t="s">
        <v>59</v>
      </c>
      <c r="K579" t="s">
        <v>29</v>
      </c>
      <c r="L579" t="s">
        <v>60</v>
      </c>
      <c r="M579" t="s">
        <v>31</v>
      </c>
      <c r="N579" t="s">
        <v>90</v>
      </c>
      <c r="O579">
        <v>10</v>
      </c>
      <c r="P579">
        <v>12</v>
      </c>
      <c r="Q579" t="s">
        <v>29</v>
      </c>
      <c r="R579" t="s">
        <v>61</v>
      </c>
      <c r="S579" s="3">
        <v>0</v>
      </c>
      <c r="T579" t="s">
        <v>62</v>
      </c>
      <c r="U579" t="s">
        <v>63</v>
      </c>
    </row>
    <row r="580" spans="1:21" ht="27.6">
      <c r="A580" t="s">
        <v>1951</v>
      </c>
      <c r="B580" t="s">
        <v>1952</v>
      </c>
      <c r="C580" t="s">
        <v>1953</v>
      </c>
      <c r="D580" s="2">
        <v>46028</v>
      </c>
      <c r="E580" t="s">
        <v>24</v>
      </c>
      <c r="F580" t="s">
        <v>82</v>
      </c>
      <c r="G580" s="3">
        <v>31.36</v>
      </c>
      <c r="H580" t="s">
        <v>26</v>
      </c>
      <c r="I580" t="s">
        <v>27</v>
      </c>
      <c r="J580" s="4" t="s">
        <v>114</v>
      </c>
      <c r="K580" t="s">
        <v>29</v>
      </c>
      <c r="L580" t="s">
        <v>30</v>
      </c>
      <c r="M580" t="s">
        <v>31</v>
      </c>
      <c r="N580" t="s">
        <v>32</v>
      </c>
      <c r="O580">
        <v>7</v>
      </c>
      <c r="P580">
        <v>8</v>
      </c>
      <c r="Q580" t="s">
        <v>29</v>
      </c>
      <c r="R580" t="s">
        <v>85</v>
      </c>
      <c r="S580" s="3">
        <v>0</v>
      </c>
      <c r="T580" t="s">
        <v>69</v>
      </c>
      <c r="U580" t="s">
        <v>63</v>
      </c>
    </row>
    <row r="581" spans="1:21" ht="27.6">
      <c r="A581" t="s">
        <v>1954</v>
      </c>
      <c r="B581" t="s">
        <v>788</v>
      </c>
      <c r="C581" t="s">
        <v>1955</v>
      </c>
      <c r="D581" s="2">
        <v>46052</v>
      </c>
      <c r="E581" t="s">
        <v>94</v>
      </c>
      <c r="F581" t="s">
        <v>48</v>
      </c>
      <c r="G581" s="3">
        <v>5.19</v>
      </c>
      <c r="H581" t="s">
        <v>74</v>
      </c>
      <c r="I581" t="s">
        <v>27</v>
      </c>
      <c r="J581" s="4" t="s">
        <v>51</v>
      </c>
      <c r="K581" t="s">
        <v>33</v>
      </c>
      <c r="L581" t="s">
        <v>30</v>
      </c>
      <c r="M581" t="s">
        <v>31</v>
      </c>
      <c r="N581" t="s">
        <v>32</v>
      </c>
      <c r="O581">
        <v>10</v>
      </c>
      <c r="P581">
        <v>10</v>
      </c>
      <c r="Q581" t="s">
        <v>33</v>
      </c>
      <c r="R581" t="s">
        <v>34</v>
      </c>
      <c r="S581" s="3">
        <v>2.6</v>
      </c>
      <c r="T581" t="s">
        <v>69</v>
      </c>
      <c r="U581" t="s">
        <v>63</v>
      </c>
    </row>
    <row r="582" spans="1:21" ht="27.6">
      <c r="A582" t="s">
        <v>1956</v>
      </c>
      <c r="B582" t="s">
        <v>1957</v>
      </c>
      <c r="C582" t="s">
        <v>1958</v>
      </c>
      <c r="D582" s="2">
        <v>46053</v>
      </c>
      <c r="E582" t="s">
        <v>24</v>
      </c>
      <c r="F582" t="s">
        <v>25</v>
      </c>
      <c r="G582" s="3">
        <v>30.56</v>
      </c>
      <c r="H582" t="s">
        <v>26</v>
      </c>
      <c r="I582" t="s">
        <v>67</v>
      </c>
      <c r="J582" s="4" t="s">
        <v>42</v>
      </c>
      <c r="K582" t="s">
        <v>29</v>
      </c>
      <c r="L582" t="s">
        <v>30</v>
      </c>
      <c r="M582" t="s">
        <v>31</v>
      </c>
      <c r="N582" t="s">
        <v>32</v>
      </c>
      <c r="O582">
        <v>5</v>
      </c>
      <c r="P582">
        <v>4</v>
      </c>
      <c r="Q582" t="s">
        <v>33</v>
      </c>
      <c r="R582" t="s">
        <v>34</v>
      </c>
      <c r="S582" s="3">
        <v>22.92</v>
      </c>
      <c r="T582" t="s">
        <v>35</v>
      </c>
      <c r="U582" t="s">
        <v>53</v>
      </c>
    </row>
    <row r="583" spans="1:21" ht="27.6">
      <c r="A583" t="s">
        <v>1959</v>
      </c>
      <c r="B583" t="s">
        <v>1960</v>
      </c>
      <c r="C583" t="s">
        <v>1961</v>
      </c>
      <c r="D583" s="2">
        <v>46051</v>
      </c>
      <c r="E583" t="s">
        <v>24</v>
      </c>
      <c r="F583" t="s">
        <v>118</v>
      </c>
      <c r="G583" s="3">
        <v>27.85</v>
      </c>
      <c r="H583" t="s">
        <v>41</v>
      </c>
      <c r="I583" t="s">
        <v>67</v>
      </c>
      <c r="J583" s="4" t="s">
        <v>119</v>
      </c>
      <c r="K583" t="s">
        <v>29</v>
      </c>
      <c r="L583" t="s">
        <v>120</v>
      </c>
      <c r="M583" t="s">
        <v>96</v>
      </c>
      <c r="N583" t="s">
        <v>32</v>
      </c>
      <c r="O583">
        <v>5</v>
      </c>
      <c r="P583">
        <v>6</v>
      </c>
      <c r="Q583" t="s">
        <v>29</v>
      </c>
      <c r="R583" t="s">
        <v>85</v>
      </c>
      <c r="S583" s="3">
        <v>27.85</v>
      </c>
      <c r="T583" t="s">
        <v>121</v>
      </c>
      <c r="U583" t="s">
        <v>63</v>
      </c>
    </row>
    <row r="584" spans="1:21" ht="27.6">
      <c r="A584" t="s">
        <v>1962</v>
      </c>
      <c r="B584" t="s">
        <v>1963</v>
      </c>
      <c r="C584" t="s">
        <v>1964</v>
      </c>
      <c r="D584" s="2">
        <v>46143</v>
      </c>
      <c r="E584" t="s">
        <v>24</v>
      </c>
      <c r="F584" t="s">
        <v>172</v>
      </c>
      <c r="G584" s="3">
        <v>35.35</v>
      </c>
      <c r="H584" t="s">
        <v>108</v>
      </c>
      <c r="I584" t="s">
        <v>27</v>
      </c>
      <c r="J584" s="4" t="s">
        <v>285</v>
      </c>
      <c r="K584" t="s">
        <v>29</v>
      </c>
      <c r="L584" t="s">
        <v>30</v>
      </c>
      <c r="M584" t="s">
        <v>31</v>
      </c>
      <c r="N584" t="s">
        <v>32</v>
      </c>
      <c r="O584">
        <v>7</v>
      </c>
      <c r="P584">
        <v>5</v>
      </c>
      <c r="Q584" t="s">
        <v>33</v>
      </c>
      <c r="R584" t="s">
        <v>174</v>
      </c>
      <c r="S584" s="3">
        <v>26.51</v>
      </c>
      <c r="T584" t="s">
        <v>69</v>
      </c>
      <c r="U584" t="s">
        <v>36</v>
      </c>
    </row>
    <row r="585" spans="1:21" ht="27.6">
      <c r="A585" t="s">
        <v>1965</v>
      </c>
      <c r="B585" t="s">
        <v>1966</v>
      </c>
      <c r="C585" t="s">
        <v>1967</v>
      </c>
      <c r="D585" s="2">
        <v>46093</v>
      </c>
      <c r="E585" t="s">
        <v>24</v>
      </c>
      <c r="F585" t="s">
        <v>82</v>
      </c>
      <c r="G585" s="3">
        <v>60.47</v>
      </c>
      <c r="H585" t="s">
        <v>89</v>
      </c>
      <c r="I585" t="s">
        <v>67</v>
      </c>
      <c r="J585" s="4" t="s">
        <v>1968</v>
      </c>
      <c r="K585" t="s">
        <v>33</v>
      </c>
      <c r="L585" t="s">
        <v>30</v>
      </c>
      <c r="M585" t="s">
        <v>31</v>
      </c>
      <c r="N585" t="s">
        <v>32</v>
      </c>
      <c r="O585">
        <v>7</v>
      </c>
      <c r="P585">
        <v>5</v>
      </c>
      <c r="Q585" t="s">
        <v>33</v>
      </c>
      <c r="R585" t="s">
        <v>85</v>
      </c>
      <c r="S585" s="3">
        <v>30.23</v>
      </c>
      <c r="T585" t="s">
        <v>43</v>
      </c>
      <c r="U585" t="s">
        <v>53</v>
      </c>
    </row>
    <row r="586" spans="1:21" ht="27.6">
      <c r="A586" t="s">
        <v>1969</v>
      </c>
      <c r="B586" t="s">
        <v>1691</v>
      </c>
      <c r="C586" t="s">
        <v>1970</v>
      </c>
      <c r="D586" s="2">
        <v>46144</v>
      </c>
      <c r="E586" t="s">
        <v>94</v>
      </c>
      <c r="F586" t="s">
        <v>118</v>
      </c>
      <c r="G586" s="3">
        <v>56.64</v>
      </c>
      <c r="H586" t="s">
        <v>74</v>
      </c>
      <c r="I586" t="s">
        <v>27</v>
      </c>
      <c r="J586" s="4" t="s">
        <v>119</v>
      </c>
      <c r="K586" t="s">
        <v>33</v>
      </c>
      <c r="L586" t="s">
        <v>120</v>
      </c>
      <c r="M586" t="s">
        <v>96</v>
      </c>
      <c r="N586" t="s">
        <v>126</v>
      </c>
      <c r="O586">
        <v>5</v>
      </c>
      <c r="P586">
        <v>6</v>
      </c>
      <c r="Q586" t="s">
        <v>29</v>
      </c>
      <c r="R586" t="s">
        <v>85</v>
      </c>
      <c r="S586" s="3">
        <v>0</v>
      </c>
      <c r="T586" t="s">
        <v>121</v>
      </c>
      <c r="U586" t="s">
        <v>63</v>
      </c>
    </row>
    <row r="587" spans="1:21" ht="27.6">
      <c r="A587" t="s">
        <v>1971</v>
      </c>
      <c r="B587" t="s">
        <v>1972</v>
      </c>
      <c r="C587" t="s">
        <v>1973</v>
      </c>
      <c r="D587" s="2">
        <v>46053</v>
      </c>
      <c r="E587" t="s">
        <v>94</v>
      </c>
      <c r="F587" t="s">
        <v>25</v>
      </c>
      <c r="G587" s="3">
        <v>7.24</v>
      </c>
      <c r="H587" t="s">
        <v>89</v>
      </c>
      <c r="I587" t="s">
        <v>67</v>
      </c>
      <c r="J587" s="4" t="s">
        <v>1974</v>
      </c>
      <c r="K587" t="s">
        <v>29</v>
      </c>
      <c r="L587" t="s">
        <v>30</v>
      </c>
      <c r="M587" t="s">
        <v>31</v>
      </c>
      <c r="N587" t="s">
        <v>32</v>
      </c>
      <c r="O587">
        <v>5</v>
      </c>
      <c r="P587">
        <v>2</v>
      </c>
      <c r="Q587" t="s">
        <v>33</v>
      </c>
      <c r="R587" t="s">
        <v>34</v>
      </c>
      <c r="S587" s="3">
        <v>3.62</v>
      </c>
      <c r="T587" t="s">
        <v>43</v>
      </c>
      <c r="U587" t="s">
        <v>53</v>
      </c>
    </row>
    <row r="588" spans="1:21" ht="27.6">
      <c r="A588" t="s">
        <v>1975</v>
      </c>
      <c r="B588" t="s">
        <v>1976</v>
      </c>
      <c r="C588" t="s">
        <v>1977</v>
      </c>
      <c r="D588" s="2">
        <v>46159</v>
      </c>
      <c r="E588" t="s">
        <v>94</v>
      </c>
      <c r="F588" t="s">
        <v>48</v>
      </c>
      <c r="G588" s="3">
        <v>5.72</v>
      </c>
      <c r="H588" t="s">
        <v>108</v>
      </c>
      <c r="I588" t="s">
        <v>50</v>
      </c>
      <c r="J588" s="4" t="s">
        <v>68</v>
      </c>
      <c r="K588" t="s">
        <v>29</v>
      </c>
      <c r="L588" t="s">
        <v>30</v>
      </c>
      <c r="M588" t="s">
        <v>31</v>
      </c>
      <c r="N588" t="s">
        <v>32</v>
      </c>
      <c r="O588">
        <v>10</v>
      </c>
      <c r="P588">
        <v>5</v>
      </c>
      <c r="Q588" t="s">
        <v>33</v>
      </c>
      <c r="R588" t="s">
        <v>34</v>
      </c>
      <c r="S588" s="3">
        <v>5.72</v>
      </c>
      <c r="T588" t="s">
        <v>62</v>
      </c>
      <c r="U588" t="s">
        <v>53</v>
      </c>
    </row>
    <row r="589" spans="1:21" ht="27.6">
      <c r="A589" t="s">
        <v>1978</v>
      </c>
      <c r="B589" t="s">
        <v>1979</v>
      </c>
      <c r="C589" t="s">
        <v>1980</v>
      </c>
      <c r="D589" s="2">
        <v>46157</v>
      </c>
      <c r="E589" t="s">
        <v>24</v>
      </c>
      <c r="F589" t="s">
        <v>73</v>
      </c>
      <c r="G589" s="3">
        <v>26.95</v>
      </c>
      <c r="H589" t="s">
        <v>26</v>
      </c>
      <c r="I589" t="s">
        <v>27</v>
      </c>
      <c r="J589" s="4" t="s">
        <v>389</v>
      </c>
      <c r="K589" t="s">
        <v>29</v>
      </c>
      <c r="L589" t="s">
        <v>60</v>
      </c>
      <c r="M589" t="s">
        <v>31</v>
      </c>
      <c r="N589" t="s">
        <v>32</v>
      </c>
      <c r="O589">
        <v>10</v>
      </c>
      <c r="P589">
        <v>12</v>
      </c>
      <c r="Q589" t="s">
        <v>29</v>
      </c>
      <c r="R589" t="s">
        <v>61</v>
      </c>
      <c r="S589" s="3">
        <v>0</v>
      </c>
      <c r="T589" t="s">
        <v>156</v>
      </c>
      <c r="U589" t="s">
        <v>63</v>
      </c>
    </row>
    <row r="590" spans="1:21" ht="27.6">
      <c r="A590" t="s">
        <v>1981</v>
      </c>
      <c r="B590" t="s">
        <v>1982</v>
      </c>
      <c r="C590" t="s">
        <v>1983</v>
      </c>
      <c r="D590" s="2">
        <v>46036</v>
      </c>
      <c r="E590" t="s">
        <v>40</v>
      </c>
      <c r="F590" t="s">
        <v>118</v>
      </c>
      <c r="G590" s="3">
        <v>111.42</v>
      </c>
      <c r="H590" t="s">
        <v>26</v>
      </c>
      <c r="I590" t="s">
        <v>50</v>
      </c>
      <c r="J590" s="4" t="s">
        <v>1984</v>
      </c>
      <c r="K590" t="s">
        <v>33</v>
      </c>
      <c r="L590" t="s">
        <v>120</v>
      </c>
      <c r="M590" t="s">
        <v>96</v>
      </c>
      <c r="N590" t="s">
        <v>126</v>
      </c>
      <c r="O590">
        <v>5</v>
      </c>
      <c r="P590">
        <v>5</v>
      </c>
      <c r="Q590" t="s">
        <v>33</v>
      </c>
      <c r="R590" t="s">
        <v>85</v>
      </c>
      <c r="S590" s="3">
        <v>0</v>
      </c>
      <c r="T590" t="s">
        <v>121</v>
      </c>
      <c r="U590" t="s">
        <v>36</v>
      </c>
    </row>
    <row r="591" spans="1:21" ht="27.6">
      <c r="A591" t="s">
        <v>1985</v>
      </c>
      <c r="B591" t="s">
        <v>1986</v>
      </c>
      <c r="C591" t="s">
        <v>1987</v>
      </c>
      <c r="D591" s="2">
        <v>46098</v>
      </c>
      <c r="E591" t="s">
        <v>24</v>
      </c>
      <c r="F591" t="s">
        <v>25</v>
      </c>
      <c r="G591" s="3">
        <v>526.97</v>
      </c>
      <c r="H591" t="s">
        <v>49</v>
      </c>
      <c r="I591" t="s">
        <v>67</v>
      </c>
      <c r="J591" s="4" t="s">
        <v>42</v>
      </c>
      <c r="K591" t="s">
        <v>29</v>
      </c>
      <c r="L591" t="s">
        <v>60</v>
      </c>
      <c r="M591" t="s">
        <v>31</v>
      </c>
      <c r="N591" t="s">
        <v>32</v>
      </c>
      <c r="O591">
        <v>5</v>
      </c>
      <c r="P591">
        <v>8</v>
      </c>
      <c r="Q591" t="s">
        <v>29</v>
      </c>
      <c r="R591" t="s">
        <v>34</v>
      </c>
      <c r="S591" s="3">
        <v>526.97</v>
      </c>
      <c r="T591" t="s">
        <v>35</v>
      </c>
      <c r="U591" t="s">
        <v>63</v>
      </c>
    </row>
    <row r="592" spans="1:21" ht="27.6">
      <c r="A592" t="s">
        <v>1988</v>
      </c>
      <c r="B592" t="s">
        <v>1989</v>
      </c>
      <c r="C592" t="s">
        <v>1990</v>
      </c>
      <c r="D592" s="2">
        <v>46136</v>
      </c>
      <c r="E592" t="s">
        <v>24</v>
      </c>
      <c r="F592" t="s">
        <v>118</v>
      </c>
      <c r="G592" s="3">
        <v>75.14</v>
      </c>
      <c r="H592" t="s">
        <v>49</v>
      </c>
      <c r="I592" t="s">
        <v>27</v>
      </c>
      <c r="J592" s="4" t="s">
        <v>1991</v>
      </c>
      <c r="K592" t="s">
        <v>29</v>
      </c>
      <c r="L592" t="s">
        <v>120</v>
      </c>
      <c r="M592" t="s">
        <v>96</v>
      </c>
      <c r="N592" t="s">
        <v>32</v>
      </c>
      <c r="O592">
        <v>5</v>
      </c>
      <c r="P592">
        <v>2</v>
      </c>
      <c r="Q592" t="s">
        <v>33</v>
      </c>
      <c r="R592" t="s">
        <v>85</v>
      </c>
      <c r="S592" s="3">
        <v>75.14</v>
      </c>
      <c r="T592" t="s">
        <v>121</v>
      </c>
      <c r="U592" t="s">
        <v>36</v>
      </c>
    </row>
    <row r="593" spans="1:21" ht="27.6">
      <c r="A593" t="s">
        <v>1992</v>
      </c>
      <c r="B593" t="s">
        <v>1993</v>
      </c>
      <c r="C593" t="s">
        <v>1994</v>
      </c>
      <c r="D593" s="2">
        <v>46140</v>
      </c>
      <c r="E593" t="s">
        <v>24</v>
      </c>
      <c r="F593" t="s">
        <v>73</v>
      </c>
      <c r="G593" s="3">
        <v>16.600000000000001</v>
      </c>
      <c r="H593" t="s">
        <v>58</v>
      </c>
      <c r="I593" t="s">
        <v>27</v>
      </c>
      <c r="J593" s="4" t="s">
        <v>75</v>
      </c>
      <c r="K593" t="s">
        <v>29</v>
      </c>
      <c r="L593" t="s">
        <v>60</v>
      </c>
      <c r="M593" t="s">
        <v>31</v>
      </c>
      <c r="N593" t="s">
        <v>32</v>
      </c>
      <c r="O593">
        <v>10</v>
      </c>
      <c r="P593">
        <v>7</v>
      </c>
      <c r="Q593" t="s">
        <v>33</v>
      </c>
      <c r="R593" t="s">
        <v>61</v>
      </c>
      <c r="S593" s="3">
        <v>12.45</v>
      </c>
      <c r="T593" t="s">
        <v>52</v>
      </c>
      <c r="U593" t="s">
        <v>63</v>
      </c>
    </row>
    <row r="594" spans="1:21" ht="27.6">
      <c r="A594" t="s">
        <v>1995</v>
      </c>
      <c r="B594" t="s">
        <v>1996</v>
      </c>
      <c r="C594" t="s">
        <v>1997</v>
      </c>
      <c r="D594" s="2">
        <v>46041</v>
      </c>
      <c r="E594" t="s">
        <v>47</v>
      </c>
      <c r="F594" t="s">
        <v>82</v>
      </c>
      <c r="G594" s="3">
        <v>57.64</v>
      </c>
      <c r="H594" t="s">
        <v>58</v>
      </c>
      <c r="I594" t="s">
        <v>50</v>
      </c>
      <c r="J594" s="4" t="s">
        <v>114</v>
      </c>
      <c r="K594" t="s">
        <v>33</v>
      </c>
      <c r="L594" t="s">
        <v>30</v>
      </c>
      <c r="M594" t="s">
        <v>31</v>
      </c>
      <c r="N594" t="s">
        <v>32</v>
      </c>
      <c r="O594">
        <v>7</v>
      </c>
      <c r="P594">
        <v>6</v>
      </c>
      <c r="Q594" t="s">
        <v>33</v>
      </c>
      <c r="R594" t="s">
        <v>85</v>
      </c>
      <c r="S594" s="3">
        <v>0</v>
      </c>
      <c r="T594" t="s">
        <v>43</v>
      </c>
      <c r="U594" t="s">
        <v>53</v>
      </c>
    </row>
    <row r="595" spans="1:21" ht="27.6">
      <c r="A595" t="s">
        <v>1998</v>
      </c>
      <c r="B595" t="s">
        <v>1999</v>
      </c>
      <c r="C595" t="s">
        <v>2000</v>
      </c>
      <c r="D595" s="2">
        <v>46044</v>
      </c>
      <c r="E595" t="s">
        <v>24</v>
      </c>
      <c r="F595" t="s">
        <v>48</v>
      </c>
      <c r="G595" s="3">
        <v>81.44</v>
      </c>
      <c r="H595" t="s">
        <v>26</v>
      </c>
      <c r="I595" t="s">
        <v>67</v>
      </c>
      <c r="J595" s="4" t="s">
        <v>51</v>
      </c>
      <c r="K595" t="s">
        <v>33</v>
      </c>
      <c r="L595" t="s">
        <v>30</v>
      </c>
      <c r="M595" t="s">
        <v>31</v>
      </c>
      <c r="N595" t="s">
        <v>126</v>
      </c>
      <c r="O595">
        <v>10</v>
      </c>
      <c r="P595">
        <v>4</v>
      </c>
      <c r="Q595" t="s">
        <v>33</v>
      </c>
      <c r="R595" t="s">
        <v>34</v>
      </c>
      <c r="S595" s="3">
        <v>0</v>
      </c>
      <c r="T595" t="s">
        <v>62</v>
      </c>
      <c r="U595" t="s">
        <v>53</v>
      </c>
    </row>
    <row r="596" spans="1:21" ht="27.6">
      <c r="A596" t="s">
        <v>2001</v>
      </c>
      <c r="B596" t="s">
        <v>2002</v>
      </c>
      <c r="C596" t="s">
        <v>2003</v>
      </c>
      <c r="D596" s="2">
        <v>46167</v>
      </c>
      <c r="E596" t="s">
        <v>94</v>
      </c>
      <c r="F596" t="s">
        <v>57</v>
      </c>
      <c r="G596" s="3">
        <v>23.59</v>
      </c>
      <c r="H596" t="s">
        <v>74</v>
      </c>
      <c r="I596" t="s">
        <v>27</v>
      </c>
      <c r="J596" s="4" t="s">
        <v>155</v>
      </c>
      <c r="K596" t="s">
        <v>29</v>
      </c>
      <c r="L596" t="s">
        <v>60</v>
      </c>
      <c r="M596" t="s">
        <v>31</v>
      </c>
      <c r="N596" t="s">
        <v>32</v>
      </c>
      <c r="O596">
        <v>10</v>
      </c>
      <c r="P596">
        <v>10</v>
      </c>
      <c r="Q596" t="s">
        <v>33</v>
      </c>
      <c r="R596" t="s">
        <v>61</v>
      </c>
      <c r="S596" s="3">
        <v>11.79</v>
      </c>
      <c r="T596" t="s">
        <v>62</v>
      </c>
      <c r="U596" t="s">
        <v>63</v>
      </c>
    </row>
    <row r="597" spans="1:21" ht="27.6">
      <c r="A597" t="s">
        <v>2004</v>
      </c>
      <c r="B597" t="s">
        <v>2005</v>
      </c>
      <c r="C597" t="s">
        <v>2006</v>
      </c>
      <c r="D597" s="2">
        <v>46080</v>
      </c>
      <c r="E597" t="s">
        <v>24</v>
      </c>
      <c r="F597" t="s">
        <v>82</v>
      </c>
      <c r="G597" s="3">
        <v>9.1</v>
      </c>
      <c r="H597" t="s">
        <v>74</v>
      </c>
      <c r="I597" t="s">
        <v>67</v>
      </c>
      <c r="J597" s="4" t="s">
        <v>114</v>
      </c>
      <c r="K597" t="s">
        <v>29</v>
      </c>
      <c r="L597" t="s">
        <v>30</v>
      </c>
      <c r="M597" t="s">
        <v>31</v>
      </c>
      <c r="N597" t="s">
        <v>84</v>
      </c>
      <c r="O597">
        <v>7</v>
      </c>
      <c r="P597">
        <v>5</v>
      </c>
      <c r="Q597" t="s">
        <v>33</v>
      </c>
      <c r="R597" t="s">
        <v>85</v>
      </c>
      <c r="S597" s="3">
        <v>0</v>
      </c>
      <c r="T597" t="s">
        <v>62</v>
      </c>
      <c r="U597" t="s">
        <v>36</v>
      </c>
    </row>
    <row r="598" spans="1:21" ht="27.6">
      <c r="A598" t="s">
        <v>2007</v>
      </c>
      <c r="B598" t="s">
        <v>2008</v>
      </c>
      <c r="C598" t="s">
        <v>2009</v>
      </c>
      <c r="D598" s="2">
        <v>46049</v>
      </c>
      <c r="E598" t="s">
        <v>94</v>
      </c>
      <c r="F598" t="s">
        <v>118</v>
      </c>
      <c r="G598" s="3">
        <v>16</v>
      </c>
      <c r="H598" t="s">
        <v>41</v>
      </c>
      <c r="I598" t="s">
        <v>67</v>
      </c>
      <c r="J598" s="4" t="s">
        <v>290</v>
      </c>
      <c r="K598" t="s">
        <v>33</v>
      </c>
      <c r="L598" t="s">
        <v>30</v>
      </c>
      <c r="M598" t="s">
        <v>31</v>
      </c>
      <c r="N598" t="s">
        <v>32</v>
      </c>
      <c r="O598">
        <v>5</v>
      </c>
      <c r="P598">
        <v>12</v>
      </c>
      <c r="Q598" t="s">
        <v>29</v>
      </c>
      <c r="R598" t="s">
        <v>85</v>
      </c>
      <c r="S598" s="3">
        <v>16</v>
      </c>
      <c r="T598" t="s">
        <v>121</v>
      </c>
      <c r="U598" t="s">
        <v>63</v>
      </c>
    </row>
    <row r="599" spans="1:21" ht="27.6">
      <c r="A599" t="s">
        <v>2010</v>
      </c>
      <c r="B599" t="s">
        <v>2011</v>
      </c>
      <c r="C599" t="s">
        <v>2012</v>
      </c>
      <c r="D599" s="2">
        <v>46100</v>
      </c>
      <c r="E599" t="s">
        <v>47</v>
      </c>
      <c r="F599" t="s">
        <v>118</v>
      </c>
      <c r="G599" s="3">
        <v>85.71</v>
      </c>
      <c r="H599" t="s">
        <v>108</v>
      </c>
      <c r="I599" t="s">
        <v>50</v>
      </c>
      <c r="J599" s="4" t="s">
        <v>2013</v>
      </c>
      <c r="K599" t="s">
        <v>33</v>
      </c>
      <c r="L599" t="s">
        <v>30</v>
      </c>
      <c r="M599" t="s">
        <v>31</v>
      </c>
      <c r="N599" t="s">
        <v>126</v>
      </c>
      <c r="O599">
        <v>5</v>
      </c>
      <c r="P599">
        <v>6</v>
      </c>
      <c r="Q599" t="s">
        <v>29</v>
      </c>
      <c r="R599" t="s">
        <v>85</v>
      </c>
      <c r="S599" s="3">
        <v>0</v>
      </c>
      <c r="T599" t="s">
        <v>121</v>
      </c>
      <c r="U599" t="s">
        <v>63</v>
      </c>
    </row>
    <row r="600" spans="1:21" ht="27.6">
      <c r="A600" t="s">
        <v>2014</v>
      </c>
      <c r="B600" t="s">
        <v>2015</v>
      </c>
      <c r="C600" t="s">
        <v>2016</v>
      </c>
      <c r="D600" s="2">
        <v>46060</v>
      </c>
      <c r="E600" t="s">
        <v>24</v>
      </c>
      <c r="F600" t="s">
        <v>82</v>
      </c>
      <c r="G600" s="3">
        <v>182.19</v>
      </c>
      <c r="H600" t="s">
        <v>108</v>
      </c>
      <c r="I600" t="s">
        <v>67</v>
      </c>
      <c r="J600" s="4" t="s">
        <v>114</v>
      </c>
      <c r="K600" t="s">
        <v>29</v>
      </c>
      <c r="L600" t="s">
        <v>30</v>
      </c>
      <c r="M600" t="s">
        <v>31</v>
      </c>
      <c r="N600" t="s">
        <v>32</v>
      </c>
      <c r="O600">
        <v>7</v>
      </c>
      <c r="P600">
        <v>8</v>
      </c>
      <c r="Q600" t="s">
        <v>29</v>
      </c>
      <c r="R600" t="s">
        <v>85</v>
      </c>
      <c r="S600" s="3">
        <v>0</v>
      </c>
      <c r="T600" t="s">
        <v>69</v>
      </c>
      <c r="U600" t="s">
        <v>63</v>
      </c>
    </row>
    <row r="601" spans="1:21" ht="27.6">
      <c r="A601" t="s">
        <v>2017</v>
      </c>
      <c r="B601" t="s">
        <v>2018</v>
      </c>
      <c r="C601" t="s">
        <v>2019</v>
      </c>
      <c r="D601" s="2">
        <v>46104</v>
      </c>
      <c r="E601" t="s">
        <v>47</v>
      </c>
      <c r="F601" t="s">
        <v>82</v>
      </c>
      <c r="G601" s="3">
        <v>50.97</v>
      </c>
      <c r="H601" t="s">
        <v>58</v>
      </c>
      <c r="I601" t="s">
        <v>67</v>
      </c>
      <c r="J601" s="4" t="s">
        <v>2020</v>
      </c>
      <c r="K601" t="s">
        <v>29</v>
      </c>
      <c r="L601" t="s">
        <v>30</v>
      </c>
      <c r="M601" t="s">
        <v>31</v>
      </c>
      <c r="N601" t="s">
        <v>32</v>
      </c>
      <c r="O601">
        <v>7</v>
      </c>
      <c r="P601">
        <v>5</v>
      </c>
      <c r="Q601" t="s">
        <v>33</v>
      </c>
      <c r="R601" t="s">
        <v>85</v>
      </c>
      <c r="S601" s="3">
        <v>50.97</v>
      </c>
      <c r="T601" t="s">
        <v>62</v>
      </c>
      <c r="U601" t="s">
        <v>53</v>
      </c>
    </row>
    <row r="602" spans="1:21" ht="27.6">
      <c r="A602" t="s">
        <v>2021</v>
      </c>
      <c r="B602" t="s">
        <v>2022</v>
      </c>
      <c r="C602" t="s">
        <v>2023</v>
      </c>
      <c r="D602" s="2">
        <v>46130</v>
      </c>
      <c r="E602" t="s">
        <v>47</v>
      </c>
      <c r="F602" t="s">
        <v>57</v>
      </c>
      <c r="G602" s="3">
        <v>72.349999999999994</v>
      </c>
      <c r="H602" t="s">
        <v>26</v>
      </c>
      <c r="I602" t="s">
        <v>27</v>
      </c>
      <c r="J602" s="4" t="s">
        <v>155</v>
      </c>
      <c r="K602" t="s">
        <v>29</v>
      </c>
      <c r="L602" t="s">
        <v>60</v>
      </c>
      <c r="M602" t="s">
        <v>31</v>
      </c>
      <c r="N602" t="s">
        <v>32</v>
      </c>
      <c r="O602">
        <v>10</v>
      </c>
      <c r="P602">
        <v>8</v>
      </c>
      <c r="Q602" t="s">
        <v>33</v>
      </c>
      <c r="R602" t="s">
        <v>61</v>
      </c>
      <c r="S602" s="3">
        <v>54.26</v>
      </c>
      <c r="T602" t="s">
        <v>156</v>
      </c>
      <c r="U602" t="s">
        <v>63</v>
      </c>
    </row>
    <row r="603" spans="1:21" ht="27.6">
      <c r="A603" t="s">
        <v>2024</v>
      </c>
      <c r="B603" t="s">
        <v>2025</v>
      </c>
      <c r="C603" t="s">
        <v>2026</v>
      </c>
      <c r="D603" s="2">
        <v>46140</v>
      </c>
      <c r="E603" t="s">
        <v>24</v>
      </c>
      <c r="F603" t="s">
        <v>73</v>
      </c>
      <c r="G603" s="3">
        <v>5</v>
      </c>
      <c r="H603" t="s">
        <v>26</v>
      </c>
      <c r="I603" t="s">
        <v>50</v>
      </c>
      <c r="J603" s="4" t="s">
        <v>389</v>
      </c>
      <c r="K603" t="s">
        <v>29</v>
      </c>
      <c r="L603" t="s">
        <v>60</v>
      </c>
      <c r="M603" t="s">
        <v>31</v>
      </c>
      <c r="N603" t="s">
        <v>32</v>
      </c>
      <c r="O603">
        <v>10</v>
      </c>
      <c r="P603">
        <v>13</v>
      </c>
      <c r="Q603" t="s">
        <v>29</v>
      </c>
      <c r="R603" t="s">
        <v>61</v>
      </c>
      <c r="S603" s="3">
        <v>2.5</v>
      </c>
      <c r="T603" t="s">
        <v>62</v>
      </c>
      <c r="U603" t="s">
        <v>63</v>
      </c>
    </row>
    <row r="604" spans="1:21" ht="27.6">
      <c r="A604" t="s">
        <v>2027</v>
      </c>
      <c r="B604" t="s">
        <v>2028</v>
      </c>
      <c r="C604" t="s">
        <v>2029</v>
      </c>
      <c r="D604" s="2">
        <v>46050</v>
      </c>
      <c r="E604" t="s">
        <v>40</v>
      </c>
      <c r="F604" t="s">
        <v>25</v>
      </c>
      <c r="G604" s="3">
        <v>13.75</v>
      </c>
      <c r="H604" t="s">
        <v>26</v>
      </c>
      <c r="I604" t="s">
        <v>27</v>
      </c>
      <c r="J604" s="4" t="s">
        <v>42</v>
      </c>
      <c r="K604" t="s">
        <v>29</v>
      </c>
      <c r="L604" t="s">
        <v>30</v>
      </c>
      <c r="M604" t="s">
        <v>31</v>
      </c>
      <c r="N604" t="s">
        <v>32</v>
      </c>
      <c r="O604">
        <v>5</v>
      </c>
      <c r="P604">
        <v>7</v>
      </c>
      <c r="Q604" t="s">
        <v>29</v>
      </c>
      <c r="R604" t="s">
        <v>34</v>
      </c>
      <c r="S604" s="3">
        <v>0</v>
      </c>
      <c r="T604" t="s">
        <v>43</v>
      </c>
      <c r="U604" t="s">
        <v>63</v>
      </c>
    </row>
    <row r="605" spans="1:21" ht="27.6">
      <c r="A605" t="s">
        <v>2030</v>
      </c>
      <c r="B605" t="s">
        <v>2031</v>
      </c>
      <c r="C605" t="s">
        <v>2032</v>
      </c>
      <c r="D605" s="2">
        <v>46109</v>
      </c>
      <c r="E605" t="s">
        <v>47</v>
      </c>
      <c r="F605" t="s">
        <v>172</v>
      </c>
      <c r="G605" s="3">
        <v>48.61</v>
      </c>
      <c r="H605" t="s">
        <v>74</v>
      </c>
      <c r="I605" t="s">
        <v>27</v>
      </c>
      <c r="J605" s="4" t="s">
        <v>285</v>
      </c>
      <c r="K605" t="s">
        <v>33</v>
      </c>
      <c r="L605" t="s">
        <v>30</v>
      </c>
      <c r="M605" t="s">
        <v>31</v>
      </c>
      <c r="N605" t="s">
        <v>90</v>
      </c>
      <c r="O605">
        <v>7</v>
      </c>
      <c r="P605">
        <v>12</v>
      </c>
      <c r="Q605" t="s">
        <v>29</v>
      </c>
      <c r="R605" t="s">
        <v>174</v>
      </c>
      <c r="S605" s="3">
        <v>0</v>
      </c>
      <c r="T605" t="s">
        <v>110</v>
      </c>
      <c r="U605" t="s">
        <v>63</v>
      </c>
    </row>
    <row r="606" spans="1:21" ht="27.6">
      <c r="A606" t="s">
        <v>2033</v>
      </c>
      <c r="B606" t="s">
        <v>2034</v>
      </c>
      <c r="C606" t="s">
        <v>2035</v>
      </c>
      <c r="D606" s="2">
        <v>46081</v>
      </c>
      <c r="E606" t="s">
        <v>47</v>
      </c>
      <c r="F606" t="s">
        <v>25</v>
      </c>
      <c r="G606" s="3">
        <v>171.03</v>
      </c>
      <c r="H606" t="s">
        <v>74</v>
      </c>
      <c r="I606" t="s">
        <v>50</v>
      </c>
      <c r="J606" s="4" t="s">
        <v>2036</v>
      </c>
      <c r="K606" t="s">
        <v>29</v>
      </c>
      <c r="L606" t="s">
        <v>30</v>
      </c>
      <c r="M606" t="s">
        <v>96</v>
      </c>
      <c r="N606" t="s">
        <v>32</v>
      </c>
      <c r="O606">
        <v>5</v>
      </c>
      <c r="P606">
        <v>6</v>
      </c>
      <c r="Q606" t="s">
        <v>29</v>
      </c>
      <c r="R606" t="s">
        <v>34</v>
      </c>
      <c r="S606" s="3">
        <v>171.03</v>
      </c>
      <c r="T606" t="s">
        <v>110</v>
      </c>
      <c r="U606" t="s">
        <v>63</v>
      </c>
    </row>
    <row r="607" spans="1:21" ht="27.6">
      <c r="A607" t="s">
        <v>2037</v>
      </c>
      <c r="B607" t="s">
        <v>2038</v>
      </c>
      <c r="C607" t="s">
        <v>2039</v>
      </c>
      <c r="D607" s="2">
        <v>46103</v>
      </c>
      <c r="E607" t="s">
        <v>40</v>
      </c>
      <c r="F607" t="s">
        <v>82</v>
      </c>
      <c r="G607" s="3">
        <v>33.64</v>
      </c>
      <c r="H607" t="s">
        <v>41</v>
      </c>
      <c r="I607" t="s">
        <v>50</v>
      </c>
      <c r="J607" s="4" t="s">
        <v>114</v>
      </c>
      <c r="K607" t="s">
        <v>29</v>
      </c>
      <c r="L607" t="s">
        <v>30</v>
      </c>
      <c r="M607" t="s">
        <v>31</v>
      </c>
      <c r="N607" t="s">
        <v>32</v>
      </c>
      <c r="O607">
        <v>7</v>
      </c>
      <c r="P607">
        <v>7</v>
      </c>
      <c r="Q607" t="s">
        <v>33</v>
      </c>
      <c r="R607" t="s">
        <v>85</v>
      </c>
      <c r="S607" s="3">
        <v>25.23</v>
      </c>
      <c r="T607" t="s">
        <v>43</v>
      </c>
      <c r="U607" t="s">
        <v>53</v>
      </c>
    </row>
    <row r="608" spans="1:21" ht="27.6">
      <c r="A608" t="s">
        <v>2040</v>
      </c>
      <c r="B608" t="s">
        <v>2041</v>
      </c>
      <c r="C608" t="s">
        <v>2042</v>
      </c>
      <c r="D608" s="2">
        <v>46161</v>
      </c>
      <c r="E608" t="s">
        <v>24</v>
      </c>
      <c r="F608" t="s">
        <v>118</v>
      </c>
      <c r="G608" s="3">
        <v>22.86</v>
      </c>
      <c r="H608" t="s">
        <v>26</v>
      </c>
      <c r="I608" t="s">
        <v>27</v>
      </c>
      <c r="J608" s="4" t="s">
        <v>2043</v>
      </c>
      <c r="K608" t="s">
        <v>29</v>
      </c>
      <c r="L608" t="s">
        <v>120</v>
      </c>
      <c r="M608" t="s">
        <v>96</v>
      </c>
      <c r="N608" t="s">
        <v>90</v>
      </c>
      <c r="O608">
        <v>5</v>
      </c>
      <c r="P608">
        <v>2</v>
      </c>
      <c r="Q608" t="s">
        <v>33</v>
      </c>
      <c r="R608" t="s">
        <v>85</v>
      </c>
      <c r="S608" s="3">
        <v>0</v>
      </c>
      <c r="T608" t="s">
        <v>121</v>
      </c>
      <c r="U608" t="s">
        <v>53</v>
      </c>
    </row>
    <row r="609" spans="1:21" ht="27.6">
      <c r="A609" t="s">
        <v>2044</v>
      </c>
      <c r="B609" t="s">
        <v>2045</v>
      </c>
      <c r="C609" t="s">
        <v>2046</v>
      </c>
      <c r="D609" s="2">
        <v>46102</v>
      </c>
      <c r="E609" t="s">
        <v>24</v>
      </c>
      <c r="F609" t="s">
        <v>82</v>
      </c>
      <c r="G609" s="3">
        <v>23.87</v>
      </c>
      <c r="H609" t="s">
        <v>74</v>
      </c>
      <c r="I609" t="s">
        <v>27</v>
      </c>
      <c r="J609" s="4" t="s">
        <v>2047</v>
      </c>
      <c r="K609" t="s">
        <v>33</v>
      </c>
      <c r="L609" t="s">
        <v>30</v>
      </c>
      <c r="M609" t="s">
        <v>31</v>
      </c>
      <c r="N609" t="s">
        <v>126</v>
      </c>
      <c r="O609">
        <v>7</v>
      </c>
      <c r="P609">
        <v>5</v>
      </c>
      <c r="Q609" t="s">
        <v>33</v>
      </c>
      <c r="R609" t="s">
        <v>85</v>
      </c>
      <c r="S609" s="3">
        <v>0</v>
      </c>
      <c r="T609" t="s">
        <v>69</v>
      </c>
      <c r="U609" t="s">
        <v>53</v>
      </c>
    </row>
    <row r="610" spans="1:21" ht="27.6">
      <c r="A610" t="s">
        <v>2048</v>
      </c>
      <c r="B610" t="s">
        <v>2049</v>
      </c>
      <c r="C610" t="s">
        <v>2050</v>
      </c>
      <c r="D610" s="2">
        <v>46151</v>
      </c>
      <c r="E610" t="s">
        <v>24</v>
      </c>
      <c r="F610" t="s">
        <v>57</v>
      </c>
      <c r="G610" s="3">
        <v>11.76</v>
      </c>
      <c r="H610" t="s">
        <v>108</v>
      </c>
      <c r="I610" t="s">
        <v>27</v>
      </c>
      <c r="J610" s="4" t="s">
        <v>59</v>
      </c>
      <c r="K610" t="s">
        <v>33</v>
      </c>
      <c r="L610" t="s">
        <v>60</v>
      </c>
      <c r="M610" t="s">
        <v>31</v>
      </c>
      <c r="N610" t="s">
        <v>32</v>
      </c>
      <c r="O610">
        <v>10</v>
      </c>
      <c r="P610">
        <v>13</v>
      </c>
      <c r="Q610" t="s">
        <v>29</v>
      </c>
      <c r="R610" t="s">
        <v>61</v>
      </c>
      <c r="S610" s="3">
        <v>5.88</v>
      </c>
      <c r="T610" t="s">
        <v>156</v>
      </c>
      <c r="U610" t="s">
        <v>63</v>
      </c>
    </row>
    <row r="611" spans="1:21" ht="27.6">
      <c r="A611" t="s">
        <v>2051</v>
      </c>
      <c r="B611" t="s">
        <v>2052</v>
      </c>
      <c r="C611" t="s">
        <v>2053</v>
      </c>
      <c r="D611" s="2">
        <v>46064</v>
      </c>
      <c r="E611" t="s">
        <v>94</v>
      </c>
      <c r="F611" t="s">
        <v>82</v>
      </c>
      <c r="G611" s="3">
        <v>46.84</v>
      </c>
      <c r="H611" t="s">
        <v>108</v>
      </c>
      <c r="I611" t="s">
        <v>67</v>
      </c>
      <c r="J611" s="4" t="s">
        <v>2054</v>
      </c>
      <c r="K611" t="s">
        <v>29</v>
      </c>
      <c r="L611" t="s">
        <v>30</v>
      </c>
      <c r="M611" t="s">
        <v>31</v>
      </c>
      <c r="N611" t="s">
        <v>32</v>
      </c>
      <c r="O611">
        <v>7</v>
      </c>
      <c r="P611">
        <v>7</v>
      </c>
      <c r="Q611" t="s">
        <v>33</v>
      </c>
      <c r="R611" t="s">
        <v>85</v>
      </c>
      <c r="S611" s="3">
        <v>0</v>
      </c>
      <c r="T611" t="s">
        <v>69</v>
      </c>
      <c r="U611" t="s">
        <v>53</v>
      </c>
    </row>
    <row r="612" spans="1:21" ht="27.6">
      <c r="A612" t="s">
        <v>2055</v>
      </c>
      <c r="B612" t="s">
        <v>2056</v>
      </c>
      <c r="C612" t="s">
        <v>2057</v>
      </c>
      <c r="D612" s="2">
        <v>46042</v>
      </c>
      <c r="E612" t="s">
        <v>94</v>
      </c>
      <c r="F612" t="s">
        <v>172</v>
      </c>
      <c r="G612" s="3">
        <v>5</v>
      </c>
      <c r="H612" t="s">
        <v>49</v>
      </c>
      <c r="I612" t="s">
        <v>67</v>
      </c>
      <c r="J612" s="4" t="s">
        <v>285</v>
      </c>
      <c r="K612" t="s">
        <v>29</v>
      </c>
      <c r="L612" t="s">
        <v>30</v>
      </c>
      <c r="M612" t="s">
        <v>31</v>
      </c>
      <c r="N612" t="s">
        <v>32</v>
      </c>
      <c r="O612">
        <v>7</v>
      </c>
      <c r="P612">
        <v>6</v>
      </c>
      <c r="Q612" t="s">
        <v>33</v>
      </c>
      <c r="R612" t="s">
        <v>174</v>
      </c>
      <c r="S612" s="3">
        <v>5</v>
      </c>
      <c r="T612" t="s">
        <v>69</v>
      </c>
      <c r="U612" t="s">
        <v>36</v>
      </c>
    </row>
    <row r="613" spans="1:21" ht="27.6">
      <c r="A613" t="s">
        <v>2058</v>
      </c>
      <c r="B613" t="s">
        <v>2059</v>
      </c>
      <c r="C613" t="s">
        <v>2060</v>
      </c>
      <c r="D613" s="2">
        <v>46068</v>
      </c>
      <c r="E613" t="s">
        <v>40</v>
      </c>
      <c r="F613" t="s">
        <v>82</v>
      </c>
      <c r="G613" s="3">
        <v>80.459999999999994</v>
      </c>
      <c r="H613" t="s">
        <v>74</v>
      </c>
      <c r="I613" t="s">
        <v>67</v>
      </c>
      <c r="J613" s="4" t="s">
        <v>2061</v>
      </c>
      <c r="K613" t="s">
        <v>33</v>
      </c>
      <c r="L613" t="s">
        <v>30</v>
      </c>
      <c r="M613" t="s">
        <v>31</v>
      </c>
      <c r="N613" t="s">
        <v>32</v>
      </c>
      <c r="O613">
        <v>7</v>
      </c>
      <c r="P613">
        <v>9</v>
      </c>
      <c r="Q613" t="s">
        <v>29</v>
      </c>
      <c r="R613" t="s">
        <v>85</v>
      </c>
      <c r="S613" s="3">
        <v>0</v>
      </c>
      <c r="T613" t="s">
        <v>69</v>
      </c>
      <c r="U613" t="s">
        <v>63</v>
      </c>
    </row>
    <row r="614" spans="1:21" ht="27.6">
      <c r="A614" t="s">
        <v>2062</v>
      </c>
      <c r="B614" t="s">
        <v>2063</v>
      </c>
      <c r="C614" t="s">
        <v>2064</v>
      </c>
      <c r="D614" s="2">
        <v>46056</v>
      </c>
      <c r="E614" t="s">
        <v>47</v>
      </c>
      <c r="F614" t="s">
        <v>172</v>
      </c>
      <c r="G614" s="3">
        <v>52.71</v>
      </c>
      <c r="H614" t="s">
        <v>26</v>
      </c>
      <c r="I614" t="s">
        <v>50</v>
      </c>
      <c r="J614" s="4" t="s">
        <v>173</v>
      </c>
      <c r="K614" t="s">
        <v>29</v>
      </c>
      <c r="L614" t="s">
        <v>30</v>
      </c>
      <c r="M614" t="s">
        <v>31</v>
      </c>
      <c r="N614" t="s">
        <v>32</v>
      </c>
      <c r="O614">
        <v>7</v>
      </c>
      <c r="P614">
        <v>14</v>
      </c>
      <c r="Q614" t="s">
        <v>29</v>
      </c>
      <c r="R614" t="s">
        <v>174</v>
      </c>
      <c r="S614" s="3">
        <v>0</v>
      </c>
      <c r="T614" t="s">
        <v>286</v>
      </c>
      <c r="U614" t="s">
        <v>63</v>
      </c>
    </row>
    <row r="615" spans="1:21" ht="27.6">
      <c r="A615" t="s">
        <v>2065</v>
      </c>
      <c r="B615" t="s">
        <v>2066</v>
      </c>
      <c r="C615" t="s">
        <v>2067</v>
      </c>
      <c r="D615" s="2">
        <v>46166</v>
      </c>
      <c r="E615" t="s">
        <v>24</v>
      </c>
      <c r="F615" t="s">
        <v>73</v>
      </c>
      <c r="G615" s="3">
        <v>28.15</v>
      </c>
      <c r="H615" t="s">
        <v>108</v>
      </c>
      <c r="I615" t="s">
        <v>67</v>
      </c>
      <c r="J615" s="4" t="s">
        <v>389</v>
      </c>
      <c r="K615" t="s">
        <v>29</v>
      </c>
      <c r="L615" t="s">
        <v>60</v>
      </c>
      <c r="M615" t="s">
        <v>31</v>
      </c>
      <c r="N615" t="s">
        <v>32</v>
      </c>
      <c r="O615">
        <v>10</v>
      </c>
      <c r="P615">
        <v>4</v>
      </c>
      <c r="Q615" t="s">
        <v>33</v>
      </c>
      <c r="R615" t="s">
        <v>61</v>
      </c>
      <c r="S615" s="3">
        <v>21.11</v>
      </c>
      <c r="T615" t="s">
        <v>52</v>
      </c>
      <c r="U615" t="s">
        <v>63</v>
      </c>
    </row>
    <row r="616" spans="1:21" ht="27.6">
      <c r="A616" t="s">
        <v>2068</v>
      </c>
      <c r="B616" t="s">
        <v>2069</v>
      </c>
      <c r="C616" t="s">
        <v>2070</v>
      </c>
      <c r="D616" s="2">
        <v>46069</v>
      </c>
      <c r="E616" t="s">
        <v>40</v>
      </c>
      <c r="F616" t="s">
        <v>73</v>
      </c>
      <c r="G616" s="3">
        <v>21.06</v>
      </c>
      <c r="H616" t="s">
        <v>41</v>
      </c>
      <c r="I616" t="s">
        <v>27</v>
      </c>
      <c r="J616" s="4" t="s">
        <v>389</v>
      </c>
      <c r="K616" t="s">
        <v>29</v>
      </c>
      <c r="L616" t="s">
        <v>60</v>
      </c>
      <c r="M616" t="s">
        <v>31</v>
      </c>
      <c r="N616" t="s">
        <v>32</v>
      </c>
      <c r="O616">
        <v>10</v>
      </c>
      <c r="P616">
        <v>9</v>
      </c>
      <c r="Q616" t="s">
        <v>33</v>
      </c>
      <c r="R616" t="s">
        <v>61</v>
      </c>
      <c r="S616" s="3">
        <v>10.53</v>
      </c>
      <c r="T616" t="s">
        <v>156</v>
      </c>
      <c r="U616" t="s">
        <v>63</v>
      </c>
    </row>
    <row r="617" spans="1:21" ht="27.6">
      <c r="A617" t="s">
        <v>2071</v>
      </c>
      <c r="B617" t="s">
        <v>2072</v>
      </c>
      <c r="C617" t="s">
        <v>2073</v>
      </c>
      <c r="D617" s="2">
        <v>46077</v>
      </c>
      <c r="E617" t="s">
        <v>24</v>
      </c>
      <c r="F617" t="s">
        <v>25</v>
      </c>
      <c r="G617" s="3">
        <v>51.31</v>
      </c>
      <c r="H617" t="s">
        <v>49</v>
      </c>
      <c r="I617" t="s">
        <v>27</v>
      </c>
      <c r="J617" s="4" t="s">
        <v>42</v>
      </c>
      <c r="K617" t="s">
        <v>29</v>
      </c>
      <c r="L617" t="s">
        <v>30</v>
      </c>
      <c r="M617" t="s">
        <v>31</v>
      </c>
      <c r="N617" t="s">
        <v>32</v>
      </c>
      <c r="O617">
        <v>5</v>
      </c>
      <c r="P617">
        <v>2</v>
      </c>
      <c r="Q617" t="s">
        <v>33</v>
      </c>
      <c r="R617" t="s">
        <v>34</v>
      </c>
      <c r="S617" s="3">
        <v>25.66</v>
      </c>
      <c r="T617" t="s">
        <v>43</v>
      </c>
      <c r="U617" t="s">
        <v>36</v>
      </c>
    </row>
    <row r="618" spans="1:21" ht="27.6">
      <c r="A618" t="s">
        <v>2074</v>
      </c>
      <c r="B618" t="s">
        <v>2075</v>
      </c>
      <c r="C618" t="s">
        <v>2076</v>
      </c>
      <c r="D618" s="2">
        <v>46068</v>
      </c>
      <c r="E618" t="s">
        <v>24</v>
      </c>
      <c r="F618" t="s">
        <v>25</v>
      </c>
      <c r="G618" s="3">
        <v>33.21</v>
      </c>
      <c r="H618" t="s">
        <v>58</v>
      </c>
      <c r="I618" t="s">
        <v>27</v>
      </c>
      <c r="J618" s="4" t="s">
        <v>42</v>
      </c>
      <c r="K618" t="s">
        <v>29</v>
      </c>
      <c r="L618" t="s">
        <v>30</v>
      </c>
      <c r="M618" t="s">
        <v>31</v>
      </c>
      <c r="N618" t="s">
        <v>84</v>
      </c>
      <c r="O618">
        <v>5</v>
      </c>
      <c r="P618">
        <v>4</v>
      </c>
      <c r="Q618" t="s">
        <v>33</v>
      </c>
      <c r="R618" t="s">
        <v>34</v>
      </c>
      <c r="S618" s="3">
        <v>0</v>
      </c>
      <c r="T618" t="s">
        <v>110</v>
      </c>
      <c r="U618" t="s">
        <v>36</v>
      </c>
    </row>
    <row r="619" spans="1:21" ht="27.6">
      <c r="A619" t="s">
        <v>2077</v>
      </c>
      <c r="B619" t="s">
        <v>2078</v>
      </c>
      <c r="C619" t="s">
        <v>2079</v>
      </c>
      <c r="D619" s="2">
        <v>46073</v>
      </c>
      <c r="E619" t="s">
        <v>24</v>
      </c>
      <c r="F619" t="s">
        <v>82</v>
      </c>
      <c r="G619" s="3">
        <v>36.06</v>
      </c>
      <c r="H619" t="s">
        <v>74</v>
      </c>
      <c r="I619" t="s">
        <v>67</v>
      </c>
      <c r="J619" s="4" t="s">
        <v>114</v>
      </c>
      <c r="K619" t="s">
        <v>29</v>
      </c>
      <c r="L619" t="s">
        <v>30</v>
      </c>
      <c r="M619" t="s">
        <v>31</v>
      </c>
      <c r="N619" t="s">
        <v>32</v>
      </c>
      <c r="O619">
        <v>7</v>
      </c>
      <c r="P619">
        <v>3</v>
      </c>
      <c r="Q619" t="s">
        <v>33</v>
      </c>
      <c r="R619" t="s">
        <v>85</v>
      </c>
      <c r="S619" s="3">
        <v>0</v>
      </c>
      <c r="T619" t="s">
        <v>62</v>
      </c>
      <c r="U619" t="s">
        <v>53</v>
      </c>
    </row>
    <row r="620" spans="1:21" ht="27.6">
      <c r="A620" t="s">
        <v>2080</v>
      </c>
      <c r="B620" t="s">
        <v>264</v>
      </c>
      <c r="C620" t="s">
        <v>2081</v>
      </c>
      <c r="D620" s="2">
        <v>46104</v>
      </c>
      <c r="E620" t="s">
        <v>24</v>
      </c>
      <c r="F620" t="s">
        <v>73</v>
      </c>
      <c r="G620" s="3">
        <v>143.13999999999999</v>
      </c>
      <c r="H620" t="s">
        <v>41</v>
      </c>
      <c r="I620" t="s">
        <v>27</v>
      </c>
      <c r="J620" s="4" t="s">
        <v>389</v>
      </c>
      <c r="K620" t="s">
        <v>33</v>
      </c>
      <c r="L620" t="s">
        <v>60</v>
      </c>
      <c r="M620" t="s">
        <v>31</v>
      </c>
      <c r="N620" t="s">
        <v>84</v>
      </c>
      <c r="O620">
        <v>10</v>
      </c>
      <c r="P620">
        <v>13</v>
      </c>
      <c r="Q620" t="s">
        <v>29</v>
      </c>
      <c r="R620" t="s">
        <v>61</v>
      </c>
      <c r="S620" s="3">
        <v>0</v>
      </c>
      <c r="T620" t="s">
        <v>52</v>
      </c>
      <c r="U620" t="s">
        <v>63</v>
      </c>
    </row>
    <row r="621" spans="1:21" ht="27.6">
      <c r="A621" t="s">
        <v>2082</v>
      </c>
      <c r="B621" t="s">
        <v>2083</v>
      </c>
      <c r="C621" t="s">
        <v>2084</v>
      </c>
      <c r="D621" s="2">
        <v>46078</v>
      </c>
      <c r="E621" t="s">
        <v>40</v>
      </c>
      <c r="F621" t="s">
        <v>25</v>
      </c>
      <c r="G621" s="3">
        <v>143.97999999999999</v>
      </c>
      <c r="H621" t="s">
        <v>89</v>
      </c>
      <c r="I621" t="s">
        <v>27</v>
      </c>
      <c r="J621" s="4" t="s">
        <v>2085</v>
      </c>
      <c r="K621" t="s">
        <v>33</v>
      </c>
      <c r="L621" t="s">
        <v>30</v>
      </c>
      <c r="M621" t="s">
        <v>31</v>
      </c>
      <c r="N621" t="s">
        <v>126</v>
      </c>
      <c r="O621">
        <v>5</v>
      </c>
      <c r="P621">
        <v>10</v>
      </c>
      <c r="Q621" t="s">
        <v>29</v>
      </c>
      <c r="R621" t="s">
        <v>34</v>
      </c>
      <c r="S621" s="3">
        <v>0</v>
      </c>
      <c r="T621" t="s">
        <v>110</v>
      </c>
      <c r="U621" t="s">
        <v>63</v>
      </c>
    </row>
    <row r="622" spans="1:21" ht="27.6">
      <c r="A622" t="s">
        <v>2086</v>
      </c>
      <c r="B622" t="s">
        <v>2087</v>
      </c>
      <c r="C622" t="s">
        <v>2088</v>
      </c>
      <c r="D622" s="2">
        <v>46116</v>
      </c>
      <c r="E622" t="s">
        <v>24</v>
      </c>
      <c r="F622" t="s">
        <v>73</v>
      </c>
      <c r="G622" s="3">
        <v>41.39</v>
      </c>
      <c r="H622" t="s">
        <v>58</v>
      </c>
      <c r="I622" t="s">
        <v>50</v>
      </c>
      <c r="J622" s="4" t="s">
        <v>75</v>
      </c>
      <c r="K622" t="s">
        <v>33</v>
      </c>
      <c r="L622" t="s">
        <v>60</v>
      </c>
      <c r="M622" t="s">
        <v>31</v>
      </c>
      <c r="N622" t="s">
        <v>32</v>
      </c>
      <c r="O622">
        <v>10</v>
      </c>
      <c r="P622">
        <v>11</v>
      </c>
      <c r="Q622" t="s">
        <v>29</v>
      </c>
      <c r="R622" t="s">
        <v>61</v>
      </c>
      <c r="S622" s="3">
        <v>31.04</v>
      </c>
      <c r="T622" t="s">
        <v>52</v>
      </c>
      <c r="U622" t="s">
        <v>63</v>
      </c>
    </row>
    <row r="623" spans="1:21" ht="27.6">
      <c r="A623" t="s">
        <v>2089</v>
      </c>
      <c r="B623" t="s">
        <v>2090</v>
      </c>
      <c r="C623" t="s">
        <v>2091</v>
      </c>
      <c r="D623" s="2">
        <v>46132</v>
      </c>
      <c r="E623" t="s">
        <v>24</v>
      </c>
      <c r="F623" t="s">
        <v>172</v>
      </c>
      <c r="G623" s="3">
        <v>16.91</v>
      </c>
      <c r="H623" t="s">
        <v>41</v>
      </c>
      <c r="I623" t="s">
        <v>67</v>
      </c>
      <c r="J623" s="4" t="s">
        <v>173</v>
      </c>
      <c r="K623" t="s">
        <v>29</v>
      </c>
      <c r="L623" t="s">
        <v>30</v>
      </c>
      <c r="M623" t="s">
        <v>31</v>
      </c>
      <c r="N623" t="s">
        <v>32</v>
      </c>
      <c r="O623">
        <v>7</v>
      </c>
      <c r="P623">
        <v>9</v>
      </c>
      <c r="Q623" t="s">
        <v>29</v>
      </c>
      <c r="R623" t="s">
        <v>174</v>
      </c>
      <c r="S623" s="3">
        <v>0</v>
      </c>
      <c r="T623" t="s">
        <v>286</v>
      </c>
      <c r="U623" t="s">
        <v>63</v>
      </c>
    </row>
    <row r="624" spans="1:21" ht="27.6">
      <c r="A624" t="s">
        <v>2092</v>
      </c>
      <c r="B624" t="s">
        <v>1560</v>
      </c>
      <c r="C624" t="s">
        <v>2093</v>
      </c>
      <c r="D624" s="2">
        <v>46049</v>
      </c>
      <c r="E624" t="s">
        <v>24</v>
      </c>
      <c r="F624" t="s">
        <v>25</v>
      </c>
      <c r="G624" s="3">
        <v>106.58</v>
      </c>
      <c r="H624" t="s">
        <v>89</v>
      </c>
      <c r="I624" t="s">
        <v>27</v>
      </c>
      <c r="J624" s="4" t="s">
        <v>2094</v>
      </c>
      <c r="K624" t="s">
        <v>29</v>
      </c>
      <c r="L624" t="s">
        <v>30</v>
      </c>
      <c r="M624" t="s">
        <v>31</v>
      </c>
      <c r="N624" t="s">
        <v>84</v>
      </c>
      <c r="O624">
        <v>5</v>
      </c>
      <c r="P624">
        <v>7</v>
      </c>
      <c r="Q624" t="s">
        <v>29</v>
      </c>
      <c r="R624" t="s">
        <v>34</v>
      </c>
      <c r="S624" s="3">
        <v>0</v>
      </c>
      <c r="T624" t="s">
        <v>35</v>
      </c>
      <c r="U624" t="s">
        <v>63</v>
      </c>
    </row>
    <row r="625" spans="1:21" ht="27.6">
      <c r="A625" t="s">
        <v>2095</v>
      </c>
      <c r="B625" t="s">
        <v>2096</v>
      </c>
      <c r="C625" t="s">
        <v>2097</v>
      </c>
      <c r="D625" s="2">
        <v>46120</v>
      </c>
      <c r="E625" t="s">
        <v>24</v>
      </c>
      <c r="F625" t="s">
        <v>73</v>
      </c>
      <c r="G625" s="3">
        <v>111.24</v>
      </c>
      <c r="H625" t="s">
        <v>49</v>
      </c>
      <c r="I625" t="s">
        <v>67</v>
      </c>
      <c r="J625" s="4" t="s">
        <v>75</v>
      </c>
      <c r="K625" t="s">
        <v>29</v>
      </c>
      <c r="L625" t="s">
        <v>60</v>
      </c>
      <c r="M625" t="s">
        <v>31</v>
      </c>
      <c r="N625" t="s">
        <v>32</v>
      </c>
      <c r="O625">
        <v>10</v>
      </c>
      <c r="P625">
        <v>6</v>
      </c>
      <c r="Q625" t="s">
        <v>33</v>
      </c>
      <c r="R625" t="s">
        <v>61</v>
      </c>
      <c r="S625" s="3">
        <v>111.24</v>
      </c>
      <c r="T625" t="s">
        <v>62</v>
      </c>
      <c r="U625" t="s">
        <v>63</v>
      </c>
    </row>
    <row r="626" spans="1:21" ht="27.6">
      <c r="A626" t="s">
        <v>2098</v>
      </c>
      <c r="B626" t="s">
        <v>2099</v>
      </c>
      <c r="C626" t="s">
        <v>2100</v>
      </c>
      <c r="D626" s="2">
        <v>46091</v>
      </c>
      <c r="E626" t="s">
        <v>94</v>
      </c>
      <c r="F626" t="s">
        <v>118</v>
      </c>
      <c r="G626" s="3">
        <v>34.33</v>
      </c>
      <c r="H626" t="s">
        <v>108</v>
      </c>
      <c r="I626" t="s">
        <v>27</v>
      </c>
      <c r="J626" s="4" t="s">
        <v>119</v>
      </c>
      <c r="K626" t="s">
        <v>29</v>
      </c>
      <c r="L626" t="s">
        <v>120</v>
      </c>
      <c r="M626" t="s">
        <v>96</v>
      </c>
      <c r="N626" t="s">
        <v>32</v>
      </c>
      <c r="O626">
        <v>5</v>
      </c>
      <c r="P626">
        <v>4</v>
      </c>
      <c r="Q626" t="s">
        <v>33</v>
      </c>
      <c r="R626" t="s">
        <v>85</v>
      </c>
      <c r="S626" s="3">
        <v>34.33</v>
      </c>
      <c r="T626" t="s">
        <v>121</v>
      </c>
      <c r="U626" t="s">
        <v>36</v>
      </c>
    </row>
    <row r="627" spans="1:21" ht="27.6">
      <c r="A627" t="s">
        <v>2101</v>
      </c>
      <c r="B627" t="s">
        <v>2102</v>
      </c>
      <c r="C627" t="s">
        <v>2103</v>
      </c>
      <c r="D627" s="2">
        <v>46133</v>
      </c>
      <c r="E627" t="s">
        <v>24</v>
      </c>
      <c r="F627" t="s">
        <v>48</v>
      </c>
      <c r="G627" s="3">
        <v>11.47</v>
      </c>
      <c r="H627" t="s">
        <v>49</v>
      </c>
      <c r="I627" t="s">
        <v>27</v>
      </c>
      <c r="J627" s="4" t="s">
        <v>68</v>
      </c>
      <c r="K627" t="s">
        <v>33</v>
      </c>
      <c r="L627" t="s">
        <v>30</v>
      </c>
      <c r="M627" t="s">
        <v>31</v>
      </c>
      <c r="N627" t="s">
        <v>32</v>
      </c>
      <c r="O627">
        <v>10</v>
      </c>
      <c r="P627">
        <v>3</v>
      </c>
      <c r="Q627" t="s">
        <v>33</v>
      </c>
      <c r="R627" t="s">
        <v>34</v>
      </c>
      <c r="S627" s="3">
        <v>0</v>
      </c>
      <c r="T627" t="s">
        <v>52</v>
      </c>
      <c r="U627" t="s">
        <v>53</v>
      </c>
    </row>
    <row r="628" spans="1:21" ht="27.6">
      <c r="A628" t="s">
        <v>2104</v>
      </c>
      <c r="B628" t="s">
        <v>2105</v>
      </c>
      <c r="C628" t="s">
        <v>2106</v>
      </c>
      <c r="D628" s="2">
        <v>46063</v>
      </c>
      <c r="E628" t="s">
        <v>47</v>
      </c>
      <c r="F628" t="s">
        <v>25</v>
      </c>
      <c r="G628" s="3">
        <v>98.09</v>
      </c>
      <c r="H628" t="s">
        <v>58</v>
      </c>
      <c r="I628" t="s">
        <v>50</v>
      </c>
      <c r="J628" s="4" t="s">
        <v>42</v>
      </c>
      <c r="K628" t="s">
        <v>29</v>
      </c>
      <c r="L628" t="s">
        <v>30</v>
      </c>
      <c r="M628" t="s">
        <v>96</v>
      </c>
      <c r="N628" t="s">
        <v>32</v>
      </c>
      <c r="O628">
        <v>5</v>
      </c>
      <c r="P628">
        <v>10</v>
      </c>
      <c r="Q628" t="s">
        <v>29</v>
      </c>
      <c r="R628" t="s">
        <v>34</v>
      </c>
      <c r="S628" s="3">
        <v>98.09</v>
      </c>
      <c r="T628" t="s">
        <v>35</v>
      </c>
      <c r="U628" t="s">
        <v>63</v>
      </c>
    </row>
    <row r="629" spans="1:21" ht="27.6">
      <c r="A629" t="s">
        <v>2107</v>
      </c>
      <c r="B629" t="s">
        <v>2108</v>
      </c>
      <c r="C629" t="s">
        <v>2109</v>
      </c>
      <c r="D629" s="2">
        <v>46046</v>
      </c>
      <c r="E629" t="s">
        <v>24</v>
      </c>
      <c r="F629" t="s">
        <v>25</v>
      </c>
      <c r="G629" s="3">
        <v>64.39</v>
      </c>
      <c r="H629" t="s">
        <v>89</v>
      </c>
      <c r="I629" t="s">
        <v>50</v>
      </c>
      <c r="J629" s="4" t="s">
        <v>2110</v>
      </c>
      <c r="K629" t="s">
        <v>33</v>
      </c>
      <c r="L629" t="s">
        <v>30</v>
      </c>
      <c r="M629" t="s">
        <v>31</v>
      </c>
      <c r="N629" t="s">
        <v>32</v>
      </c>
      <c r="O629">
        <v>5</v>
      </c>
      <c r="P629">
        <v>6</v>
      </c>
      <c r="Q629" t="s">
        <v>29</v>
      </c>
      <c r="R629" t="s">
        <v>34</v>
      </c>
      <c r="S629" s="3">
        <v>64.39</v>
      </c>
      <c r="T629" t="s">
        <v>110</v>
      </c>
      <c r="U629" t="s">
        <v>63</v>
      </c>
    </row>
    <row r="630" spans="1:21" ht="27.6">
      <c r="A630" t="s">
        <v>2111</v>
      </c>
      <c r="B630" t="s">
        <v>2112</v>
      </c>
      <c r="C630" t="s">
        <v>2113</v>
      </c>
      <c r="D630" s="2">
        <v>46114</v>
      </c>
      <c r="E630" t="s">
        <v>24</v>
      </c>
      <c r="F630" t="s">
        <v>172</v>
      </c>
      <c r="G630" s="3">
        <v>24.45</v>
      </c>
      <c r="H630" t="s">
        <v>49</v>
      </c>
      <c r="I630" t="s">
        <v>27</v>
      </c>
      <c r="J630" s="4" t="s">
        <v>173</v>
      </c>
      <c r="K630" t="s">
        <v>33</v>
      </c>
      <c r="L630" t="s">
        <v>30</v>
      </c>
      <c r="M630" t="s">
        <v>31</v>
      </c>
      <c r="N630" t="s">
        <v>32</v>
      </c>
      <c r="O630">
        <v>7</v>
      </c>
      <c r="P630">
        <v>11</v>
      </c>
      <c r="Q630" t="s">
        <v>29</v>
      </c>
      <c r="R630" t="s">
        <v>174</v>
      </c>
      <c r="S630" s="3">
        <v>0</v>
      </c>
      <c r="T630" t="s">
        <v>286</v>
      </c>
      <c r="U630" t="s">
        <v>63</v>
      </c>
    </row>
    <row r="631" spans="1:21" ht="27.6">
      <c r="A631" t="s">
        <v>2114</v>
      </c>
      <c r="B631" t="s">
        <v>2115</v>
      </c>
      <c r="C631" t="s">
        <v>2116</v>
      </c>
      <c r="D631" s="2">
        <v>46140</v>
      </c>
      <c r="E631" t="s">
        <v>94</v>
      </c>
      <c r="F631" t="s">
        <v>25</v>
      </c>
      <c r="G631" s="3">
        <v>19.93</v>
      </c>
      <c r="H631" t="s">
        <v>74</v>
      </c>
      <c r="I631" t="s">
        <v>27</v>
      </c>
      <c r="J631" s="4" t="s">
        <v>2117</v>
      </c>
      <c r="K631" t="s">
        <v>29</v>
      </c>
      <c r="L631" t="s">
        <v>30</v>
      </c>
      <c r="M631" t="s">
        <v>31</v>
      </c>
      <c r="N631" t="s">
        <v>84</v>
      </c>
      <c r="O631">
        <v>5</v>
      </c>
      <c r="P631">
        <v>1</v>
      </c>
      <c r="Q631" t="s">
        <v>33</v>
      </c>
      <c r="R631" t="s">
        <v>34</v>
      </c>
      <c r="S631" s="3">
        <v>0</v>
      </c>
      <c r="T631" t="s">
        <v>43</v>
      </c>
      <c r="U631" t="s">
        <v>36</v>
      </c>
    </row>
    <row r="632" spans="1:21" ht="27.6">
      <c r="A632" t="s">
        <v>2118</v>
      </c>
      <c r="B632" t="s">
        <v>2119</v>
      </c>
      <c r="C632" t="s">
        <v>2120</v>
      </c>
      <c r="D632" s="2">
        <v>46028</v>
      </c>
      <c r="E632" t="s">
        <v>24</v>
      </c>
      <c r="F632" t="s">
        <v>82</v>
      </c>
      <c r="G632" s="3">
        <v>51.01</v>
      </c>
      <c r="H632" t="s">
        <v>108</v>
      </c>
      <c r="I632" t="s">
        <v>27</v>
      </c>
      <c r="J632" s="4" t="s">
        <v>114</v>
      </c>
      <c r="K632" t="s">
        <v>29</v>
      </c>
      <c r="L632" t="s">
        <v>30</v>
      </c>
      <c r="M632" t="s">
        <v>31</v>
      </c>
      <c r="N632" t="s">
        <v>32</v>
      </c>
      <c r="O632">
        <v>7</v>
      </c>
      <c r="P632">
        <v>6</v>
      </c>
      <c r="Q632" t="s">
        <v>33</v>
      </c>
      <c r="R632" t="s">
        <v>85</v>
      </c>
      <c r="S632" s="3">
        <v>51.01</v>
      </c>
      <c r="T632" t="s">
        <v>69</v>
      </c>
      <c r="U632" t="s">
        <v>53</v>
      </c>
    </row>
    <row r="633" spans="1:21" ht="27.6">
      <c r="A633" t="s">
        <v>2121</v>
      </c>
      <c r="B633" t="s">
        <v>2122</v>
      </c>
      <c r="C633" t="s">
        <v>2123</v>
      </c>
      <c r="D633" s="2">
        <v>46146</v>
      </c>
      <c r="E633" t="s">
        <v>94</v>
      </c>
      <c r="F633" t="s">
        <v>172</v>
      </c>
      <c r="G633" s="3">
        <v>26.91</v>
      </c>
      <c r="H633" t="s">
        <v>89</v>
      </c>
      <c r="I633" t="s">
        <v>27</v>
      </c>
      <c r="J633" s="4" t="s">
        <v>173</v>
      </c>
      <c r="K633" t="s">
        <v>29</v>
      </c>
      <c r="L633" t="s">
        <v>30</v>
      </c>
      <c r="M633" t="s">
        <v>31</v>
      </c>
      <c r="N633" t="s">
        <v>32</v>
      </c>
      <c r="O633">
        <v>7</v>
      </c>
      <c r="P633">
        <v>6</v>
      </c>
      <c r="Q633" t="s">
        <v>33</v>
      </c>
      <c r="R633" t="s">
        <v>174</v>
      </c>
      <c r="S633" s="3">
        <v>20.18</v>
      </c>
      <c r="T633" t="s">
        <v>110</v>
      </c>
      <c r="U633" t="s">
        <v>53</v>
      </c>
    </row>
    <row r="634" spans="1:21" ht="27.6">
      <c r="A634" t="s">
        <v>2124</v>
      </c>
      <c r="B634" t="s">
        <v>2125</v>
      </c>
      <c r="C634" t="s">
        <v>2126</v>
      </c>
      <c r="D634" s="2">
        <v>46058</v>
      </c>
      <c r="E634" t="s">
        <v>24</v>
      </c>
      <c r="F634" t="s">
        <v>103</v>
      </c>
      <c r="G634" s="3">
        <v>97.1</v>
      </c>
      <c r="H634" t="s">
        <v>108</v>
      </c>
      <c r="I634" t="s">
        <v>27</v>
      </c>
      <c r="J634" s="4" t="s">
        <v>104</v>
      </c>
      <c r="K634" t="s">
        <v>29</v>
      </c>
      <c r="L634" t="s">
        <v>30</v>
      </c>
      <c r="M634" t="s">
        <v>31</v>
      </c>
      <c r="N634" t="s">
        <v>32</v>
      </c>
      <c r="O634">
        <v>5</v>
      </c>
      <c r="P634">
        <v>1</v>
      </c>
      <c r="Q634" t="s">
        <v>33</v>
      </c>
      <c r="R634" t="s">
        <v>34</v>
      </c>
      <c r="S634" s="3">
        <v>0</v>
      </c>
      <c r="T634" t="s">
        <v>247</v>
      </c>
      <c r="U634" t="s">
        <v>53</v>
      </c>
    </row>
    <row r="635" spans="1:21" ht="27.6">
      <c r="A635" t="s">
        <v>2127</v>
      </c>
      <c r="B635" t="s">
        <v>2128</v>
      </c>
      <c r="C635" t="s">
        <v>2129</v>
      </c>
      <c r="D635" s="2">
        <v>46094</v>
      </c>
      <c r="E635" t="s">
        <v>94</v>
      </c>
      <c r="F635" t="s">
        <v>25</v>
      </c>
      <c r="G635" s="3">
        <v>114.03</v>
      </c>
      <c r="H635" t="s">
        <v>74</v>
      </c>
      <c r="I635" t="s">
        <v>67</v>
      </c>
      <c r="J635" s="4" t="s">
        <v>42</v>
      </c>
      <c r="K635" t="s">
        <v>33</v>
      </c>
      <c r="L635" t="s">
        <v>30</v>
      </c>
      <c r="M635" t="s">
        <v>31</v>
      </c>
      <c r="N635" t="s">
        <v>32</v>
      </c>
      <c r="O635">
        <v>5</v>
      </c>
      <c r="P635">
        <v>10</v>
      </c>
      <c r="Q635" t="s">
        <v>29</v>
      </c>
      <c r="R635" t="s">
        <v>34</v>
      </c>
      <c r="S635" s="3">
        <v>114.03</v>
      </c>
      <c r="T635" t="s">
        <v>43</v>
      </c>
      <c r="U635" t="s">
        <v>63</v>
      </c>
    </row>
    <row r="636" spans="1:21" ht="27.6">
      <c r="A636" t="s">
        <v>2130</v>
      </c>
      <c r="B636" t="s">
        <v>2131</v>
      </c>
      <c r="C636" t="s">
        <v>2132</v>
      </c>
      <c r="D636" s="2">
        <v>46050</v>
      </c>
      <c r="E636" t="s">
        <v>47</v>
      </c>
      <c r="F636" t="s">
        <v>82</v>
      </c>
      <c r="G636" s="3">
        <v>47.29</v>
      </c>
      <c r="H636" t="s">
        <v>58</v>
      </c>
      <c r="I636" t="s">
        <v>67</v>
      </c>
      <c r="J636" s="4" t="s">
        <v>2133</v>
      </c>
      <c r="K636" t="s">
        <v>29</v>
      </c>
      <c r="L636" t="s">
        <v>30</v>
      </c>
      <c r="M636" t="s">
        <v>31</v>
      </c>
      <c r="N636" t="s">
        <v>32</v>
      </c>
      <c r="O636">
        <v>7</v>
      </c>
      <c r="P636">
        <v>8</v>
      </c>
      <c r="Q636" t="s">
        <v>29</v>
      </c>
      <c r="R636" t="s">
        <v>85</v>
      </c>
      <c r="S636" s="3">
        <v>0</v>
      </c>
      <c r="T636" t="s">
        <v>43</v>
      </c>
      <c r="U636" t="s">
        <v>63</v>
      </c>
    </row>
    <row r="637" spans="1:21" ht="27.6">
      <c r="A637" t="s">
        <v>2134</v>
      </c>
      <c r="B637" t="s">
        <v>2135</v>
      </c>
      <c r="C637" t="s">
        <v>2136</v>
      </c>
      <c r="D637" s="2">
        <v>46052</v>
      </c>
      <c r="E637" t="s">
        <v>24</v>
      </c>
      <c r="F637" t="s">
        <v>118</v>
      </c>
      <c r="G637" s="3">
        <v>78.290000000000006</v>
      </c>
      <c r="H637" t="s">
        <v>26</v>
      </c>
      <c r="I637" t="s">
        <v>27</v>
      </c>
      <c r="J637" s="4" t="s">
        <v>2137</v>
      </c>
      <c r="K637" t="s">
        <v>29</v>
      </c>
      <c r="L637" t="s">
        <v>120</v>
      </c>
      <c r="M637" t="s">
        <v>96</v>
      </c>
      <c r="N637" t="s">
        <v>32</v>
      </c>
      <c r="O637">
        <v>5</v>
      </c>
      <c r="P637">
        <v>2</v>
      </c>
      <c r="Q637" t="s">
        <v>33</v>
      </c>
      <c r="R637" t="s">
        <v>85</v>
      </c>
      <c r="S637" s="3">
        <v>78.290000000000006</v>
      </c>
      <c r="T637" t="s">
        <v>121</v>
      </c>
      <c r="U637" t="s">
        <v>36</v>
      </c>
    </row>
    <row r="638" spans="1:21" ht="27.6">
      <c r="A638" t="s">
        <v>2138</v>
      </c>
      <c r="B638" t="s">
        <v>2139</v>
      </c>
      <c r="C638" t="s">
        <v>2140</v>
      </c>
      <c r="D638" s="2">
        <v>46025</v>
      </c>
      <c r="E638" t="s">
        <v>40</v>
      </c>
      <c r="F638" t="s">
        <v>118</v>
      </c>
      <c r="G638" s="3">
        <v>46.76</v>
      </c>
      <c r="H638" t="s">
        <v>74</v>
      </c>
      <c r="I638" t="s">
        <v>50</v>
      </c>
      <c r="J638" s="4" t="s">
        <v>2141</v>
      </c>
      <c r="K638" t="s">
        <v>29</v>
      </c>
      <c r="L638" t="s">
        <v>120</v>
      </c>
      <c r="M638" t="s">
        <v>96</v>
      </c>
      <c r="N638" t="s">
        <v>32</v>
      </c>
      <c r="O638">
        <v>5</v>
      </c>
      <c r="P638">
        <v>1</v>
      </c>
      <c r="Q638" t="s">
        <v>33</v>
      </c>
      <c r="R638" t="s">
        <v>85</v>
      </c>
      <c r="S638" s="3">
        <v>46.76</v>
      </c>
      <c r="T638" t="s">
        <v>121</v>
      </c>
      <c r="U638" t="s">
        <v>36</v>
      </c>
    </row>
    <row r="639" spans="1:21" ht="27.6">
      <c r="A639" t="s">
        <v>2142</v>
      </c>
      <c r="B639" t="s">
        <v>2143</v>
      </c>
      <c r="C639" t="s">
        <v>2144</v>
      </c>
      <c r="D639" s="2">
        <v>46134</v>
      </c>
      <c r="E639" t="s">
        <v>24</v>
      </c>
      <c r="F639" t="s">
        <v>118</v>
      </c>
      <c r="G639" s="3">
        <v>33.049999999999997</v>
      </c>
      <c r="H639" t="s">
        <v>108</v>
      </c>
      <c r="I639" t="s">
        <v>27</v>
      </c>
      <c r="J639" s="4" t="s">
        <v>2145</v>
      </c>
      <c r="K639" t="s">
        <v>29</v>
      </c>
      <c r="L639" t="s">
        <v>120</v>
      </c>
      <c r="M639" t="s">
        <v>96</v>
      </c>
      <c r="N639" t="s">
        <v>32</v>
      </c>
      <c r="O639">
        <v>5</v>
      </c>
      <c r="P639">
        <v>1</v>
      </c>
      <c r="Q639" t="s">
        <v>33</v>
      </c>
      <c r="R639" t="s">
        <v>85</v>
      </c>
      <c r="S639" s="3">
        <v>33.049999999999997</v>
      </c>
      <c r="T639" t="s">
        <v>121</v>
      </c>
      <c r="U639" t="s">
        <v>36</v>
      </c>
    </row>
    <row r="640" spans="1:21" ht="27.6">
      <c r="A640" t="s">
        <v>2146</v>
      </c>
      <c r="B640" t="s">
        <v>2147</v>
      </c>
      <c r="C640" t="s">
        <v>2148</v>
      </c>
      <c r="D640" s="2">
        <v>46027</v>
      </c>
      <c r="E640" t="s">
        <v>40</v>
      </c>
      <c r="F640" t="s">
        <v>73</v>
      </c>
      <c r="G640" s="3">
        <v>5.55</v>
      </c>
      <c r="H640" t="s">
        <v>108</v>
      </c>
      <c r="I640" t="s">
        <v>27</v>
      </c>
      <c r="J640" s="4" t="s">
        <v>389</v>
      </c>
      <c r="K640" t="s">
        <v>29</v>
      </c>
      <c r="L640" t="s">
        <v>60</v>
      </c>
      <c r="M640" t="s">
        <v>31</v>
      </c>
      <c r="N640" t="s">
        <v>32</v>
      </c>
      <c r="O640">
        <v>10</v>
      </c>
      <c r="P640">
        <v>15</v>
      </c>
      <c r="Q640" t="s">
        <v>29</v>
      </c>
      <c r="R640" t="s">
        <v>61</v>
      </c>
      <c r="S640" s="3">
        <v>4.16</v>
      </c>
      <c r="T640" t="s">
        <v>62</v>
      </c>
      <c r="U640" t="s">
        <v>63</v>
      </c>
    </row>
    <row r="641" spans="1:21" ht="27.6">
      <c r="A641" t="s">
        <v>2149</v>
      </c>
      <c r="B641" t="s">
        <v>2150</v>
      </c>
      <c r="C641" t="s">
        <v>2151</v>
      </c>
      <c r="D641" s="2">
        <v>46111</v>
      </c>
      <c r="E641" t="s">
        <v>24</v>
      </c>
      <c r="F641" t="s">
        <v>172</v>
      </c>
      <c r="G641" s="3">
        <v>20.03</v>
      </c>
      <c r="H641" t="s">
        <v>108</v>
      </c>
      <c r="I641" t="s">
        <v>27</v>
      </c>
      <c r="J641" s="4" t="s">
        <v>285</v>
      </c>
      <c r="K641" t="s">
        <v>33</v>
      </c>
      <c r="L641" t="s">
        <v>30</v>
      </c>
      <c r="M641" t="s">
        <v>31</v>
      </c>
      <c r="N641" t="s">
        <v>84</v>
      </c>
      <c r="O641">
        <v>7</v>
      </c>
      <c r="P641">
        <v>12</v>
      </c>
      <c r="Q641" t="s">
        <v>29</v>
      </c>
      <c r="R641" t="s">
        <v>174</v>
      </c>
      <c r="S641" s="3">
        <v>0</v>
      </c>
      <c r="T641" t="s">
        <v>286</v>
      </c>
      <c r="U641" t="s">
        <v>63</v>
      </c>
    </row>
    <row r="642" spans="1:21" ht="27.6">
      <c r="A642" t="s">
        <v>2152</v>
      </c>
      <c r="B642" t="s">
        <v>2153</v>
      </c>
      <c r="C642" t="s">
        <v>2154</v>
      </c>
      <c r="D642" s="2">
        <v>46080</v>
      </c>
      <c r="E642" t="s">
        <v>24</v>
      </c>
      <c r="F642" t="s">
        <v>25</v>
      </c>
      <c r="G642" s="3">
        <v>17.28</v>
      </c>
      <c r="H642" t="s">
        <v>58</v>
      </c>
      <c r="I642" t="s">
        <v>50</v>
      </c>
      <c r="J642" s="4" t="s">
        <v>2155</v>
      </c>
      <c r="K642" t="s">
        <v>29</v>
      </c>
      <c r="L642" t="s">
        <v>30</v>
      </c>
      <c r="M642" t="s">
        <v>96</v>
      </c>
      <c r="N642" t="s">
        <v>32</v>
      </c>
      <c r="O642">
        <v>5</v>
      </c>
      <c r="P642">
        <v>8</v>
      </c>
      <c r="Q642" t="s">
        <v>29</v>
      </c>
      <c r="R642" t="s">
        <v>34</v>
      </c>
      <c r="S642" s="3">
        <v>17.28</v>
      </c>
      <c r="T642" t="s">
        <v>110</v>
      </c>
      <c r="U642" t="s">
        <v>63</v>
      </c>
    </row>
    <row r="643" spans="1:21" ht="27.6">
      <c r="A643" t="s">
        <v>2156</v>
      </c>
      <c r="B643" t="s">
        <v>494</v>
      </c>
      <c r="C643" t="s">
        <v>2157</v>
      </c>
      <c r="D643" s="2">
        <v>46034</v>
      </c>
      <c r="E643" t="s">
        <v>24</v>
      </c>
      <c r="F643" t="s">
        <v>48</v>
      </c>
      <c r="G643" s="3">
        <v>16.059999999999999</v>
      </c>
      <c r="H643" t="s">
        <v>89</v>
      </c>
      <c r="I643" t="s">
        <v>67</v>
      </c>
      <c r="J643" s="4" t="s">
        <v>51</v>
      </c>
      <c r="K643" t="s">
        <v>29</v>
      </c>
      <c r="L643" t="s">
        <v>30</v>
      </c>
      <c r="M643" t="s">
        <v>31</v>
      </c>
      <c r="N643" t="s">
        <v>32</v>
      </c>
      <c r="O643">
        <v>10</v>
      </c>
      <c r="P643">
        <v>12</v>
      </c>
      <c r="Q643" t="s">
        <v>29</v>
      </c>
      <c r="R643" t="s">
        <v>34</v>
      </c>
      <c r="S643" s="3">
        <v>12.04</v>
      </c>
      <c r="T643" t="s">
        <v>62</v>
      </c>
      <c r="U643" t="s">
        <v>63</v>
      </c>
    </row>
    <row r="644" spans="1:21" ht="27.6">
      <c r="A644" t="s">
        <v>2158</v>
      </c>
      <c r="B644" t="s">
        <v>2159</v>
      </c>
      <c r="C644" t="s">
        <v>2160</v>
      </c>
      <c r="D644" s="2">
        <v>46060</v>
      </c>
      <c r="E644" t="s">
        <v>40</v>
      </c>
      <c r="F644" t="s">
        <v>73</v>
      </c>
      <c r="G644" s="3">
        <v>128.74</v>
      </c>
      <c r="H644" t="s">
        <v>108</v>
      </c>
      <c r="I644" t="s">
        <v>50</v>
      </c>
      <c r="J644" s="4" t="s">
        <v>389</v>
      </c>
      <c r="K644" t="s">
        <v>29</v>
      </c>
      <c r="L644" t="s">
        <v>60</v>
      </c>
      <c r="M644" t="s">
        <v>31</v>
      </c>
      <c r="N644" t="s">
        <v>90</v>
      </c>
      <c r="O644">
        <v>10</v>
      </c>
      <c r="P644">
        <v>7</v>
      </c>
      <c r="Q644" t="s">
        <v>33</v>
      </c>
      <c r="R644" t="s">
        <v>61</v>
      </c>
      <c r="S644" s="3">
        <v>0</v>
      </c>
      <c r="T644" t="s">
        <v>156</v>
      </c>
      <c r="U644" t="s">
        <v>63</v>
      </c>
    </row>
    <row r="645" spans="1:21" ht="27.6">
      <c r="A645" t="s">
        <v>2161</v>
      </c>
      <c r="B645" t="s">
        <v>2162</v>
      </c>
      <c r="C645" t="s">
        <v>2163</v>
      </c>
      <c r="D645" s="2">
        <v>46090</v>
      </c>
      <c r="E645" t="s">
        <v>40</v>
      </c>
      <c r="F645" t="s">
        <v>103</v>
      </c>
      <c r="G645" s="3">
        <v>10.99</v>
      </c>
      <c r="H645" t="s">
        <v>74</v>
      </c>
      <c r="I645" t="s">
        <v>50</v>
      </c>
      <c r="J645" s="4" t="s">
        <v>134</v>
      </c>
      <c r="K645" t="s">
        <v>33</v>
      </c>
      <c r="L645" t="s">
        <v>30</v>
      </c>
      <c r="M645" t="s">
        <v>31</v>
      </c>
      <c r="N645" t="s">
        <v>32</v>
      </c>
      <c r="O645">
        <v>5</v>
      </c>
      <c r="P645">
        <v>6</v>
      </c>
      <c r="Q645" t="s">
        <v>29</v>
      </c>
      <c r="R645" t="s">
        <v>34</v>
      </c>
      <c r="S645" s="3">
        <v>8.24</v>
      </c>
      <c r="T645" t="s">
        <v>35</v>
      </c>
      <c r="U645" t="s">
        <v>63</v>
      </c>
    </row>
    <row r="646" spans="1:21" ht="27.6">
      <c r="A646" t="s">
        <v>2164</v>
      </c>
      <c r="B646" t="s">
        <v>2165</v>
      </c>
      <c r="C646" t="s">
        <v>2166</v>
      </c>
      <c r="D646" s="2">
        <v>46078</v>
      </c>
      <c r="E646" t="s">
        <v>47</v>
      </c>
      <c r="F646" t="s">
        <v>82</v>
      </c>
      <c r="G646" s="3">
        <v>39.36</v>
      </c>
      <c r="H646" t="s">
        <v>49</v>
      </c>
      <c r="I646" t="s">
        <v>50</v>
      </c>
      <c r="J646" s="4" t="s">
        <v>114</v>
      </c>
      <c r="K646" t="s">
        <v>29</v>
      </c>
      <c r="L646" t="s">
        <v>30</v>
      </c>
      <c r="M646" t="s">
        <v>31</v>
      </c>
      <c r="N646" t="s">
        <v>32</v>
      </c>
      <c r="O646">
        <v>7</v>
      </c>
      <c r="P646">
        <v>6</v>
      </c>
      <c r="Q646" t="s">
        <v>33</v>
      </c>
      <c r="R646" t="s">
        <v>85</v>
      </c>
      <c r="S646" s="3">
        <v>39.36</v>
      </c>
      <c r="T646" t="s">
        <v>69</v>
      </c>
      <c r="U646" t="s">
        <v>53</v>
      </c>
    </row>
    <row r="647" spans="1:21" ht="27.6">
      <c r="A647" t="s">
        <v>2167</v>
      </c>
      <c r="B647" t="s">
        <v>2168</v>
      </c>
      <c r="C647" t="s">
        <v>2169</v>
      </c>
      <c r="D647" s="2">
        <v>46121</v>
      </c>
      <c r="E647" t="s">
        <v>94</v>
      </c>
      <c r="F647" t="s">
        <v>73</v>
      </c>
      <c r="G647" s="3">
        <v>44.22</v>
      </c>
      <c r="H647" t="s">
        <v>74</v>
      </c>
      <c r="I647" t="s">
        <v>27</v>
      </c>
      <c r="J647" s="4" t="s">
        <v>75</v>
      </c>
      <c r="K647" t="s">
        <v>29</v>
      </c>
      <c r="L647" t="s">
        <v>60</v>
      </c>
      <c r="M647" t="s">
        <v>31</v>
      </c>
      <c r="N647" t="s">
        <v>32</v>
      </c>
      <c r="O647">
        <v>10</v>
      </c>
      <c r="P647">
        <v>8</v>
      </c>
      <c r="Q647" t="s">
        <v>33</v>
      </c>
      <c r="R647" t="s">
        <v>61</v>
      </c>
      <c r="S647" s="3">
        <v>0</v>
      </c>
      <c r="T647" t="s">
        <v>62</v>
      </c>
      <c r="U647" t="s">
        <v>63</v>
      </c>
    </row>
    <row r="648" spans="1:21" ht="27.6">
      <c r="A648" t="s">
        <v>2170</v>
      </c>
      <c r="B648" t="s">
        <v>2171</v>
      </c>
      <c r="C648" t="s">
        <v>2172</v>
      </c>
      <c r="D648" s="2">
        <v>46051</v>
      </c>
      <c r="E648" t="s">
        <v>24</v>
      </c>
      <c r="F648" t="s">
        <v>73</v>
      </c>
      <c r="G648" s="3">
        <v>62.26</v>
      </c>
      <c r="H648" t="s">
        <v>41</v>
      </c>
      <c r="I648" t="s">
        <v>27</v>
      </c>
      <c r="J648" s="4" t="s">
        <v>389</v>
      </c>
      <c r="K648" t="s">
        <v>29</v>
      </c>
      <c r="L648" t="s">
        <v>60</v>
      </c>
      <c r="M648" t="s">
        <v>31</v>
      </c>
      <c r="N648" t="s">
        <v>32</v>
      </c>
      <c r="O648">
        <v>10</v>
      </c>
      <c r="P648">
        <v>9</v>
      </c>
      <c r="Q648" t="s">
        <v>33</v>
      </c>
      <c r="R648" t="s">
        <v>61</v>
      </c>
      <c r="S648" s="3">
        <v>31.13</v>
      </c>
      <c r="T648" t="s">
        <v>52</v>
      </c>
      <c r="U648" t="s">
        <v>63</v>
      </c>
    </row>
    <row r="649" spans="1:21" ht="27.6">
      <c r="A649" t="s">
        <v>2173</v>
      </c>
      <c r="B649" t="s">
        <v>1265</v>
      </c>
      <c r="C649" t="s">
        <v>2174</v>
      </c>
      <c r="D649" s="2">
        <v>46048</v>
      </c>
      <c r="E649" t="s">
        <v>24</v>
      </c>
      <c r="F649" t="s">
        <v>82</v>
      </c>
      <c r="G649" s="3">
        <v>87.73</v>
      </c>
      <c r="H649" t="s">
        <v>74</v>
      </c>
      <c r="I649" t="s">
        <v>27</v>
      </c>
      <c r="J649" s="4" t="s">
        <v>114</v>
      </c>
      <c r="K649" t="s">
        <v>29</v>
      </c>
      <c r="L649" t="s">
        <v>30</v>
      </c>
      <c r="M649" t="s">
        <v>31</v>
      </c>
      <c r="N649" t="s">
        <v>32</v>
      </c>
      <c r="O649">
        <v>7</v>
      </c>
      <c r="P649">
        <v>6</v>
      </c>
      <c r="Q649" t="s">
        <v>33</v>
      </c>
      <c r="R649" t="s">
        <v>85</v>
      </c>
      <c r="S649" s="3">
        <v>43.87</v>
      </c>
      <c r="T649" t="s">
        <v>62</v>
      </c>
      <c r="U649" t="s">
        <v>53</v>
      </c>
    </row>
    <row r="650" spans="1:21" ht="27.6">
      <c r="A650" t="s">
        <v>2175</v>
      </c>
      <c r="B650" t="s">
        <v>2176</v>
      </c>
      <c r="C650" t="s">
        <v>2177</v>
      </c>
      <c r="D650" s="2">
        <v>46052</v>
      </c>
      <c r="E650" t="s">
        <v>24</v>
      </c>
      <c r="F650" t="s">
        <v>25</v>
      </c>
      <c r="G650" s="3">
        <v>28.08</v>
      </c>
      <c r="H650" t="s">
        <v>26</v>
      </c>
      <c r="I650" t="s">
        <v>27</v>
      </c>
      <c r="J650" s="4" t="s">
        <v>42</v>
      </c>
      <c r="K650" t="s">
        <v>33</v>
      </c>
      <c r="L650" t="s">
        <v>30</v>
      </c>
      <c r="M650" t="s">
        <v>31</v>
      </c>
      <c r="N650" t="s">
        <v>32</v>
      </c>
      <c r="O650">
        <v>5</v>
      </c>
      <c r="P650">
        <v>8</v>
      </c>
      <c r="Q650" t="s">
        <v>29</v>
      </c>
      <c r="R650" t="s">
        <v>34</v>
      </c>
      <c r="S650" s="3">
        <v>0</v>
      </c>
      <c r="T650" t="s">
        <v>35</v>
      </c>
      <c r="U650" t="s">
        <v>63</v>
      </c>
    </row>
    <row r="651" spans="1:21" ht="27.6">
      <c r="A651" t="s">
        <v>2178</v>
      </c>
      <c r="B651" t="s">
        <v>2179</v>
      </c>
      <c r="C651" t="s">
        <v>2180</v>
      </c>
      <c r="D651" s="2">
        <v>46066</v>
      </c>
      <c r="E651" t="s">
        <v>40</v>
      </c>
      <c r="F651" t="s">
        <v>82</v>
      </c>
      <c r="G651" s="3">
        <v>18.809999999999999</v>
      </c>
      <c r="H651" t="s">
        <v>58</v>
      </c>
      <c r="I651" t="s">
        <v>27</v>
      </c>
      <c r="J651" s="4" t="s">
        <v>114</v>
      </c>
      <c r="K651" t="s">
        <v>29</v>
      </c>
      <c r="L651" t="s">
        <v>30</v>
      </c>
      <c r="M651" t="s">
        <v>31</v>
      </c>
      <c r="N651" t="s">
        <v>32</v>
      </c>
      <c r="O651">
        <v>7</v>
      </c>
      <c r="P651">
        <v>3</v>
      </c>
      <c r="Q651" t="s">
        <v>33</v>
      </c>
      <c r="R651" t="s">
        <v>85</v>
      </c>
      <c r="S651" s="3">
        <v>0</v>
      </c>
      <c r="T651" t="s">
        <v>62</v>
      </c>
      <c r="U651" t="s">
        <v>53</v>
      </c>
    </row>
    <row r="652" spans="1:21" ht="27.6">
      <c r="A652" t="s">
        <v>2181</v>
      </c>
      <c r="B652" t="s">
        <v>2182</v>
      </c>
      <c r="C652" t="s">
        <v>2183</v>
      </c>
      <c r="D652" s="2">
        <v>46040</v>
      </c>
      <c r="E652" t="s">
        <v>24</v>
      </c>
      <c r="F652" t="s">
        <v>82</v>
      </c>
      <c r="G652" s="3">
        <v>7.17</v>
      </c>
      <c r="H652" t="s">
        <v>58</v>
      </c>
      <c r="I652" t="s">
        <v>27</v>
      </c>
      <c r="J652" s="4" t="s">
        <v>114</v>
      </c>
      <c r="K652" t="s">
        <v>29</v>
      </c>
      <c r="L652" t="s">
        <v>30</v>
      </c>
      <c r="M652" t="s">
        <v>31</v>
      </c>
      <c r="N652" t="s">
        <v>32</v>
      </c>
      <c r="O652">
        <v>7</v>
      </c>
      <c r="P652">
        <v>12</v>
      </c>
      <c r="Q652" t="s">
        <v>29</v>
      </c>
      <c r="R652" t="s">
        <v>85</v>
      </c>
      <c r="S652" s="3">
        <v>0</v>
      </c>
      <c r="T652" t="s">
        <v>43</v>
      </c>
      <c r="U652" t="s">
        <v>63</v>
      </c>
    </row>
    <row r="653" spans="1:21" ht="27.6">
      <c r="A653" t="s">
        <v>2184</v>
      </c>
      <c r="B653" t="s">
        <v>2185</v>
      </c>
      <c r="C653" t="s">
        <v>2186</v>
      </c>
      <c r="D653" s="2">
        <v>46172</v>
      </c>
      <c r="E653" t="s">
        <v>24</v>
      </c>
      <c r="F653" t="s">
        <v>73</v>
      </c>
      <c r="G653" s="3">
        <v>38.79</v>
      </c>
      <c r="H653" t="s">
        <v>26</v>
      </c>
      <c r="I653" t="s">
        <v>50</v>
      </c>
      <c r="J653" s="4" t="s">
        <v>75</v>
      </c>
      <c r="K653" t="s">
        <v>33</v>
      </c>
      <c r="L653" t="s">
        <v>60</v>
      </c>
      <c r="M653" t="s">
        <v>31</v>
      </c>
      <c r="N653" t="s">
        <v>32</v>
      </c>
      <c r="O653">
        <v>10</v>
      </c>
      <c r="P653">
        <v>13</v>
      </c>
      <c r="Q653" t="s">
        <v>29</v>
      </c>
      <c r="R653" t="s">
        <v>61</v>
      </c>
      <c r="S653" s="3">
        <v>19.39</v>
      </c>
      <c r="T653" t="s">
        <v>156</v>
      </c>
      <c r="U653" t="s">
        <v>63</v>
      </c>
    </row>
    <row r="654" spans="1:21" ht="27.6">
      <c r="A654" t="s">
        <v>2187</v>
      </c>
      <c r="B654" t="s">
        <v>2188</v>
      </c>
      <c r="C654" t="s">
        <v>2189</v>
      </c>
      <c r="D654" s="2">
        <v>46108</v>
      </c>
      <c r="E654" t="s">
        <v>47</v>
      </c>
      <c r="F654" t="s">
        <v>103</v>
      </c>
      <c r="G654" s="3">
        <v>39.21</v>
      </c>
      <c r="H654" t="s">
        <v>26</v>
      </c>
      <c r="I654" t="s">
        <v>67</v>
      </c>
      <c r="J654" s="4" t="s">
        <v>104</v>
      </c>
      <c r="K654" t="s">
        <v>33</v>
      </c>
      <c r="L654" t="s">
        <v>30</v>
      </c>
      <c r="M654" t="s">
        <v>31</v>
      </c>
      <c r="N654" t="s">
        <v>126</v>
      </c>
      <c r="O654">
        <v>5</v>
      </c>
      <c r="P654">
        <v>10</v>
      </c>
      <c r="Q654" t="s">
        <v>29</v>
      </c>
      <c r="R654" t="s">
        <v>34</v>
      </c>
      <c r="S654" s="3">
        <v>0</v>
      </c>
      <c r="T654" t="s">
        <v>247</v>
      </c>
      <c r="U654" t="s">
        <v>63</v>
      </c>
    </row>
    <row r="655" spans="1:21" ht="27.6">
      <c r="A655" t="s">
        <v>2190</v>
      </c>
      <c r="B655" t="s">
        <v>2191</v>
      </c>
      <c r="C655" t="s">
        <v>2192</v>
      </c>
      <c r="D655" s="2">
        <v>46155</v>
      </c>
      <c r="E655" t="s">
        <v>40</v>
      </c>
      <c r="F655" t="s">
        <v>25</v>
      </c>
      <c r="G655" s="3">
        <v>53.02</v>
      </c>
      <c r="H655" t="s">
        <v>108</v>
      </c>
      <c r="I655" t="s">
        <v>27</v>
      </c>
      <c r="J655" s="4" t="s">
        <v>2193</v>
      </c>
      <c r="K655" t="s">
        <v>29</v>
      </c>
      <c r="L655" t="s">
        <v>30</v>
      </c>
      <c r="M655" t="s">
        <v>31</v>
      </c>
      <c r="N655" t="s">
        <v>90</v>
      </c>
      <c r="O655">
        <v>5</v>
      </c>
      <c r="P655">
        <v>2</v>
      </c>
      <c r="Q655" t="s">
        <v>33</v>
      </c>
      <c r="R655" t="s">
        <v>34</v>
      </c>
      <c r="S655" s="3">
        <v>0</v>
      </c>
      <c r="T655" t="s">
        <v>35</v>
      </c>
      <c r="U655" t="s">
        <v>53</v>
      </c>
    </row>
    <row r="656" spans="1:21" ht="27.6">
      <c r="A656" t="s">
        <v>2194</v>
      </c>
      <c r="B656" t="s">
        <v>2195</v>
      </c>
      <c r="C656" t="s">
        <v>2196</v>
      </c>
      <c r="D656" s="2">
        <v>46050</v>
      </c>
      <c r="E656" t="s">
        <v>94</v>
      </c>
      <c r="F656" t="s">
        <v>73</v>
      </c>
      <c r="G656" s="3">
        <v>6.86</v>
      </c>
      <c r="H656" t="s">
        <v>89</v>
      </c>
      <c r="I656" t="s">
        <v>27</v>
      </c>
      <c r="J656" s="4" t="s">
        <v>389</v>
      </c>
      <c r="K656" t="s">
        <v>33</v>
      </c>
      <c r="L656" t="s">
        <v>60</v>
      </c>
      <c r="M656" t="s">
        <v>31</v>
      </c>
      <c r="N656" t="s">
        <v>32</v>
      </c>
      <c r="O656">
        <v>10</v>
      </c>
      <c r="P656">
        <v>16</v>
      </c>
      <c r="Q656" t="s">
        <v>29</v>
      </c>
      <c r="R656" t="s">
        <v>61</v>
      </c>
      <c r="S656" s="3">
        <v>3.43</v>
      </c>
      <c r="T656" t="s">
        <v>52</v>
      </c>
      <c r="U656" t="s">
        <v>63</v>
      </c>
    </row>
    <row r="657" spans="1:21" ht="27.6">
      <c r="A657" t="s">
        <v>2197</v>
      </c>
      <c r="B657" t="s">
        <v>2198</v>
      </c>
      <c r="C657" t="s">
        <v>2199</v>
      </c>
      <c r="D657" s="2">
        <v>46139</v>
      </c>
      <c r="E657" t="s">
        <v>47</v>
      </c>
      <c r="F657" t="s">
        <v>57</v>
      </c>
      <c r="G657" s="3">
        <v>31.48</v>
      </c>
      <c r="H657" t="s">
        <v>26</v>
      </c>
      <c r="I657" t="s">
        <v>50</v>
      </c>
      <c r="J657" s="4" t="s">
        <v>59</v>
      </c>
      <c r="K657" t="s">
        <v>29</v>
      </c>
      <c r="L657" t="s">
        <v>60</v>
      </c>
      <c r="M657" t="s">
        <v>31</v>
      </c>
      <c r="N657" t="s">
        <v>32</v>
      </c>
      <c r="O657">
        <v>10</v>
      </c>
      <c r="P657">
        <v>9</v>
      </c>
      <c r="Q657" t="s">
        <v>33</v>
      </c>
      <c r="R657" t="s">
        <v>61</v>
      </c>
      <c r="S657" s="3">
        <v>23.61</v>
      </c>
      <c r="T657" t="s">
        <v>52</v>
      </c>
      <c r="U657" t="s">
        <v>63</v>
      </c>
    </row>
    <row r="658" spans="1:21" ht="27.6">
      <c r="A658" t="s">
        <v>2200</v>
      </c>
      <c r="B658" t="s">
        <v>2201</v>
      </c>
      <c r="C658" t="s">
        <v>2202</v>
      </c>
      <c r="D658" s="2">
        <v>46096</v>
      </c>
      <c r="E658" t="s">
        <v>24</v>
      </c>
      <c r="F658" t="s">
        <v>118</v>
      </c>
      <c r="G658" s="3">
        <v>37.119999999999997</v>
      </c>
      <c r="H658" t="s">
        <v>49</v>
      </c>
      <c r="I658" t="s">
        <v>50</v>
      </c>
      <c r="J658" s="4" t="s">
        <v>2203</v>
      </c>
      <c r="K658" t="s">
        <v>29</v>
      </c>
      <c r="L658" t="s">
        <v>120</v>
      </c>
      <c r="M658" t="s">
        <v>96</v>
      </c>
      <c r="N658" t="s">
        <v>32</v>
      </c>
      <c r="O658">
        <v>5</v>
      </c>
      <c r="P658">
        <v>1</v>
      </c>
      <c r="Q658" t="s">
        <v>33</v>
      </c>
      <c r="R658" t="s">
        <v>85</v>
      </c>
      <c r="S658" s="3">
        <v>37.119999999999997</v>
      </c>
      <c r="T658" t="s">
        <v>121</v>
      </c>
      <c r="U658" t="s">
        <v>53</v>
      </c>
    </row>
    <row r="659" spans="1:21" ht="27.6">
      <c r="A659" t="s">
        <v>2204</v>
      </c>
      <c r="B659" t="s">
        <v>2205</v>
      </c>
      <c r="C659" t="s">
        <v>2206</v>
      </c>
      <c r="D659" s="2">
        <v>46112</v>
      </c>
      <c r="E659" t="s">
        <v>94</v>
      </c>
      <c r="F659" t="s">
        <v>57</v>
      </c>
      <c r="G659" s="3">
        <v>43.38</v>
      </c>
      <c r="H659" t="s">
        <v>89</v>
      </c>
      <c r="I659" t="s">
        <v>27</v>
      </c>
      <c r="J659" s="4" t="s">
        <v>155</v>
      </c>
      <c r="K659" t="s">
        <v>29</v>
      </c>
      <c r="L659" t="s">
        <v>60</v>
      </c>
      <c r="M659" t="s">
        <v>31</v>
      </c>
      <c r="N659" t="s">
        <v>32</v>
      </c>
      <c r="O659">
        <v>10</v>
      </c>
      <c r="P659">
        <v>13</v>
      </c>
      <c r="Q659" t="s">
        <v>29</v>
      </c>
      <c r="R659" t="s">
        <v>61</v>
      </c>
      <c r="S659" s="3">
        <v>21.69</v>
      </c>
      <c r="T659" t="s">
        <v>52</v>
      </c>
      <c r="U659" t="s">
        <v>63</v>
      </c>
    </row>
    <row r="660" spans="1:21" ht="27.6">
      <c r="A660" t="s">
        <v>2207</v>
      </c>
      <c r="B660" t="s">
        <v>2208</v>
      </c>
      <c r="C660" t="s">
        <v>2209</v>
      </c>
      <c r="D660" s="2">
        <v>46144</v>
      </c>
      <c r="E660" t="s">
        <v>94</v>
      </c>
      <c r="F660" t="s">
        <v>118</v>
      </c>
      <c r="G660" s="3">
        <v>61.81</v>
      </c>
      <c r="H660" t="s">
        <v>108</v>
      </c>
      <c r="I660" t="s">
        <v>67</v>
      </c>
      <c r="J660" s="4" t="s">
        <v>119</v>
      </c>
      <c r="K660" t="s">
        <v>29</v>
      </c>
      <c r="L660" t="s">
        <v>120</v>
      </c>
      <c r="M660" t="s">
        <v>96</v>
      </c>
      <c r="N660" t="s">
        <v>32</v>
      </c>
      <c r="O660">
        <v>5</v>
      </c>
      <c r="P660">
        <v>2</v>
      </c>
      <c r="Q660" t="s">
        <v>33</v>
      </c>
      <c r="R660" t="s">
        <v>85</v>
      </c>
      <c r="S660" s="3">
        <v>61.81</v>
      </c>
      <c r="T660" t="s">
        <v>121</v>
      </c>
      <c r="U660" t="s">
        <v>36</v>
      </c>
    </row>
    <row r="661" spans="1:21" ht="27.6">
      <c r="A661" t="s">
        <v>2210</v>
      </c>
      <c r="B661" t="s">
        <v>2211</v>
      </c>
      <c r="C661" t="s">
        <v>2212</v>
      </c>
      <c r="D661" s="2">
        <v>46074</v>
      </c>
      <c r="E661" t="s">
        <v>24</v>
      </c>
      <c r="F661" t="s">
        <v>82</v>
      </c>
      <c r="G661" s="3">
        <v>21.53</v>
      </c>
      <c r="H661" t="s">
        <v>41</v>
      </c>
      <c r="I661" t="s">
        <v>50</v>
      </c>
      <c r="J661" s="4" t="s">
        <v>2213</v>
      </c>
      <c r="K661" t="s">
        <v>29</v>
      </c>
      <c r="L661" t="s">
        <v>30</v>
      </c>
      <c r="M661" t="s">
        <v>31</v>
      </c>
      <c r="N661" t="s">
        <v>32</v>
      </c>
      <c r="O661">
        <v>7</v>
      </c>
      <c r="P661">
        <v>8</v>
      </c>
      <c r="Q661" t="s">
        <v>29</v>
      </c>
      <c r="R661" t="s">
        <v>85</v>
      </c>
      <c r="S661" s="3">
        <v>0</v>
      </c>
      <c r="T661" t="s">
        <v>62</v>
      </c>
      <c r="U661" t="s">
        <v>63</v>
      </c>
    </row>
    <row r="662" spans="1:21" ht="27.6">
      <c r="A662" t="s">
        <v>2214</v>
      </c>
      <c r="B662" t="s">
        <v>2215</v>
      </c>
      <c r="C662" t="s">
        <v>2216</v>
      </c>
      <c r="D662" s="2">
        <v>46157</v>
      </c>
      <c r="E662" t="s">
        <v>47</v>
      </c>
      <c r="F662" t="s">
        <v>118</v>
      </c>
      <c r="G662" s="3">
        <v>37.32</v>
      </c>
      <c r="H662" t="s">
        <v>108</v>
      </c>
      <c r="I662" t="s">
        <v>67</v>
      </c>
      <c r="J662" s="4" t="s">
        <v>2217</v>
      </c>
      <c r="K662" t="s">
        <v>29</v>
      </c>
      <c r="L662" t="s">
        <v>120</v>
      </c>
      <c r="M662" t="s">
        <v>96</v>
      </c>
      <c r="N662" t="s">
        <v>32</v>
      </c>
      <c r="O662">
        <v>5</v>
      </c>
      <c r="P662">
        <v>3</v>
      </c>
      <c r="Q662" t="s">
        <v>33</v>
      </c>
      <c r="R662" t="s">
        <v>85</v>
      </c>
      <c r="S662" s="3">
        <v>37.32</v>
      </c>
      <c r="T662" t="s">
        <v>121</v>
      </c>
      <c r="U662" t="s">
        <v>53</v>
      </c>
    </row>
    <row r="663" spans="1:21" ht="27.6">
      <c r="A663" t="s">
        <v>2218</v>
      </c>
      <c r="B663" t="s">
        <v>2219</v>
      </c>
      <c r="C663" t="s">
        <v>2220</v>
      </c>
      <c r="D663" s="2">
        <v>46085</v>
      </c>
      <c r="E663" t="s">
        <v>47</v>
      </c>
      <c r="F663" t="s">
        <v>82</v>
      </c>
      <c r="G663" s="3">
        <v>235.4</v>
      </c>
      <c r="H663" t="s">
        <v>41</v>
      </c>
      <c r="I663" t="s">
        <v>27</v>
      </c>
      <c r="J663" s="4" t="s">
        <v>2221</v>
      </c>
      <c r="K663" t="s">
        <v>33</v>
      </c>
      <c r="L663" t="s">
        <v>30</v>
      </c>
      <c r="M663" t="s">
        <v>31</v>
      </c>
      <c r="N663" t="s">
        <v>32</v>
      </c>
      <c r="O663">
        <v>7</v>
      </c>
      <c r="P663">
        <v>8</v>
      </c>
      <c r="Q663" t="s">
        <v>29</v>
      </c>
      <c r="R663" t="s">
        <v>85</v>
      </c>
      <c r="S663" s="3">
        <v>235.4</v>
      </c>
      <c r="T663" t="s">
        <v>43</v>
      </c>
      <c r="U663" t="s">
        <v>63</v>
      </c>
    </row>
    <row r="664" spans="1:21" ht="27.6">
      <c r="A664" t="s">
        <v>2222</v>
      </c>
      <c r="B664" t="s">
        <v>2223</v>
      </c>
      <c r="C664" t="s">
        <v>2224</v>
      </c>
      <c r="D664" s="2">
        <v>46037</v>
      </c>
      <c r="E664" t="s">
        <v>24</v>
      </c>
      <c r="F664" t="s">
        <v>48</v>
      </c>
      <c r="G664" s="3">
        <v>9.85</v>
      </c>
      <c r="H664" t="s">
        <v>49</v>
      </c>
      <c r="I664" t="s">
        <v>27</v>
      </c>
      <c r="J664" s="4" t="s">
        <v>51</v>
      </c>
      <c r="K664" t="s">
        <v>29</v>
      </c>
      <c r="L664" t="s">
        <v>30</v>
      </c>
      <c r="M664" t="s">
        <v>31</v>
      </c>
      <c r="N664" t="s">
        <v>32</v>
      </c>
      <c r="O664">
        <v>10</v>
      </c>
      <c r="P664">
        <v>7</v>
      </c>
      <c r="Q664" t="s">
        <v>33</v>
      </c>
      <c r="R664" t="s">
        <v>34</v>
      </c>
      <c r="S664" s="3">
        <v>9.85</v>
      </c>
      <c r="T664" t="s">
        <v>52</v>
      </c>
      <c r="U664" t="s">
        <v>53</v>
      </c>
    </row>
    <row r="665" spans="1:21" ht="27.6">
      <c r="A665" t="s">
        <v>2225</v>
      </c>
      <c r="B665" t="s">
        <v>2226</v>
      </c>
      <c r="C665" t="s">
        <v>2227</v>
      </c>
      <c r="D665" s="2">
        <v>46166</v>
      </c>
      <c r="E665" t="s">
        <v>40</v>
      </c>
      <c r="F665" t="s">
        <v>82</v>
      </c>
      <c r="G665" s="3">
        <v>11.67</v>
      </c>
      <c r="H665" t="s">
        <v>49</v>
      </c>
      <c r="I665" t="s">
        <v>27</v>
      </c>
      <c r="J665" s="4" t="s">
        <v>114</v>
      </c>
      <c r="K665" t="s">
        <v>29</v>
      </c>
      <c r="L665" t="s">
        <v>30</v>
      </c>
      <c r="M665" t="s">
        <v>31</v>
      </c>
      <c r="N665" t="s">
        <v>84</v>
      </c>
      <c r="O665">
        <v>7</v>
      </c>
      <c r="P665">
        <v>4</v>
      </c>
      <c r="Q665" t="s">
        <v>33</v>
      </c>
      <c r="R665" t="s">
        <v>85</v>
      </c>
      <c r="S665" s="3">
        <v>0</v>
      </c>
      <c r="T665" t="s">
        <v>62</v>
      </c>
      <c r="U665" t="s">
        <v>36</v>
      </c>
    </row>
    <row r="666" spans="1:21" ht="27.6">
      <c r="A666" t="s">
        <v>2228</v>
      </c>
      <c r="B666" t="s">
        <v>2229</v>
      </c>
      <c r="C666" t="s">
        <v>2230</v>
      </c>
      <c r="D666" s="2">
        <v>46023</v>
      </c>
      <c r="E666" t="s">
        <v>24</v>
      </c>
      <c r="F666" t="s">
        <v>73</v>
      </c>
      <c r="G666" s="3">
        <v>42.03</v>
      </c>
      <c r="H666" t="s">
        <v>26</v>
      </c>
      <c r="I666" t="s">
        <v>27</v>
      </c>
      <c r="J666" s="4" t="s">
        <v>75</v>
      </c>
      <c r="K666" t="s">
        <v>33</v>
      </c>
      <c r="L666" t="s">
        <v>60</v>
      </c>
      <c r="M666" t="s">
        <v>31</v>
      </c>
      <c r="N666" t="s">
        <v>32</v>
      </c>
      <c r="O666">
        <v>10</v>
      </c>
      <c r="P666">
        <v>8</v>
      </c>
      <c r="Q666" t="s">
        <v>33</v>
      </c>
      <c r="R666" t="s">
        <v>61</v>
      </c>
      <c r="S666" s="3">
        <v>21.02</v>
      </c>
      <c r="T666" t="s">
        <v>52</v>
      </c>
      <c r="U666" t="s">
        <v>63</v>
      </c>
    </row>
    <row r="667" spans="1:21" ht="27.6">
      <c r="A667" t="s">
        <v>2231</v>
      </c>
      <c r="B667" t="s">
        <v>2232</v>
      </c>
      <c r="C667" t="s">
        <v>2233</v>
      </c>
      <c r="D667" s="2">
        <v>46135</v>
      </c>
      <c r="E667" t="s">
        <v>94</v>
      </c>
      <c r="F667" t="s">
        <v>172</v>
      </c>
      <c r="G667" s="3">
        <v>30.84</v>
      </c>
      <c r="H667" t="s">
        <v>74</v>
      </c>
      <c r="I667" t="s">
        <v>27</v>
      </c>
      <c r="J667" s="4" t="s">
        <v>173</v>
      </c>
      <c r="K667" t="s">
        <v>33</v>
      </c>
      <c r="L667" t="s">
        <v>30</v>
      </c>
      <c r="M667" t="s">
        <v>31</v>
      </c>
      <c r="N667" t="s">
        <v>32</v>
      </c>
      <c r="O667">
        <v>7</v>
      </c>
      <c r="P667">
        <v>15</v>
      </c>
      <c r="Q667" t="s">
        <v>29</v>
      </c>
      <c r="R667" t="s">
        <v>174</v>
      </c>
      <c r="S667" s="3">
        <v>0</v>
      </c>
      <c r="T667" t="s">
        <v>69</v>
      </c>
      <c r="U667" t="s">
        <v>63</v>
      </c>
    </row>
    <row r="668" spans="1:21" ht="27.6">
      <c r="A668" t="s">
        <v>2234</v>
      </c>
      <c r="B668" t="s">
        <v>2235</v>
      </c>
      <c r="C668" t="s">
        <v>2236</v>
      </c>
      <c r="D668" s="2">
        <v>46097</v>
      </c>
      <c r="E668" t="s">
        <v>24</v>
      </c>
      <c r="F668" t="s">
        <v>25</v>
      </c>
      <c r="G668" s="3">
        <v>49.63</v>
      </c>
      <c r="H668" t="s">
        <v>41</v>
      </c>
      <c r="I668" t="s">
        <v>27</v>
      </c>
      <c r="J668" s="4" t="s">
        <v>2237</v>
      </c>
      <c r="K668" t="s">
        <v>29</v>
      </c>
      <c r="L668" t="s">
        <v>30</v>
      </c>
      <c r="M668" t="s">
        <v>31</v>
      </c>
      <c r="N668" t="s">
        <v>32</v>
      </c>
      <c r="O668">
        <v>5</v>
      </c>
      <c r="P668">
        <v>1</v>
      </c>
      <c r="Q668" t="s">
        <v>33</v>
      </c>
      <c r="R668" t="s">
        <v>34</v>
      </c>
      <c r="S668" s="3">
        <v>24.82</v>
      </c>
      <c r="T668" t="s">
        <v>110</v>
      </c>
      <c r="U668" t="s">
        <v>36</v>
      </c>
    </row>
    <row r="669" spans="1:21" ht="27.6">
      <c r="A669" t="s">
        <v>2238</v>
      </c>
      <c r="B669" t="s">
        <v>2239</v>
      </c>
      <c r="C669" t="s">
        <v>2240</v>
      </c>
      <c r="D669" s="2">
        <v>46136</v>
      </c>
      <c r="E669" t="s">
        <v>24</v>
      </c>
      <c r="F669" t="s">
        <v>73</v>
      </c>
      <c r="G669" s="3">
        <v>143.78</v>
      </c>
      <c r="H669" t="s">
        <v>58</v>
      </c>
      <c r="I669" t="s">
        <v>27</v>
      </c>
      <c r="J669" s="4" t="s">
        <v>389</v>
      </c>
      <c r="K669" t="s">
        <v>29</v>
      </c>
      <c r="L669" t="s">
        <v>60</v>
      </c>
      <c r="M669" t="s">
        <v>31</v>
      </c>
      <c r="N669" t="s">
        <v>32</v>
      </c>
      <c r="O669">
        <v>10</v>
      </c>
      <c r="P669">
        <v>12</v>
      </c>
      <c r="Q669" t="s">
        <v>29</v>
      </c>
      <c r="R669" t="s">
        <v>61</v>
      </c>
      <c r="S669" s="3">
        <v>0</v>
      </c>
      <c r="T669" t="s">
        <v>156</v>
      </c>
      <c r="U669" t="s">
        <v>63</v>
      </c>
    </row>
    <row r="670" spans="1:21" ht="27.6">
      <c r="A670" t="s">
        <v>2241</v>
      </c>
      <c r="B670" t="s">
        <v>2242</v>
      </c>
      <c r="C670" t="s">
        <v>2243</v>
      </c>
      <c r="D670" s="2">
        <v>46154</v>
      </c>
      <c r="E670" t="s">
        <v>24</v>
      </c>
      <c r="F670" t="s">
        <v>172</v>
      </c>
      <c r="G670" s="3">
        <v>18.739999999999998</v>
      </c>
      <c r="H670" t="s">
        <v>41</v>
      </c>
      <c r="I670" t="s">
        <v>27</v>
      </c>
      <c r="J670" s="4" t="s">
        <v>285</v>
      </c>
      <c r="K670" t="s">
        <v>33</v>
      </c>
      <c r="L670" t="s">
        <v>30</v>
      </c>
      <c r="M670" t="s">
        <v>31</v>
      </c>
      <c r="N670" t="s">
        <v>32</v>
      </c>
      <c r="O670">
        <v>7</v>
      </c>
      <c r="P670">
        <v>10</v>
      </c>
      <c r="Q670" t="s">
        <v>29</v>
      </c>
      <c r="R670" t="s">
        <v>174</v>
      </c>
      <c r="S670" s="3">
        <v>18.739999999999998</v>
      </c>
      <c r="T670" t="s">
        <v>69</v>
      </c>
      <c r="U670" t="s">
        <v>63</v>
      </c>
    </row>
    <row r="671" spans="1:21" ht="27.6">
      <c r="A671" t="s">
        <v>2244</v>
      </c>
      <c r="B671" t="s">
        <v>2245</v>
      </c>
      <c r="C671" t="s">
        <v>2246</v>
      </c>
      <c r="D671" s="2">
        <v>46069</v>
      </c>
      <c r="E671" t="s">
        <v>47</v>
      </c>
      <c r="F671" t="s">
        <v>48</v>
      </c>
      <c r="G671" s="3">
        <v>94.27</v>
      </c>
      <c r="H671" t="s">
        <v>74</v>
      </c>
      <c r="I671" t="s">
        <v>50</v>
      </c>
      <c r="J671" s="4" t="s">
        <v>68</v>
      </c>
      <c r="K671" t="s">
        <v>29</v>
      </c>
      <c r="L671" t="s">
        <v>30</v>
      </c>
      <c r="M671" t="s">
        <v>31</v>
      </c>
      <c r="N671" t="s">
        <v>32</v>
      </c>
      <c r="O671">
        <v>10</v>
      </c>
      <c r="P671">
        <v>11</v>
      </c>
      <c r="Q671" t="s">
        <v>29</v>
      </c>
      <c r="R671" t="s">
        <v>34</v>
      </c>
      <c r="S671" s="3">
        <v>0</v>
      </c>
      <c r="T671" t="s">
        <v>62</v>
      </c>
      <c r="U671" t="s">
        <v>63</v>
      </c>
    </row>
    <row r="672" spans="1:21" ht="27.6">
      <c r="A672" t="s">
        <v>2247</v>
      </c>
      <c r="B672" t="s">
        <v>2248</v>
      </c>
      <c r="C672" t="s">
        <v>2249</v>
      </c>
      <c r="D672" s="2">
        <v>46030</v>
      </c>
      <c r="E672" t="s">
        <v>94</v>
      </c>
      <c r="F672" t="s">
        <v>25</v>
      </c>
      <c r="G672" s="3">
        <v>135.55000000000001</v>
      </c>
      <c r="H672" t="s">
        <v>49</v>
      </c>
      <c r="I672" t="s">
        <v>27</v>
      </c>
      <c r="J672" s="4" t="s">
        <v>42</v>
      </c>
      <c r="K672" t="s">
        <v>33</v>
      </c>
      <c r="L672" t="s">
        <v>30</v>
      </c>
      <c r="M672" t="s">
        <v>31</v>
      </c>
      <c r="N672" t="s">
        <v>126</v>
      </c>
      <c r="O672">
        <v>5</v>
      </c>
      <c r="P672">
        <v>9</v>
      </c>
      <c r="Q672" t="s">
        <v>29</v>
      </c>
      <c r="R672" t="s">
        <v>34</v>
      </c>
      <c r="S672" s="3">
        <v>0</v>
      </c>
      <c r="T672" t="s">
        <v>35</v>
      </c>
      <c r="U672" t="s">
        <v>63</v>
      </c>
    </row>
    <row r="673" spans="1:21" ht="27.6">
      <c r="A673" t="s">
        <v>2250</v>
      </c>
      <c r="B673" t="s">
        <v>1682</v>
      </c>
      <c r="C673" t="s">
        <v>2251</v>
      </c>
      <c r="D673" s="2">
        <v>46038</v>
      </c>
      <c r="E673" t="s">
        <v>47</v>
      </c>
      <c r="F673" t="s">
        <v>25</v>
      </c>
      <c r="G673" s="3">
        <v>107.34</v>
      </c>
      <c r="H673" t="s">
        <v>49</v>
      </c>
      <c r="I673" t="s">
        <v>27</v>
      </c>
      <c r="J673" s="4" t="s">
        <v>2252</v>
      </c>
      <c r="K673" t="s">
        <v>29</v>
      </c>
      <c r="L673" t="s">
        <v>30</v>
      </c>
      <c r="M673" t="s">
        <v>31</v>
      </c>
      <c r="N673" t="s">
        <v>32</v>
      </c>
      <c r="O673">
        <v>5</v>
      </c>
      <c r="P673">
        <v>4</v>
      </c>
      <c r="Q673" t="s">
        <v>33</v>
      </c>
      <c r="R673" t="s">
        <v>34</v>
      </c>
      <c r="S673" s="3">
        <v>107.34</v>
      </c>
      <c r="T673" t="s">
        <v>110</v>
      </c>
      <c r="U673" t="s">
        <v>53</v>
      </c>
    </row>
    <row r="674" spans="1:21" ht="27.6">
      <c r="A674" t="s">
        <v>2253</v>
      </c>
      <c r="B674" t="s">
        <v>2254</v>
      </c>
      <c r="C674" t="s">
        <v>2255</v>
      </c>
      <c r="D674" s="2">
        <v>46135</v>
      </c>
      <c r="E674" t="s">
        <v>40</v>
      </c>
      <c r="F674" t="s">
        <v>118</v>
      </c>
      <c r="G674" s="3">
        <v>75.489999999999995</v>
      </c>
      <c r="H674" t="s">
        <v>89</v>
      </c>
      <c r="I674" t="s">
        <v>67</v>
      </c>
      <c r="J674" s="4" t="s">
        <v>2256</v>
      </c>
      <c r="K674" t="s">
        <v>29</v>
      </c>
      <c r="L674" t="s">
        <v>120</v>
      </c>
      <c r="M674" t="s">
        <v>96</v>
      </c>
      <c r="N674" t="s">
        <v>32</v>
      </c>
      <c r="O674">
        <v>5</v>
      </c>
      <c r="P674">
        <v>1</v>
      </c>
      <c r="Q674" t="s">
        <v>33</v>
      </c>
      <c r="R674" t="s">
        <v>85</v>
      </c>
      <c r="S674" s="3">
        <v>75.489999999999995</v>
      </c>
      <c r="T674" t="s">
        <v>121</v>
      </c>
      <c r="U674" t="s">
        <v>53</v>
      </c>
    </row>
    <row r="675" spans="1:21" ht="27.6">
      <c r="A675" t="s">
        <v>2257</v>
      </c>
      <c r="B675" t="s">
        <v>2258</v>
      </c>
      <c r="C675" t="s">
        <v>2259</v>
      </c>
      <c r="D675" s="2">
        <v>46115</v>
      </c>
      <c r="E675" t="s">
        <v>40</v>
      </c>
      <c r="F675" t="s">
        <v>172</v>
      </c>
      <c r="G675" s="3">
        <v>90.57</v>
      </c>
      <c r="H675" t="s">
        <v>58</v>
      </c>
      <c r="I675" t="s">
        <v>50</v>
      </c>
      <c r="J675" s="4" t="s">
        <v>285</v>
      </c>
      <c r="K675" t="s">
        <v>33</v>
      </c>
      <c r="L675" t="s">
        <v>30</v>
      </c>
      <c r="M675" t="s">
        <v>31</v>
      </c>
      <c r="N675" t="s">
        <v>32</v>
      </c>
      <c r="O675">
        <v>7</v>
      </c>
      <c r="P675">
        <v>8</v>
      </c>
      <c r="Q675" t="s">
        <v>29</v>
      </c>
      <c r="R675" t="s">
        <v>174</v>
      </c>
      <c r="S675" s="3">
        <v>45.28</v>
      </c>
      <c r="T675" t="s">
        <v>110</v>
      </c>
      <c r="U675" t="s">
        <v>63</v>
      </c>
    </row>
    <row r="676" spans="1:21" ht="27.6">
      <c r="A676" t="s">
        <v>2260</v>
      </c>
      <c r="B676" t="s">
        <v>2261</v>
      </c>
      <c r="C676" t="s">
        <v>2262</v>
      </c>
      <c r="D676" s="2">
        <v>46114</v>
      </c>
      <c r="E676" t="s">
        <v>47</v>
      </c>
      <c r="F676" t="s">
        <v>172</v>
      </c>
      <c r="G676" s="3">
        <v>34.14</v>
      </c>
      <c r="H676" t="s">
        <v>26</v>
      </c>
      <c r="I676" t="s">
        <v>50</v>
      </c>
      <c r="J676" s="4" t="s">
        <v>173</v>
      </c>
      <c r="K676" t="s">
        <v>29</v>
      </c>
      <c r="L676" t="s">
        <v>30</v>
      </c>
      <c r="M676" t="s">
        <v>31</v>
      </c>
      <c r="N676" t="s">
        <v>32</v>
      </c>
      <c r="O676">
        <v>7</v>
      </c>
      <c r="P676">
        <v>7</v>
      </c>
      <c r="Q676" t="s">
        <v>33</v>
      </c>
      <c r="R676" t="s">
        <v>174</v>
      </c>
      <c r="S676" s="3">
        <v>0</v>
      </c>
      <c r="T676" t="s">
        <v>110</v>
      </c>
      <c r="U676" t="s">
        <v>36</v>
      </c>
    </row>
    <row r="677" spans="1:21" ht="27.6">
      <c r="A677" t="s">
        <v>2263</v>
      </c>
      <c r="B677" t="s">
        <v>2264</v>
      </c>
      <c r="C677" t="s">
        <v>2265</v>
      </c>
      <c r="D677" s="2">
        <v>46097</v>
      </c>
      <c r="E677" t="s">
        <v>94</v>
      </c>
      <c r="F677" t="s">
        <v>118</v>
      </c>
      <c r="G677" s="3">
        <v>55.59</v>
      </c>
      <c r="H677" t="s">
        <v>49</v>
      </c>
      <c r="I677" t="s">
        <v>27</v>
      </c>
      <c r="J677" s="4" t="s">
        <v>119</v>
      </c>
      <c r="K677" t="s">
        <v>29</v>
      </c>
      <c r="L677" t="s">
        <v>120</v>
      </c>
      <c r="M677" t="s">
        <v>96</v>
      </c>
      <c r="N677" t="s">
        <v>32</v>
      </c>
      <c r="O677">
        <v>5</v>
      </c>
      <c r="P677">
        <v>4</v>
      </c>
      <c r="Q677" t="s">
        <v>33</v>
      </c>
      <c r="R677" t="s">
        <v>85</v>
      </c>
      <c r="S677" s="3">
        <v>55.59</v>
      </c>
      <c r="T677" t="s">
        <v>121</v>
      </c>
      <c r="U677" t="s">
        <v>53</v>
      </c>
    </row>
    <row r="678" spans="1:21" ht="27.6">
      <c r="A678" t="s">
        <v>2266</v>
      </c>
      <c r="B678" t="s">
        <v>2267</v>
      </c>
      <c r="C678" t="s">
        <v>2268</v>
      </c>
      <c r="D678" s="2">
        <v>46037</v>
      </c>
      <c r="E678" t="s">
        <v>47</v>
      </c>
      <c r="F678" t="s">
        <v>73</v>
      </c>
      <c r="G678" s="3">
        <v>274.14</v>
      </c>
      <c r="H678" t="s">
        <v>41</v>
      </c>
      <c r="I678" t="s">
        <v>50</v>
      </c>
      <c r="J678" s="4" t="s">
        <v>389</v>
      </c>
      <c r="K678" t="s">
        <v>29</v>
      </c>
      <c r="L678" t="s">
        <v>60</v>
      </c>
      <c r="M678" t="s">
        <v>31</v>
      </c>
      <c r="N678" t="s">
        <v>32</v>
      </c>
      <c r="O678">
        <v>10</v>
      </c>
      <c r="P678">
        <v>10</v>
      </c>
      <c r="Q678" t="s">
        <v>33</v>
      </c>
      <c r="R678" t="s">
        <v>61</v>
      </c>
      <c r="S678" s="3">
        <v>274.14</v>
      </c>
      <c r="T678" t="s">
        <v>52</v>
      </c>
      <c r="U678" t="s">
        <v>63</v>
      </c>
    </row>
    <row r="679" spans="1:21" ht="27.6">
      <c r="A679" t="s">
        <v>2269</v>
      </c>
      <c r="B679" t="s">
        <v>2270</v>
      </c>
      <c r="C679" t="s">
        <v>2271</v>
      </c>
      <c r="D679" s="2">
        <v>46149</v>
      </c>
      <c r="E679" t="s">
        <v>24</v>
      </c>
      <c r="F679" t="s">
        <v>48</v>
      </c>
      <c r="G679" s="3">
        <v>58.51</v>
      </c>
      <c r="H679" t="s">
        <v>26</v>
      </c>
      <c r="I679" t="s">
        <v>67</v>
      </c>
      <c r="J679" s="4" t="s">
        <v>68</v>
      </c>
      <c r="K679" t="s">
        <v>29</v>
      </c>
      <c r="L679" t="s">
        <v>30</v>
      </c>
      <c r="M679" t="s">
        <v>31</v>
      </c>
      <c r="N679" t="s">
        <v>32</v>
      </c>
      <c r="O679">
        <v>10</v>
      </c>
      <c r="P679">
        <v>8</v>
      </c>
      <c r="Q679" t="s">
        <v>33</v>
      </c>
      <c r="R679" t="s">
        <v>34</v>
      </c>
      <c r="S679" s="3">
        <v>29.25</v>
      </c>
      <c r="T679" t="s">
        <v>69</v>
      </c>
      <c r="U679" t="s">
        <v>63</v>
      </c>
    </row>
    <row r="680" spans="1:21" ht="27.6">
      <c r="A680" t="s">
        <v>2272</v>
      </c>
      <c r="B680" t="s">
        <v>2273</v>
      </c>
      <c r="C680" t="s">
        <v>2274</v>
      </c>
      <c r="D680" s="2">
        <v>46112</v>
      </c>
      <c r="E680" t="s">
        <v>47</v>
      </c>
      <c r="F680" t="s">
        <v>118</v>
      </c>
      <c r="G680" s="3">
        <v>335.32</v>
      </c>
      <c r="H680" t="s">
        <v>89</v>
      </c>
      <c r="I680" t="s">
        <v>50</v>
      </c>
      <c r="J680" s="4" t="s">
        <v>119</v>
      </c>
      <c r="K680" t="s">
        <v>29</v>
      </c>
      <c r="L680" t="s">
        <v>120</v>
      </c>
      <c r="M680" t="s">
        <v>96</v>
      </c>
      <c r="N680" t="s">
        <v>32</v>
      </c>
      <c r="O680">
        <v>5</v>
      </c>
      <c r="P680">
        <v>2</v>
      </c>
      <c r="Q680" t="s">
        <v>33</v>
      </c>
      <c r="R680" t="s">
        <v>85</v>
      </c>
      <c r="S680" s="3">
        <v>335.32</v>
      </c>
      <c r="T680" t="s">
        <v>121</v>
      </c>
      <c r="U680" t="s">
        <v>36</v>
      </c>
    </row>
    <row r="681" spans="1:21" ht="27.6">
      <c r="A681" t="s">
        <v>2275</v>
      </c>
      <c r="B681" t="s">
        <v>2276</v>
      </c>
      <c r="C681" t="s">
        <v>2277</v>
      </c>
      <c r="D681" s="2">
        <v>46132</v>
      </c>
      <c r="E681" t="s">
        <v>47</v>
      </c>
      <c r="F681" t="s">
        <v>25</v>
      </c>
      <c r="G681" s="3">
        <v>9.49</v>
      </c>
      <c r="H681" t="s">
        <v>41</v>
      </c>
      <c r="I681" t="s">
        <v>27</v>
      </c>
      <c r="J681" s="4" t="s">
        <v>42</v>
      </c>
      <c r="K681" t="s">
        <v>29</v>
      </c>
      <c r="L681" t="s">
        <v>30</v>
      </c>
      <c r="M681" t="s">
        <v>31</v>
      </c>
      <c r="N681" t="s">
        <v>32</v>
      </c>
      <c r="O681">
        <v>5</v>
      </c>
      <c r="P681">
        <v>5</v>
      </c>
      <c r="Q681" t="s">
        <v>33</v>
      </c>
      <c r="R681" t="s">
        <v>34</v>
      </c>
      <c r="S681" s="3">
        <v>4.75</v>
      </c>
      <c r="T681" t="s">
        <v>110</v>
      </c>
      <c r="U681" t="s">
        <v>53</v>
      </c>
    </row>
    <row r="682" spans="1:21" ht="27.6">
      <c r="A682" t="s">
        <v>2278</v>
      </c>
      <c r="B682" t="s">
        <v>2279</v>
      </c>
      <c r="C682" t="s">
        <v>2280</v>
      </c>
      <c r="D682" s="2">
        <v>46034</v>
      </c>
      <c r="E682" t="s">
        <v>94</v>
      </c>
      <c r="F682" t="s">
        <v>25</v>
      </c>
      <c r="G682" s="3">
        <v>223.79</v>
      </c>
      <c r="H682" t="s">
        <v>26</v>
      </c>
      <c r="I682" t="s">
        <v>27</v>
      </c>
      <c r="J682" s="4" t="s">
        <v>2281</v>
      </c>
      <c r="K682" t="s">
        <v>29</v>
      </c>
      <c r="L682" t="s">
        <v>30</v>
      </c>
      <c r="M682" t="s">
        <v>31</v>
      </c>
      <c r="N682" t="s">
        <v>32</v>
      </c>
      <c r="O682">
        <v>5</v>
      </c>
      <c r="P682">
        <v>8</v>
      </c>
      <c r="Q682" t="s">
        <v>29</v>
      </c>
      <c r="R682" t="s">
        <v>34</v>
      </c>
      <c r="S682" s="3">
        <v>167.84</v>
      </c>
      <c r="T682" t="s">
        <v>43</v>
      </c>
      <c r="U682" t="s">
        <v>63</v>
      </c>
    </row>
    <row r="683" spans="1:21" ht="27.6">
      <c r="A683" t="s">
        <v>2282</v>
      </c>
      <c r="B683" t="s">
        <v>2283</v>
      </c>
      <c r="C683" t="s">
        <v>2284</v>
      </c>
      <c r="D683" s="2">
        <v>46054</v>
      </c>
      <c r="E683" t="s">
        <v>40</v>
      </c>
      <c r="F683" t="s">
        <v>25</v>
      </c>
      <c r="G683" s="3">
        <v>90.46</v>
      </c>
      <c r="H683" t="s">
        <v>58</v>
      </c>
      <c r="I683" t="s">
        <v>50</v>
      </c>
      <c r="J683" s="4" t="s">
        <v>42</v>
      </c>
      <c r="K683" t="s">
        <v>29</v>
      </c>
      <c r="L683" t="s">
        <v>30</v>
      </c>
      <c r="M683" t="s">
        <v>96</v>
      </c>
      <c r="N683" t="s">
        <v>32</v>
      </c>
      <c r="O683">
        <v>5</v>
      </c>
      <c r="P683">
        <v>6</v>
      </c>
      <c r="Q683" t="s">
        <v>29</v>
      </c>
      <c r="R683" t="s">
        <v>34</v>
      </c>
      <c r="S683" s="3">
        <v>90.46</v>
      </c>
      <c r="T683" t="s">
        <v>110</v>
      </c>
      <c r="U683" t="s">
        <v>63</v>
      </c>
    </row>
    <row r="684" spans="1:21" ht="27.6">
      <c r="A684" t="s">
        <v>2285</v>
      </c>
      <c r="B684" t="s">
        <v>2286</v>
      </c>
      <c r="C684" t="s">
        <v>2287</v>
      </c>
      <c r="D684" s="2">
        <v>46164</v>
      </c>
      <c r="E684" t="s">
        <v>24</v>
      </c>
      <c r="F684" t="s">
        <v>172</v>
      </c>
      <c r="G684" s="3">
        <v>42.67</v>
      </c>
      <c r="H684" t="s">
        <v>58</v>
      </c>
      <c r="I684" t="s">
        <v>50</v>
      </c>
      <c r="J684" s="4" t="s">
        <v>173</v>
      </c>
      <c r="K684" t="s">
        <v>29</v>
      </c>
      <c r="L684" t="s">
        <v>30</v>
      </c>
      <c r="M684" t="s">
        <v>31</v>
      </c>
      <c r="N684" t="s">
        <v>32</v>
      </c>
      <c r="O684">
        <v>7</v>
      </c>
      <c r="P684">
        <v>11</v>
      </c>
      <c r="Q684" t="s">
        <v>29</v>
      </c>
      <c r="R684" t="s">
        <v>174</v>
      </c>
      <c r="S684" s="3">
        <v>21.34</v>
      </c>
      <c r="T684" t="s">
        <v>286</v>
      </c>
      <c r="U684" t="s">
        <v>63</v>
      </c>
    </row>
    <row r="685" spans="1:21" ht="27.6">
      <c r="A685" t="s">
        <v>2288</v>
      </c>
      <c r="B685" t="s">
        <v>2289</v>
      </c>
      <c r="C685" t="s">
        <v>2290</v>
      </c>
      <c r="D685" s="2">
        <v>46101</v>
      </c>
      <c r="E685" t="s">
        <v>40</v>
      </c>
      <c r="F685" t="s">
        <v>118</v>
      </c>
      <c r="G685" s="3">
        <v>14.68</v>
      </c>
      <c r="H685" t="s">
        <v>74</v>
      </c>
      <c r="I685" t="s">
        <v>27</v>
      </c>
      <c r="J685" s="4" t="s">
        <v>2291</v>
      </c>
      <c r="K685" t="s">
        <v>29</v>
      </c>
      <c r="L685" t="s">
        <v>120</v>
      </c>
      <c r="M685" t="s">
        <v>96</v>
      </c>
      <c r="N685" t="s">
        <v>32</v>
      </c>
      <c r="O685">
        <v>5</v>
      </c>
      <c r="P685">
        <v>1</v>
      </c>
      <c r="Q685" t="s">
        <v>33</v>
      </c>
      <c r="R685" t="s">
        <v>85</v>
      </c>
      <c r="S685" s="3">
        <v>14.68</v>
      </c>
      <c r="T685" t="s">
        <v>121</v>
      </c>
      <c r="U685" t="s">
        <v>36</v>
      </c>
    </row>
    <row r="686" spans="1:21" ht="27.6">
      <c r="A686" t="s">
        <v>2292</v>
      </c>
      <c r="B686" t="s">
        <v>2147</v>
      </c>
      <c r="C686" t="s">
        <v>2293</v>
      </c>
      <c r="D686" s="2">
        <v>46031</v>
      </c>
      <c r="E686" t="s">
        <v>24</v>
      </c>
      <c r="F686" t="s">
        <v>172</v>
      </c>
      <c r="G686" s="3">
        <v>34.04</v>
      </c>
      <c r="H686" t="s">
        <v>108</v>
      </c>
      <c r="I686" t="s">
        <v>27</v>
      </c>
      <c r="J686" s="4" t="s">
        <v>285</v>
      </c>
      <c r="K686" t="s">
        <v>29</v>
      </c>
      <c r="L686" t="s">
        <v>30</v>
      </c>
      <c r="M686" t="s">
        <v>31</v>
      </c>
      <c r="N686" t="s">
        <v>32</v>
      </c>
      <c r="O686">
        <v>7</v>
      </c>
      <c r="P686">
        <v>4</v>
      </c>
      <c r="Q686" t="s">
        <v>33</v>
      </c>
      <c r="R686" t="s">
        <v>174</v>
      </c>
      <c r="S686" s="3">
        <v>0</v>
      </c>
      <c r="T686" t="s">
        <v>69</v>
      </c>
      <c r="U686" t="s">
        <v>53</v>
      </c>
    </row>
    <row r="687" spans="1:21" ht="27.6">
      <c r="A687" t="s">
        <v>2294</v>
      </c>
      <c r="B687" t="s">
        <v>2295</v>
      </c>
      <c r="C687" t="s">
        <v>2296</v>
      </c>
      <c r="D687" s="2">
        <v>46109</v>
      </c>
      <c r="E687" t="s">
        <v>94</v>
      </c>
      <c r="F687" t="s">
        <v>73</v>
      </c>
      <c r="G687" s="3">
        <v>122.24</v>
      </c>
      <c r="H687" t="s">
        <v>49</v>
      </c>
      <c r="I687" t="s">
        <v>27</v>
      </c>
      <c r="J687" s="4" t="s">
        <v>75</v>
      </c>
      <c r="K687" t="s">
        <v>33</v>
      </c>
      <c r="L687" t="s">
        <v>60</v>
      </c>
      <c r="M687" t="s">
        <v>31</v>
      </c>
      <c r="N687" t="s">
        <v>32</v>
      </c>
      <c r="O687">
        <v>10</v>
      </c>
      <c r="P687">
        <v>17</v>
      </c>
      <c r="Q687" t="s">
        <v>29</v>
      </c>
      <c r="R687" t="s">
        <v>61</v>
      </c>
      <c r="S687" s="3">
        <v>122.24</v>
      </c>
      <c r="T687" t="s">
        <v>62</v>
      </c>
      <c r="U687" t="s">
        <v>63</v>
      </c>
    </row>
    <row r="688" spans="1:21" ht="27.6">
      <c r="A688" t="s">
        <v>2297</v>
      </c>
      <c r="B688" t="s">
        <v>2298</v>
      </c>
      <c r="C688" t="s">
        <v>2299</v>
      </c>
      <c r="D688" s="2">
        <v>46122</v>
      </c>
      <c r="E688" t="s">
        <v>94</v>
      </c>
      <c r="F688" t="s">
        <v>48</v>
      </c>
      <c r="G688" s="3">
        <v>44.17</v>
      </c>
      <c r="H688" t="s">
        <v>58</v>
      </c>
      <c r="I688" t="s">
        <v>50</v>
      </c>
      <c r="J688" s="4" t="s">
        <v>51</v>
      </c>
      <c r="K688" t="s">
        <v>29</v>
      </c>
      <c r="L688" t="s">
        <v>30</v>
      </c>
      <c r="M688" t="s">
        <v>31</v>
      </c>
      <c r="N688" t="s">
        <v>84</v>
      </c>
      <c r="O688">
        <v>10</v>
      </c>
      <c r="P688">
        <v>9</v>
      </c>
      <c r="Q688" t="s">
        <v>33</v>
      </c>
      <c r="R688" t="s">
        <v>34</v>
      </c>
      <c r="S688" s="3">
        <v>0</v>
      </c>
      <c r="T688" t="s">
        <v>69</v>
      </c>
      <c r="U688" t="s">
        <v>63</v>
      </c>
    </row>
    <row r="689" spans="1:21" ht="27.6">
      <c r="A689" t="s">
        <v>2300</v>
      </c>
      <c r="B689" t="s">
        <v>2301</v>
      </c>
      <c r="C689" t="s">
        <v>2302</v>
      </c>
      <c r="D689" s="2">
        <v>46093</v>
      </c>
      <c r="E689" t="s">
        <v>24</v>
      </c>
      <c r="F689" t="s">
        <v>118</v>
      </c>
      <c r="G689" s="3">
        <v>44.44</v>
      </c>
      <c r="H689" t="s">
        <v>108</v>
      </c>
      <c r="I689" t="s">
        <v>27</v>
      </c>
      <c r="J689" s="4" t="s">
        <v>2303</v>
      </c>
      <c r="K689" t="s">
        <v>29</v>
      </c>
      <c r="L689" t="s">
        <v>120</v>
      </c>
      <c r="M689" t="s">
        <v>96</v>
      </c>
      <c r="N689" t="s">
        <v>32</v>
      </c>
      <c r="O689">
        <v>5</v>
      </c>
      <c r="P689">
        <v>2</v>
      </c>
      <c r="Q689" t="s">
        <v>33</v>
      </c>
      <c r="R689" t="s">
        <v>85</v>
      </c>
      <c r="S689" s="3">
        <v>44.44</v>
      </c>
      <c r="T689" t="s">
        <v>121</v>
      </c>
      <c r="U689" t="s">
        <v>36</v>
      </c>
    </row>
    <row r="690" spans="1:21" ht="27.6">
      <c r="A690" t="s">
        <v>2304</v>
      </c>
      <c r="B690" t="s">
        <v>2305</v>
      </c>
      <c r="C690" t="s">
        <v>2306</v>
      </c>
      <c r="D690" s="2">
        <v>46168</v>
      </c>
      <c r="E690" t="s">
        <v>40</v>
      </c>
      <c r="F690" t="s">
        <v>57</v>
      </c>
      <c r="G690" s="3">
        <v>100.62</v>
      </c>
      <c r="H690" t="s">
        <v>26</v>
      </c>
      <c r="I690" t="s">
        <v>27</v>
      </c>
      <c r="J690" s="4" t="s">
        <v>155</v>
      </c>
      <c r="K690" t="s">
        <v>29</v>
      </c>
      <c r="L690" t="s">
        <v>60</v>
      </c>
      <c r="M690" t="s">
        <v>31</v>
      </c>
      <c r="N690" t="s">
        <v>32</v>
      </c>
      <c r="O690">
        <v>10</v>
      </c>
      <c r="P690">
        <v>5</v>
      </c>
      <c r="Q690" t="s">
        <v>33</v>
      </c>
      <c r="R690" t="s">
        <v>61</v>
      </c>
      <c r="S690" s="3">
        <v>50.31</v>
      </c>
      <c r="T690" t="s">
        <v>52</v>
      </c>
      <c r="U690" t="s">
        <v>63</v>
      </c>
    </row>
    <row r="691" spans="1:21" ht="27.6">
      <c r="A691" t="s">
        <v>2307</v>
      </c>
      <c r="B691" t="s">
        <v>2308</v>
      </c>
      <c r="C691" t="s">
        <v>2309</v>
      </c>
      <c r="D691" s="2">
        <v>46135</v>
      </c>
      <c r="E691" t="s">
        <v>24</v>
      </c>
      <c r="F691" t="s">
        <v>57</v>
      </c>
      <c r="G691" s="3">
        <v>9.3000000000000007</v>
      </c>
      <c r="H691" t="s">
        <v>74</v>
      </c>
      <c r="I691" t="s">
        <v>67</v>
      </c>
      <c r="J691" s="4" t="s">
        <v>155</v>
      </c>
      <c r="K691" t="s">
        <v>29</v>
      </c>
      <c r="L691" t="s">
        <v>60</v>
      </c>
      <c r="M691" t="s">
        <v>31</v>
      </c>
      <c r="N691" t="s">
        <v>32</v>
      </c>
      <c r="O691">
        <v>10</v>
      </c>
      <c r="P691">
        <v>11</v>
      </c>
      <c r="Q691" t="s">
        <v>29</v>
      </c>
      <c r="R691" t="s">
        <v>61</v>
      </c>
      <c r="S691" s="3">
        <v>9.3000000000000007</v>
      </c>
      <c r="T691" t="s">
        <v>156</v>
      </c>
      <c r="U691" t="s">
        <v>63</v>
      </c>
    </row>
    <row r="692" spans="1:21" ht="27.6">
      <c r="A692" t="s">
        <v>2310</v>
      </c>
      <c r="B692" t="s">
        <v>2311</v>
      </c>
      <c r="C692" t="s">
        <v>2312</v>
      </c>
      <c r="D692" s="2">
        <v>46164</v>
      </c>
      <c r="E692" t="s">
        <v>40</v>
      </c>
      <c r="F692" t="s">
        <v>25</v>
      </c>
      <c r="G692" s="3">
        <v>61.7</v>
      </c>
      <c r="H692" t="s">
        <v>41</v>
      </c>
      <c r="I692" t="s">
        <v>27</v>
      </c>
      <c r="J692" s="4" t="s">
        <v>42</v>
      </c>
      <c r="K692" t="s">
        <v>33</v>
      </c>
      <c r="L692" t="s">
        <v>30</v>
      </c>
      <c r="M692" t="s">
        <v>31</v>
      </c>
      <c r="N692" t="s">
        <v>32</v>
      </c>
      <c r="O692">
        <v>5</v>
      </c>
      <c r="P692">
        <v>8</v>
      </c>
      <c r="Q692" t="s">
        <v>29</v>
      </c>
      <c r="R692" t="s">
        <v>34</v>
      </c>
      <c r="S692" s="3">
        <v>61.7</v>
      </c>
      <c r="T692" t="s">
        <v>43</v>
      </c>
      <c r="U692" t="s">
        <v>63</v>
      </c>
    </row>
    <row r="693" spans="1:21" ht="27.6">
      <c r="A693" t="s">
        <v>2313</v>
      </c>
      <c r="B693" t="s">
        <v>2314</v>
      </c>
      <c r="C693" t="s">
        <v>2315</v>
      </c>
      <c r="D693" s="2">
        <v>46042</v>
      </c>
      <c r="E693" t="s">
        <v>24</v>
      </c>
      <c r="F693" t="s">
        <v>118</v>
      </c>
      <c r="G693" s="3">
        <v>14.04</v>
      </c>
      <c r="H693" t="s">
        <v>108</v>
      </c>
      <c r="I693" t="s">
        <v>27</v>
      </c>
      <c r="J693" s="4" t="s">
        <v>119</v>
      </c>
      <c r="K693" t="s">
        <v>29</v>
      </c>
      <c r="L693" t="s">
        <v>120</v>
      </c>
      <c r="M693" t="s">
        <v>96</v>
      </c>
      <c r="N693" t="s">
        <v>32</v>
      </c>
      <c r="O693">
        <v>5</v>
      </c>
      <c r="P693">
        <v>2</v>
      </c>
      <c r="Q693" t="s">
        <v>33</v>
      </c>
      <c r="R693" t="s">
        <v>85</v>
      </c>
      <c r="S693" s="3">
        <v>14.04</v>
      </c>
      <c r="T693" t="s">
        <v>121</v>
      </c>
      <c r="U693" t="s">
        <v>53</v>
      </c>
    </row>
    <row r="694" spans="1:21" ht="27.6">
      <c r="A694" t="s">
        <v>2316</v>
      </c>
      <c r="B694" t="s">
        <v>2317</v>
      </c>
      <c r="C694" t="s">
        <v>2318</v>
      </c>
      <c r="D694" s="2">
        <v>46127</v>
      </c>
      <c r="E694" t="s">
        <v>94</v>
      </c>
      <c r="F694" t="s">
        <v>82</v>
      </c>
      <c r="G694" s="3">
        <v>100.89</v>
      </c>
      <c r="H694" t="s">
        <v>26</v>
      </c>
      <c r="I694" t="s">
        <v>27</v>
      </c>
      <c r="J694" s="4" t="s">
        <v>114</v>
      </c>
      <c r="K694" t="s">
        <v>29</v>
      </c>
      <c r="L694" t="s">
        <v>30</v>
      </c>
      <c r="M694" t="s">
        <v>31</v>
      </c>
      <c r="N694" t="s">
        <v>32</v>
      </c>
      <c r="O694">
        <v>7</v>
      </c>
      <c r="P694">
        <v>6</v>
      </c>
      <c r="Q694" t="s">
        <v>33</v>
      </c>
      <c r="R694" t="s">
        <v>85</v>
      </c>
      <c r="S694" s="3">
        <v>0</v>
      </c>
      <c r="T694" t="s">
        <v>43</v>
      </c>
      <c r="U694" t="s">
        <v>36</v>
      </c>
    </row>
    <row r="695" spans="1:21" ht="27.6">
      <c r="A695" t="s">
        <v>2319</v>
      </c>
      <c r="B695" t="s">
        <v>2320</v>
      </c>
      <c r="C695" t="s">
        <v>2321</v>
      </c>
      <c r="D695" s="2">
        <v>46172</v>
      </c>
      <c r="E695" t="s">
        <v>24</v>
      </c>
      <c r="F695" t="s">
        <v>103</v>
      </c>
      <c r="G695" s="3">
        <v>91.74</v>
      </c>
      <c r="H695" t="s">
        <v>89</v>
      </c>
      <c r="I695" t="s">
        <v>67</v>
      </c>
      <c r="J695" s="4" t="s">
        <v>104</v>
      </c>
      <c r="K695" t="s">
        <v>29</v>
      </c>
      <c r="L695" t="s">
        <v>30</v>
      </c>
      <c r="M695" t="s">
        <v>31</v>
      </c>
      <c r="N695" t="s">
        <v>32</v>
      </c>
      <c r="O695">
        <v>5</v>
      </c>
      <c r="P695">
        <v>5</v>
      </c>
      <c r="Q695" t="s">
        <v>33</v>
      </c>
      <c r="R695" t="s">
        <v>34</v>
      </c>
      <c r="S695" s="3">
        <v>91.74</v>
      </c>
      <c r="T695" t="s">
        <v>247</v>
      </c>
      <c r="U695" t="s">
        <v>53</v>
      </c>
    </row>
    <row r="696" spans="1:21" ht="27.6">
      <c r="A696" t="s">
        <v>2322</v>
      </c>
      <c r="B696" t="s">
        <v>2323</v>
      </c>
      <c r="C696" t="s">
        <v>2324</v>
      </c>
      <c r="D696" s="2">
        <v>46135</v>
      </c>
      <c r="E696" t="s">
        <v>24</v>
      </c>
      <c r="F696" t="s">
        <v>25</v>
      </c>
      <c r="G696" s="3">
        <v>138.9</v>
      </c>
      <c r="H696" t="s">
        <v>41</v>
      </c>
      <c r="I696" t="s">
        <v>27</v>
      </c>
      <c r="J696" s="4" t="s">
        <v>2325</v>
      </c>
      <c r="K696" t="s">
        <v>33</v>
      </c>
      <c r="L696" t="s">
        <v>30</v>
      </c>
      <c r="M696" t="s">
        <v>31</v>
      </c>
      <c r="N696" t="s">
        <v>126</v>
      </c>
      <c r="O696">
        <v>5</v>
      </c>
      <c r="P696">
        <v>9</v>
      </c>
      <c r="Q696" t="s">
        <v>29</v>
      </c>
      <c r="R696" t="s">
        <v>34</v>
      </c>
      <c r="S696" s="3">
        <v>0</v>
      </c>
      <c r="T696" t="s">
        <v>43</v>
      </c>
      <c r="U696" t="s">
        <v>63</v>
      </c>
    </row>
    <row r="697" spans="1:21" ht="27.6">
      <c r="A697" t="s">
        <v>2326</v>
      </c>
      <c r="B697" t="s">
        <v>2327</v>
      </c>
      <c r="C697" t="s">
        <v>2328</v>
      </c>
      <c r="D697" s="2">
        <v>46127</v>
      </c>
      <c r="E697" t="s">
        <v>24</v>
      </c>
      <c r="F697" t="s">
        <v>82</v>
      </c>
      <c r="G697" s="3">
        <v>44.54</v>
      </c>
      <c r="H697" t="s">
        <v>58</v>
      </c>
      <c r="I697" t="s">
        <v>50</v>
      </c>
      <c r="J697" s="4" t="s">
        <v>114</v>
      </c>
      <c r="K697" t="s">
        <v>29</v>
      </c>
      <c r="L697" t="s">
        <v>30</v>
      </c>
      <c r="M697" t="s">
        <v>31</v>
      </c>
      <c r="N697" t="s">
        <v>32</v>
      </c>
      <c r="O697">
        <v>7</v>
      </c>
      <c r="P697">
        <v>8</v>
      </c>
      <c r="Q697" t="s">
        <v>29</v>
      </c>
      <c r="R697" t="s">
        <v>85</v>
      </c>
      <c r="S697" s="3">
        <v>0</v>
      </c>
      <c r="T697" t="s">
        <v>69</v>
      </c>
      <c r="U697" t="s">
        <v>63</v>
      </c>
    </row>
    <row r="698" spans="1:21" ht="27.6">
      <c r="A698" t="s">
        <v>2329</v>
      </c>
      <c r="B698" t="s">
        <v>2330</v>
      </c>
      <c r="C698" t="s">
        <v>2331</v>
      </c>
      <c r="D698" s="2">
        <v>46127</v>
      </c>
      <c r="E698" t="s">
        <v>40</v>
      </c>
      <c r="F698" t="s">
        <v>172</v>
      </c>
      <c r="G698" s="3">
        <v>85.96</v>
      </c>
      <c r="H698" t="s">
        <v>41</v>
      </c>
      <c r="I698" t="s">
        <v>27</v>
      </c>
      <c r="J698" s="4" t="s">
        <v>173</v>
      </c>
      <c r="K698" t="s">
        <v>29</v>
      </c>
      <c r="L698" t="s">
        <v>30</v>
      </c>
      <c r="M698" t="s">
        <v>31</v>
      </c>
      <c r="N698" t="s">
        <v>32</v>
      </c>
      <c r="O698">
        <v>7</v>
      </c>
      <c r="P698">
        <v>6</v>
      </c>
      <c r="Q698" t="s">
        <v>33</v>
      </c>
      <c r="R698" t="s">
        <v>174</v>
      </c>
      <c r="S698" s="3">
        <v>0</v>
      </c>
      <c r="T698" t="s">
        <v>286</v>
      </c>
      <c r="U698" t="s">
        <v>53</v>
      </c>
    </row>
    <row r="699" spans="1:21" ht="27.6">
      <c r="A699" t="s">
        <v>2332</v>
      </c>
      <c r="B699" t="s">
        <v>2333</v>
      </c>
      <c r="C699" t="s">
        <v>2334</v>
      </c>
      <c r="D699" s="2">
        <v>46065</v>
      </c>
      <c r="E699" t="s">
        <v>24</v>
      </c>
      <c r="F699" t="s">
        <v>118</v>
      </c>
      <c r="G699" s="3">
        <v>126.34</v>
      </c>
      <c r="H699" t="s">
        <v>58</v>
      </c>
      <c r="I699" t="s">
        <v>27</v>
      </c>
      <c r="J699" s="4" t="s">
        <v>2335</v>
      </c>
      <c r="K699" t="s">
        <v>33</v>
      </c>
      <c r="L699" t="s">
        <v>30</v>
      </c>
      <c r="M699" t="s">
        <v>31</v>
      </c>
      <c r="N699" t="s">
        <v>84</v>
      </c>
      <c r="O699">
        <v>5</v>
      </c>
      <c r="P699">
        <v>8</v>
      </c>
      <c r="Q699" t="s">
        <v>29</v>
      </c>
      <c r="R699" t="s">
        <v>85</v>
      </c>
      <c r="S699" s="3">
        <v>0</v>
      </c>
      <c r="T699" t="s">
        <v>121</v>
      </c>
      <c r="U699" t="s">
        <v>63</v>
      </c>
    </row>
    <row r="700" spans="1:21" ht="27.6">
      <c r="A700" t="s">
        <v>2336</v>
      </c>
      <c r="B700" t="s">
        <v>2337</v>
      </c>
      <c r="C700" t="s">
        <v>2338</v>
      </c>
      <c r="D700" s="2">
        <v>46154</v>
      </c>
      <c r="E700" t="s">
        <v>94</v>
      </c>
      <c r="F700" t="s">
        <v>73</v>
      </c>
      <c r="G700" s="3">
        <v>100.79</v>
      </c>
      <c r="H700" t="s">
        <v>108</v>
      </c>
      <c r="I700" t="s">
        <v>50</v>
      </c>
      <c r="J700" s="4" t="s">
        <v>75</v>
      </c>
      <c r="K700" t="s">
        <v>33</v>
      </c>
      <c r="L700" t="s">
        <v>60</v>
      </c>
      <c r="M700" t="s">
        <v>31</v>
      </c>
      <c r="N700" t="s">
        <v>126</v>
      </c>
      <c r="O700">
        <v>10</v>
      </c>
      <c r="P700">
        <v>15</v>
      </c>
      <c r="Q700" t="s">
        <v>29</v>
      </c>
      <c r="R700" t="s">
        <v>61</v>
      </c>
      <c r="S700" s="3">
        <v>0</v>
      </c>
      <c r="T700" t="s">
        <v>52</v>
      </c>
      <c r="U700" t="s">
        <v>63</v>
      </c>
    </row>
    <row r="701" spans="1:21" ht="27.6">
      <c r="A701" t="s">
        <v>2339</v>
      </c>
      <c r="B701" t="s">
        <v>2340</v>
      </c>
      <c r="C701" t="s">
        <v>2341</v>
      </c>
      <c r="D701" s="2">
        <v>46113</v>
      </c>
      <c r="E701" t="s">
        <v>94</v>
      </c>
      <c r="F701" t="s">
        <v>73</v>
      </c>
      <c r="G701" s="3">
        <v>84.41</v>
      </c>
      <c r="H701" t="s">
        <v>108</v>
      </c>
      <c r="I701" t="s">
        <v>27</v>
      </c>
      <c r="J701" s="4" t="s">
        <v>75</v>
      </c>
      <c r="K701" t="s">
        <v>29</v>
      </c>
      <c r="L701" t="s">
        <v>60</v>
      </c>
      <c r="M701" t="s">
        <v>31</v>
      </c>
      <c r="N701" t="s">
        <v>32</v>
      </c>
      <c r="O701">
        <v>10</v>
      </c>
      <c r="P701">
        <v>15</v>
      </c>
      <c r="Q701" t="s">
        <v>29</v>
      </c>
      <c r="R701" t="s">
        <v>61</v>
      </c>
      <c r="S701" s="3">
        <v>0</v>
      </c>
      <c r="T701" t="s">
        <v>156</v>
      </c>
      <c r="U701" t="s">
        <v>63</v>
      </c>
    </row>
    <row r="702" spans="1:21" ht="27.6">
      <c r="A702" t="s">
        <v>2342</v>
      </c>
      <c r="B702" t="s">
        <v>2343</v>
      </c>
      <c r="C702" t="s">
        <v>2344</v>
      </c>
      <c r="D702" s="2">
        <v>46117</v>
      </c>
      <c r="E702" t="s">
        <v>40</v>
      </c>
      <c r="F702" t="s">
        <v>82</v>
      </c>
      <c r="G702" s="3">
        <v>29.43</v>
      </c>
      <c r="H702" t="s">
        <v>58</v>
      </c>
      <c r="I702" t="s">
        <v>50</v>
      </c>
      <c r="J702" s="4" t="s">
        <v>2345</v>
      </c>
      <c r="K702" t="s">
        <v>33</v>
      </c>
      <c r="L702" t="s">
        <v>30</v>
      </c>
      <c r="M702" t="s">
        <v>31</v>
      </c>
      <c r="N702" t="s">
        <v>32</v>
      </c>
      <c r="O702">
        <v>7</v>
      </c>
      <c r="P702">
        <v>9</v>
      </c>
      <c r="Q702" t="s">
        <v>29</v>
      </c>
      <c r="R702" t="s">
        <v>85</v>
      </c>
      <c r="S702" s="3">
        <v>29.43</v>
      </c>
      <c r="T702" t="s">
        <v>43</v>
      </c>
      <c r="U702" t="s">
        <v>63</v>
      </c>
    </row>
    <row r="703" spans="1:21" ht="27.6">
      <c r="A703" t="s">
        <v>2346</v>
      </c>
      <c r="B703" t="s">
        <v>2347</v>
      </c>
      <c r="C703" t="s">
        <v>2348</v>
      </c>
      <c r="D703" s="2">
        <v>46121</v>
      </c>
      <c r="E703" t="s">
        <v>24</v>
      </c>
      <c r="F703" t="s">
        <v>25</v>
      </c>
      <c r="G703" s="3">
        <v>16.82</v>
      </c>
      <c r="H703" t="s">
        <v>89</v>
      </c>
      <c r="I703" t="s">
        <v>67</v>
      </c>
      <c r="J703" s="4" t="s">
        <v>42</v>
      </c>
      <c r="K703" t="s">
        <v>29</v>
      </c>
      <c r="L703" t="s">
        <v>30</v>
      </c>
      <c r="M703" t="s">
        <v>31</v>
      </c>
      <c r="N703" t="s">
        <v>32</v>
      </c>
      <c r="O703">
        <v>5</v>
      </c>
      <c r="P703">
        <v>9</v>
      </c>
      <c r="Q703" t="s">
        <v>29</v>
      </c>
      <c r="R703" t="s">
        <v>34</v>
      </c>
      <c r="S703" s="3">
        <v>12.62</v>
      </c>
      <c r="T703" t="s">
        <v>43</v>
      </c>
      <c r="U703" t="s">
        <v>63</v>
      </c>
    </row>
    <row r="704" spans="1:21" ht="27.6">
      <c r="A704" t="s">
        <v>2349</v>
      </c>
      <c r="B704" t="s">
        <v>2350</v>
      </c>
      <c r="C704" t="s">
        <v>2351</v>
      </c>
      <c r="D704" s="2">
        <v>46066</v>
      </c>
      <c r="E704" t="s">
        <v>24</v>
      </c>
      <c r="F704" t="s">
        <v>73</v>
      </c>
      <c r="G704" s="3">
        <v>20.91</v>
      </c>
      <c r="H704" t="s">
        <v>49</v>
      </c>
      <c r="I704" t="s">
        <v>50</v>
      </c>
      <c r="J704" s="4" t="s">
        <v>389</v>
      </c>
      <c r="K704" t="s">
        <v>29</v>
      </c>
      <c r="L704" t="s">
        <v>60</v>
      </c>
      <c r="M704" t="s">
        <v>31</v>
      </c>
      <c r="N704" t="s">
        <v>32</v>
      </c>
      <c r="O704">
        <v>10</v>
      </c>
      <c r="P704">
        <v>17</v>
      </c>
      <c r="Q704" t="s">
        <v>29</v>
      </c>
      <c r="R704" t="s">
        <v>61</v>
      </c>
      <c r="S704" s="3">
        <v>10.46</v>
      </c>
      <c r="T704" t="s">
        <v>62</v>
      </c>
      <c r="U704" t="s">
        <v>63</v>
      </c>
    </row>
    <row r="705" spans="1:21" ht="27.6">
      <c r="A705" t="s">
        <v>2352</v>
      </c>
      <c r="B705" t="s">
        <v>2353</v>
      </c>
      <c r="C705" t="s">
        <v>2354</v>
      </c>
      <c r="D705" s="2">
        <v>46169</v>
      </c>
      <c r="E705" t="s">
        <v>47</v>
      </c>
      <c r="F705" t="s">
        <v>82</v>
      </c>
      <c r="G705" s="3">
        <v>14.91</v>
      </c>
      <c r="H705" t="s">
        <v>26</v>
      </c>
      <c r="I705" t="s">
        <v>50</v>
      </c>
      <c r="J705" s="4" t="s">
        <v>114</v>
      </c>
      <c r="K705" t="s">
        <v>33</v>
      </c>
      <c r="L705" t="s">
        <v>30</v>
      </c>
      <c r="M705" t="s">
        <v>31</v>
      </c>
      <c r="N705" t="s">
        <v>32</v>
      </c>
      <c r="O705">
        <v>7</v>
      </c>
      <c r="P705">
        <v>4</v>
      </c>
      <c r="Q705" t="s">
        <v>33</v>
      </c>
      <c r="R705" t="s">
        <v>85</v>
      </c>
      <c r="S705" s="3">
        <v>11.18</v>
      </c>
      <c r="T705" t="s">
        <v>43</v>
      </c>
      <c r="U705" t="s">
        <v>53</v>
      </c>
    </row>
    <row r="706" spans="1:21" ht="27.6">
      <c r="A706" t="s">
        <v>2355</v>
      </c>
      <c r="B706" t="s">
        <v>2356</v>
      </c>
      <c r="C706" t="s">
        <v>2357</v>
      </c>
      <c r="D706" s="2">
        <v>46052</v>
      </c>
      <c r="E706" t="s">
        <v>94</v>
      </c>
      <c r="F706" t="s">
        <v>57</v>
      </c>
      <c r="G706" s="3">
        <v>63.95</v>
      </c>
      <c r="H706" t="s">
        <v>26</v>
      </c>
      <c r="I706" t="s">
        <v>27</v>
      </c>
      <c r="J706" s="4" t="s">
        <v>155</v>
      </c>
      <c r="K706" t="s">
        <v>29</v>
      </c>
      <c r="L706" t="s">
        <v>60</v>
      </c>
      <c r="M706" t="s">
        <v>31</v>
      </c>
      <c r="N706" t="s">
        <v>32</v>
      </c>
      <c r="O706">
        <v>10</v>
      </c>
      <c r="P706">
        <v>6</v>
      </c>
      <c r="Q706" t="s">
        <v>33</v>
      </c>
      <c r="R706" t="s">
        <v>61</v>
      </c>
      <c r="S706" s="3">
        <v>63.95</v>
      </c>
      <c r="T706" t="s">
        <v>52</v>
      </c>
      <c r="U706" t="s">
        <v>63</v>
      </c>
    </row>
    <row r="707" spans="1:21" ht="27.6">
      <c r="A707" t="s">
        <v>2358</v>
      </c>
      <c r="B707" t="s">
        <v>2359</v>
      </c>
      <c r="C707" t="s">
        <v>2360</v>
      </c>
      <c r="D707" s="2">
        <v>46048</v>
      </c>
      <c r="E707" t="s">
        <v>94</v>
      </c>
      <c r="F707" t="s">
        <v>57</v>
      </c>
      <c r="G707" s="3">
        <v>7.55</v>
      </c>
      <c r="H707" t="s">
        <v>58</v>
      </c>
      <c r="I707" t="s">
        <v>67</v>
      </c>
      <c r="J707" s="4" t="s">
        <v>155</v>
      </c>
      <c r="K707" t="s">
        <v>29</v>
      </c>
      <c r="L707" t="s">
        <v>60</v>
      </c>
      <c r="M707" t="s">
        <v>31</v>
      </c>
      <c r="N707" t="s">
        <v>32</v>
      </c>
      <c r="O707">
        <v>10</v>
      </c>
      <c r="P707">
        <v>12</v>
      </c>
      <c r="Q707" t="s">
        <v>29</v>
      </c>
      <c r="R707" t="s">
        <v>61</v>
      </c>
      <c r="S707" s="3">
        <v>7.55</v>
      </c>
      <c r="T707" t="s">
        <v>62</v>
      </c>
      <c r="U707" t="s">
        <v>63</v>
      </c>
    </row>
    <row r="708" spans="1:21" ht="27.6">
      <c r="A708" t="s">
        <v>2361</v>
      </c>
      <c r="B708" t="s">
        <v>2362</v>
      </c>
      <c r="C708" t="s">
        <v>2363</v>
      </c>
      <c r="D708" s="2">
        <v>46073</v>
      </c>
      <c r="E708" t="s">
        <v>24</v>
      </c>
      <c r="F708" t="s">
        <v>25</v>
      </c>
      <c r="G708" s="3">
        <v>225.38</v>
      </c>
      <c r="H708" t="s">
        <v>41</v>
      </c>
      <c r="I708" t="s">
        <v>27</v>
      </c>
      <c r="J708" s="4" t="s">
        <v>42</v>
      </c>
      <c r="K708" t="s">
        <v>29</v>
      </c>
      <c r="L708" t="s">
        <v>30</v>
      </c>
      <c r="M708" t="s">
        <v>31</v>
      </c>
      <c r="N708" t="s">
        <v>32</v>
      </c>
      <c r="O708">
        <v>5</v>
      </c>
      <c r="P708">
        <v>11</v>
      </c>
      <c r="Q708" t="s">
        <v>29</v>
      </c>
      <c r="R708" t="s">
        <v>34</v>
      </c>
      <c r="S708" s="3">
        <v>112.69</v>
      </c>
      <c r="T708" t="s">
        <v>110</v>
      </c>
      <c r="U708" t="s">
        <v>63</v>
      </c>
    </row>
    <row r="709" spans="1:21" ht="27.6">
      <c r="A709" t="s">
        <v>2364</v>
      </c>
      <c r="B709" t="s">
        <v>2365</v>
      </c>
      <c r="C709" t="s">
        <v>2366</v>
      </c>
      <c r="D709" s="2">
        <v>46068</v>
      </c>
      <c r="E709" t="s">
        <v>24</v>
      </c>
      <c r="F709" t="s">
        <v>103</v>
      </c>
      <c r="G709" s="3">
        <v>63.31</v>
      </c>
      <c r="H709" t="s">
        <v>74</v>
      </c>
      <c r="I709" t="s">
        <v>50</v>
      </c>
      <c r="J709" s="4" t="s">
        <v>104</v>
      </c>
      <c r="K709" t="s">
        <v>29</v>
      </c>
      <c r="L709" t="s">
        <v>30</v>
      </c>
      <c r="M709" t="s">
        <v>31</v>
      </c>
      <c r="N709" t="s">
        <v>84</v>
      </c>
      <c r="O709">
        <v>5</v>
      </c>
      <c r="P709">
        <v>4</v>
      </c>
      <c r="Q709" t="s">
        <v>33</v>
      </c>
      <c r="R709" t="s">
        <v>34</v>
      </c>
      <c r="S709" s="3">
        <v>0</v>
      </c>
      <c r="T709" t="s">
        <v>35</v>
      </c>
      <c r="U709" t="s">
        <v>36</v>
      </c>
    </row>
    <row r="710" spans="1:21" ht="27.6">
      <c r="A710" t="s">
        <v>2367</v>
      </c>
      <c r="B710" t="s">
        <v>821</v>
      </c>
      <c r="C710" t="s">
        <v>2368</v>
      </c>
      <c r="D710" s="2">
        <v>46123</v>
      </c>
      <c r="E710" t="s">
        <v>47</v>
      </c>
      <c r="F710" t="s">
        <v>172</v>
      </c>
      <c r="G710" s="3">
        <v>27.61</v>
      </c>
      <c r="H710" t="s">
        <v>49</v>
      </c>
      <c r="I710" t="s">
        <v>50</v>
      </c>
      <c r="J710" s="4" t="s">
        <v>285</v>
      </c>
      <c r="K710" t="s">
        <v>29</v>
      </c>
      <c r="L710" t="s">
        <v>30</v>
      </c>
      <c r="M710" t="s">
        <v>31</v>
      </c>
      <c r="N710" t="s">
        <v>32</v>
      </c>
      <c r="O710">
        <v>7</v>
      </c>
      <c r="P710">
        <v>5</v>
      </c>
      <c r="Q710" t="s">
        <v>33</v>
      </c>
      <c r="R710" t="s">
        <v>174</v>
      </c>
      <c r="S710" s="3">
        <v>20.71</v>
      </c>
      <c r="T710" t="s">
        <v>286</v>
      </c>
      <c r="U710" t="s">
        <v>53</v>
      </c>
    </row>
    <row r="711" spans="1:21" ht="27.6">
      <c r="A711" t="s">
        <v>2369</v>
      </c>
      <c r="B711" t="s">
        <v>2370</v>
      </c>
      <c r="C711" t="s">
        <v>2371</v>
      </c>
      <c r="D711" s="2">
        <v>46055</v>
      </c>
      <c r="E711" t="s">
        <v>40</v>
      </c>
      <c r="F711" t="s">
        <v>82</v>
      </c>
      <c r="G711" s="3">
        <v>96.53</v>
      </c>
      <c r="H711" t="s">
        <v>108</v>
      </c>
      <c r="I711" t="s">
        <v>50</v>
      </c>
      <c r="J711" s="4" t="s">
        <v>2372</v>
      </c>
      <c r="K711" t="s">
        <v>29</v>
      </c>
      <c r="L711" t="s">
        <v>30</v>
      </c>
      <c r="M711" t="s">
        <v>31</v>
      </c>
      <c r="N711" t="s">
        <v>32</v>
      </c>
      <c r="O711">
        <v>7</v>
      </c>
      <c r="P711">
        <v>9</v>
      </c>
      <c r="Q711" t="s">
        <v>29</v>
      </c>
      <c r="R711" t="s">
        <v>85</v>
      </c>
      <c r="S711" s="3">
        <v>0</v>
      </c>
      <c r="T711" t="s">
        <v>69</v>
      </c>
      <c r="U711" t="s">
        <v>63</v>
      </c>
    </row>
    <row r="712" spans="1:21" ht="27.6">
      <c r="A712" t="s">
        <v>2373</v>
      </c>
      <c r="B712" t="s">
        <v>2374</v>
      </c>
      <c r="C712" t="s">
        <v>2375</v>
      </c>
      <c r="D712" s="2">
        <v>46105</v>
      </c>
      <c r="E712" t="s">
        <v>24</v>
      </c>
      <c r="F712" t="s">
        <v>118</v>
      </c>
      <c r="G712" s="3">
        <v>30.45</v>
      </c>
      <c r="H712" t="s">
        <v>108</v>
      </c>
      <c r="I712" t="s">
        <v>27</v>
      </c>
      <c r="J712" s="4" t="s">
        <v>119</v>
      </c>
      <c r="K712" t="s">
        <v>29</v>
      </c>
      <c r="L712" t="s">
        <v>120</v>
      </c>
      <c r="M712" t="s">
        <v>96</v>
      </c>
      <c r="N712" t="s">
        <v>32</v>
      </c>
      <c r="O712">
        <v>5</v>
      </c>
      <c r="P712">
        <v>1</v>
      </c>
      <c r="Q712" t="s">
        <v>33</v>
      </c>
      <c r="R712" t="s">
        <v>85</v>
      </c>
      <c r="S712" s="3">
        <v>30.45</v>
      </c>
      <c r="T712" t="s">
        <v>121</v>
      </c>
      <c r="U712" t="s">
        <v>53</v>
      </c>
    </row>
    <row r="713" spans="1:21" ht="27.6">
      <c r="A713" t="s">
        <v>2376</v>
      </c>
      <c r="B713" t="s">
        <v>2377</v>
      </c>
      <c r="C713" t="s">
        <v>2378</v>
      </c>
      <c r="D713" s="2">
        <v>46079</v>
      </c>
      <c r="E713" t="s">
        <v>47</v>
      </c>
      <c r="F713" t="s">
        <v>25</v>
      </c>
      <c r="G713" s="3">
        <v>12.89</v>
      </c>
      <c r="H713" t="s">
        <v>89</v>
      </c>
      <c r="I713" t="s">
        <v>50</v>
      </c>
      <c r="J713" s="4" t="s">
        <v>2379</v>
      </c>
      <c r="K713" t="s">
        <v>29</v>
      </c>
      <c r="L713" t="s">
        <v>30</v>
      </c>
      <c r="M713" t="s">
        <v>96</v>
      </c>
      <c r="N713" t="s">
        <v>32</v>
      </c>
      <c r="O713">
        <v>5</v>
      </c>
      <c r="P713">
        <v>6</v>
      </c>
      <c r="Q713" t="s">
        <v>29</v>
      </c>
      <c r="R713" t="s">
        <v>34</v>
      </c>
      <c r="S713" s="3">
        <v>12.89</v>
      </c>
      <c r="T713" t="s">
        <v>35</v>
      </c>
      <c r="U713" t="s">
        <v>63</v>
      </c>
    </row>
    <row r="714" spans="1:21" ht="27.6">
      <c r="A714" t="s">
        <v>2380</v>
      </c>
      <c r="B714" t="s">
        <v>2381</v>
      </c>
      <c r="C714" t="s">
        <v>2382</v>
      </c>
      <c r="D714" s="2">
        <v>46108</v>
      </c>
      <c r="E714" t="s">
        <v>94</v>
      </c>
      <c r="F714" t="s">
        <v>57</v>
      </c>
      <c r="G714" s="3">
        <v>50.58</v>
      </c>
      <c r="H714" t="s">
        <v>89</v>
      </c>
      <c r="I714" t="s">
        <v>27</v>
      </c>
      <c r="J714" s="4" t="s">
        <v>155</v>
      </c>
      <c r="K714" t="s">
        <v>29</v>
      </c>
      <c r="L714" t="s">
        <v>60</v>
      </c>
      <c r="M714" t="s">
        <v>31</v>
      </c>
      <c r="N714" t="s">
        <v>32</v>
      </c>
      <c r="O714">
        <v>10</v>
      </c>
      <c r="P714">
        <v>12</v>
      </c>
      <c r="Q714" t="s">
        <v>29</v>
      </c>
      <c r="R714" t="s">
        <v>61</v>
      </c>
      <c r="S714" s="3">
        <v>25.29</v>
      </c>
      <c r="T714" t="s">
        <v>156</v>
      </c>
      <c r="U714" t="s">
        <v>63</v>
      </c>
    </row>
    <row r="715" spans="1:21" ht="27.6">
      <c r="A715" t="s">
        <v>2383</v>
      </c>
      <c r="B715" t="s">
        <v>2384</v>
      </c>
      <c r="C715" t="s">
        <v>2385</v>
      </c>
      <c r="D715" s="2">
        <v>46078</v>
      </c>
      <c r="E715" t="s">
        <v>47</v>
      </c>
      <c r="F715" t="s">
        <v>118</v>
      </c>
      <c r="G715" s="3">
        <v>88.75</v>
      </c>
      <c r="H715" t="s">
        <v>89</v>
      </c>
      <c r="I715" t="s">
        <v>27</v>
      </c>
      <c r="J715" s="4" t="s">
        <v>2386</v>
      </c>
      <c r="K715" t="s">
        <v>29</v>
      </c>
      <c r="L715" t="s">
        <v>120</v>
      </c>
      <c r="M715" t="s">
        <v>96</v>
      </c>
      <c r="N715" t="s">
        <v>32</v>
      </c>
      <c r="O715">
        <v>5</v>
      </c>
      <c r="P715">
        <v>1</v>
      </c>
      <c r="Q715" t="s">
        <v>33</v>
      </c>
      <c r="R715" t="s">
        <v>85</v>
      </c>
      <c r="S715" s="3">
        <v>88.75</v>
      </c>
      <c r="T715" t="s">
        <v>121</v>
      </c>
      <c r="U715" t="s">
        <v>36</v>
      </c>
    </row>
    <row r="716" spans="1:21" ht="27.6">
      <c r="A716" t="s">
        <v>2387</v>
      </c>
      <c r="B716" t="s">
        <v>2388</v>
      </c>
      <c r="C716" t="s">
        <v>2389</v>
      </c>
      <c r="D716" s="2">
        <v>46086</v>
      </c>
      <c r="E716" t="s">
        <v>24</v>
      </c>
      <c r="F716" t="s">
        <v>103</v>
      </c>
      <c r="G716" s="3">
        <v>84.23</v>
      </c>
      <c r="H716" t="s">
        <v>108</v>
      </c>
      <c r="I716" t="s">
        <v>27</v>
      </c>
      <c r="J716" s="4" t="s">
        <v>104</v>
      </c>
      <c r="K716" t="s">
        <v>33</v>
      </c>
      <c r="L716" t="s">
        <v>30</v>
      </c>
      <c r="M716" t="s">
        <v>31</v>
      </c>
      <c r="N716" t="s">
        <v>32</v>
      </c>
      <c r="O716">
        <v>5</v>
      </c>
      <c r="P716">
        <v>9</v>
      </c>
      <c r="Q716" t="s">
        <v>29</v>
      </c>
      <c r="R716" t="s">
        <v>34</v>
      </c>
      <c r="S716" s="3">
        <v>0</v>
      </c>
      <c r="T716" t="s">
        <v>247</v>
      </c>
      <c r="U716" t="s">
        <v>63</v>
      </c>
    </row>
    <row r="717" spans="1:21" ht="27.6">
      <c r="A717" t="s">
        <v>2390</v>
      </c>
      <c r="B717" t="s">
        <v>2391</v>
      </c>
      <c r="C717" t="s">
        <v>2392</v>
      </c>
      <c r="D717" s="2">
        <v>46161</v>
      </c>
      <c r="E717" t="s">
        <v>47</v>
      </c>
      <c r="F717" t="s">
        <v>25</v>
      </c>
      <c r="G717" s="3">
        <v>212.42</v>
      </c>
      <c r="H717" t="s">
        <v>74</v>
      </c>
      <c r="I717" t="s">
        <v>67</v>
      </c>
      <c r="J717" s="4" t="s">
        <v>42</v>
      </c>
      <c r="K717" t="s">
        <v>33</v>
      </c>
      <c r="L717" t="s">
        <v>30</v>
      </c>
      <c r="M717" t="s">
        <v>31</v>
      </c>
      <c r="N717" t="s">
        <v>32</v>
      </c>
      <c r="O717">
        <v>5</v>
      </c>
      <c r="P717">
        <v>8</v>
      </c>
      <c r="Q717" t="s">
        <v>29</v>
      </c>
      <c r="R717" t="s">
        <v>34</v>
      </c>
      <c r="S717" s="3">
        <v>0</v>
      </c>
      <c r="T717" t="s">
        <v>43</v>
      </c>
      <c r="U717" t="s">
        <v>63</v>
      </c>
    </row>
    <row r="718" spans="1:21" ht="27.6">
      <c r="A718" t="s">
        <v>2393</v>
      </c>
      <c r="B718" t="s">
        <v>2394</v>
      </c>
      <c r="C718" t="s">
        <v>2395</v>
      </c>
      <c r="D718" s="2">
        <v>46074</v>
      </c>
      <c r="E718" t="s">
        <v>24</v>
      </c>
      <c r="F718" t="s">
        <v>48</v>
      </c>
      <c r="G718" s="3">
        <v>48.34</v>
      </c>
      <c r="H718" t="s">
        <v>108</v>
      </c>
      <c r="I718" t="s">
        <v>27</v>
      </c>
      <c r="J718" s="4" t="s">
        <v>51</v>
      </c>
      <c r="K718" t="s">
        <v>33</v>
      </c>
      <c r="L718" t="s">
        <v>30</v>
      </c>
      <c r="M718" t="s">
        <v>31</v>
      </c>
      <c r="N718" t="s">
        <v>32</v>
      </c>
      <c r="O718">
        <v>10</v>
      </c>
      <c r="P718">
        <v>8</v>
      </c>
      <c r="Q718" t="s">
        <v>33</v>
      </c>
      <c r="R718" t="s">
        <v>34</v>
      </c>
      <c r="S718" s="3">
        <v>36.26</v>
      </c>
      <c r="T718" t="s">
        <v>62</v>
      </c>
      <c r="U718" t="s">
        <v>63</v>
      </c>
    </row>
    <row r="719" spans="1:21" ht="27.6">
      <c r="A719" t="s">
        <v>2396</v>
      </c>
      <c r="B719" t="s">
        <v>2397</v>
      </c>
      <c r="C719" t="s">
        <v>2398</v>
      </c>
      <c r="D719" s="2">
        <v>46123</v>
      </c>
      <c r="E719" t="s">
        <v>94</v>
      </c>
      <c r="F719" t="s">
        <v>57</v>
      </c>
      <c r="G719" s="3">
        <v>71.61</v>
      </c>
      <c r="H719" t="s">
        <v>89</v>
      </c>
      <c r="I719" t="s">
        <v>67</v>
      </c>
      <c r="J719" s="4" t="s">
        <v>155</v>
      </c>
      <c r="K719" t="s">
        <v>29</v>
      </c>
      <c r="L719" t="s">
        <v>60</v>
      </c>
      <c r="M719" t="s">
        <v>31</v>
      </c>
      <c r="N719" t="s">
        <v>32</v>
      </c>
      <c r="O719">
        <v>10</v>
      </c>
      <c r="P719">
        <v>13</v>
      </c>
      <c r="Q719" t="s">
        <v>29</v>
      </c>
      <c r="R719" t="s">
        <v>61</v>
      </c>
      <c r="S719" s="3">
        <v>35.799999999999997</v>
      </c>
      <c r="T719" t="s">
        <v>156</v>
      </c>
      <c r="U719" t="s">
        <v>63</v>
      </c>
    </row>
    <row r="720" spans="1:21" ht="27.6">
      <c r="A720" t="s">
        <v>2399</v>
      </c>
      <c r="B720" t="s">
        <v>2400</v>
      </c>
      <c r="C720" t="s">
        <v>2401</v>
      </c>
      <c r="D720" s="2">
        <v>46044</v>
      </c>
      <c r="E720" t="s">
        <v>24</v>
      </c>
      <c r="F720" t="s">
        <v>25</v>
      </c>
      <c r="G720" s="3">
        <v>114.75</v>
      </c>
      <c r="H720" t="s">
        <v>74</v>
      </c>
      <c r="I720" t="s">
        <v>27</v>
      </c>
      <c r="J720" s="4" t="s">
        <v>42</v>
      </c>
      <c r="K720" t="s">
        <v>29</v>
      </c>
      <c r="L720" t="s">
        <v>30</v>
      </c>
      <c r="M720" t="s">
        <v>31</v>
      </c>
      <c r="N720" t="s">
        <v>32</v>
      </c>
      <c r="O720">
        <v>5</v>
      </c>
      <c r="P720">
        <v>1</v>
      </c>
      <c r="Q720" t="s">
        <v>33</v>
      </c>
      <c r="R720" t="s">
        <v>34</v>
      </c>
      <c r="S720" s="3">
        <v>86.06</v>
      </c>
      <c r="T720" t="s">
        <v>43</v>
      </c>
      <c r="U720" t="s">
        <v>36</v>
      </c>
    </row>
    <row r="721" spans="1:21" ht="27.6">
      <c r="A721" t="s">
        <v>2402</v>
      </c>
      <c r="B721" t="s">
        <v>2403</v>
      </c>
      <c r="C721" t="s">
        <v>2404</v>
      </c>
      <c r="D721" s="2">
        <v>46109</v>
      </c>
      <c r="E721" t="s">
        <v>40</v>
      </c>
      <c r="F721" t="s">
        <v>25</v>
      </c>
      <c r="G721" s="3">
        <v>80.38</v>
      </c>
      <c r="H721" t="s">
        <v>49</v>
      </c>
      <c r="I721" t="s">
        <v>27</v>
      </c>
      <c r="J721" s="4" t="s">
        <v>42</v>
      </c>
      <c r="K721" t="s">
        <v>33</v>
      </c>
      <c r="L721" t="s">
        <v>30</v>
      </c>
      <c r="M721" t="s">
        <v>31</v>
      </c>
      <c r="N721" t="s">
        <v>126</v>
      </c>
      <c r="O721">
        <v>5</v>
      </c>
      <c r="P721">
        <v>5</v>
      </c>
      <c r="Q721" t="s">
        <v>33</v>
      </c>
      <c r="R721" t="s">
        <v>34</v>
      </c>
      <c r="S721" s="3">
        <v>0</v>
      </c>
      <c r="T721" t="s">
        <v>35</v>
      </c>
      <c r="U721" t="s">
        <v>36</v>
      </c>
    </row>
    <row r="722" spans="1:21" ht="27.6">
      <c r="A722" t="s">
        <v>2405</v>
      </c>
      <c r="B722" t="s">
        <v>2406</v>
      </c>
      <c r="C722" t="s">
        <v>2407</v>
      </c>
      <c r="D722" s="2">
        <v>46141</v>
      </c>
      <c r="E722" t="s">
        <v>40</v>
      </c>
      <c r="F722" t="s">
        <v>172</v>
      </c>
      <c r="G722" s="3">
        <v>64.42</v>
      </c>
      <c r="H722" t="s">
        <v>49</v>
      </c>
      <c r="I722" t="s">
        <v>27</v>
      </c>
      <c r="J722" s="4" t="s">
        <v>285</v>
      </c>
      <c r="K722" t="s">
        <v>29</v>
      </c>
      <c r="L722" t="s">
        <v>30</v>
      </c>
      <c r="M722" t="s">
        <v>31</v>
      </c>
      <c r="N722" t="s">
        <v>84</v>
      </c>
      <c r="O722">
        <v>7</v>
      </c>
      <c r="P722">
        <v>9</v>
      </c>
      <c r="Q722" t="s">
        <v>29</v>
      </c>
      <c r="R722" t="s">
        <v>174</v>
      </c>
      <c r="S722" s="3">
        <v>0</v>
      </c>
      <c r="T722" t="s">
        <v>69</v>
      </c>
      <c r="U722" t="s">
        <v>63</v>
      </c>
    </row>
    <row r="723" spans="1:21" ht="27.6">
      <c r="A723" t="s">
        <v>2408</v>
      </c>
      <c r="B723" t="s">
        <v>2409</v>
      </c>
      <c r="C723" t="s">
        <v>2410</v>
      </c>
      <c r="D723" s="2">
        <v>46157</v>
      </c>
      <c r="E723" t="s">
        <v>47</v>
      </c>
      <c r="F723" t="s">
        <v>103</v>
      </c>
      <c r="G723" s="3">
        <v>45.35</v>
      </c>
      <c r="H723" t="s">
        <v>41</v>
      </c>
      <c r="I723" t="s">
        <v>27</v>
      </c>
      <c r="J723" s="4" t="s">
        <v>104</v>
      </c>
      <c r="K723" t="s">
        <v>33</v>
      </c>
      <c r="L723" t="s">
        <v>30</v>
      </c>
      <c r="M723" t="s">
        <v>31</v>
      </c>
      <c r="N723" t="s">
        <v>32</v>
      </c>
      <c r="O723">
        <v>5</v>
      </c>
      <c r="P723">
        <v>11</v>
      </c>
      <c r="Q723" t="s">
        <v>29</v>
      </c>
      <c r="R723" t="s">
        <v>34</v>
      </c>
      <c r="S723" s="3">
        <v>0</v>
      </c>
      <c r="T723" t="s">
        <v>247</v>
      </c>
      <c r="U723" t="s">
        <v>63</v>
      </c>
    </row>
    <row r="724" spans="1:21" ht="27.6">
      <c r="A724" t="s">
        <v>2411</v>
      </c>
      <c r="B724" t="s">
        <v>2412</v>
      </c>
      <c r="C724" t="s">
        <v>2413</v>
      </c>
      <c r="D724" s="2">
        <v>46097</v>
      </c>
      <c r="E724" t="s">
        <v>47</v>
      </c>
      <c r="F724" t="s">
        <v>118</v>
      </c>
      <c r="G724" s="3">
        <v>72.400000000000006</v>
      </c>
      <c r="H724" t="s">
        <v>89</v>
      </c>
      <c r="I724" t="s">
        <v>50</v>
      </c>
      <c r="J724" s="4" t="s">
        <v>2414</v>
      </c>
      <c r="K724" t="s">
        <v>29</v>
      </c>
      <c r="L724" t="s">
        <v>120</v>
      </c>
      <c r="M724" t="s">
        <v>96</v>
      </c>
      <c r="N724" t="s">
        <v>32</v>
      </c>
      <c r="O724">
        <v>5</v>
      </c>
      <c r="P724">
        <v>3</v>
      </c>
      <c r="Q724" t="s">
        <v>33</v>
      </c>
      <c r="R724" t="s">
        <v>85</v>
      </c>
      <c r="S724" s="3">
        <v>72.400000000000006</v>
      </c>
      <c r="T724" t="s">
        <v>121</v>
      </c>
      <c r="U724" t="s">
        <v>53</v>
      </c>
    </row>
    <row r="725" spans="1:21" ht="27.6">
      <c r="A725" t="s">
        <v>2415</v>
      </c>
      <c r="B725" t="s">
        <v>2416</v>
      </c>
      <c r="C725" t="s">
        <v>2417</v>
      </c>
      <c r="D725" s="2">
        <v>46144</v>
      </c>
      <c r="E725" t="s">
        <v>24</v>
      </c>
      <c r="F725" t="s">
        <v>82</v>
      </c>
      <c r="G725" s="3">
        <v>111.13</v>
      </c>
      <c r="H725" t="s">
        <v>74</v>
      </c>
      <c r="I725" t="s">
        <v>27</v>
      </c>
      <c r="J725" s="4" t="s">
        <v>114</v>
      </c>
      <c r="K725" t="s">
        <v>29</v>
      </c>
      <c r="L725" t="s">
        <v>30</v>
      </c>
      <c r="M725" t="s">
        <v>31</v>
      </c>
      <c r="N725" t="s">
        <v>32</v>
      </c>
      <c r="O725">
        <v>7</v>
      </c>
      <c r="P725">
        <v>8</v>
      </c>
      <c r="Q725" t="s">
        <v>29</v>
      </c>
      <c r="R725" t="s">
        <v>85</v>
      </c>
      <c r="S725" s="3">
        <v>83.35</v>
      </c>
      <c r="T725" t="s">
        <v>69</v>
      </c>
      <c r="U725" t="s">
        <v>63</v>
      </c>
    </row>
    <row r="726" spans="1:21" ht="27.6">
      <c r="A726" t="s">
        <v>2418</v>
      </c>
      <c r="B726" t="s">
        <v>1390</v>
      </c>
      <c r="C726" t="s">
        <v>2419</v>
      </c>
      <c r="D726" s="2">
        <v>46166</v>
      </c>
      <c r="E726" t="s">
        <v>94</v>
      </c>
      <c r="F726" t="s">
        <v>82</v>
      </c>
      <c r="G726" s="3">
        <v>27.17</v>
      </c>
      <c r="H726" t="s">
        <v>41</v>
      </c>
      <c r="I726" t="s">
        <v>50</v>
      </c>
      <c r="J726" s="4" t="s">
        <v>114</v>
      </c>
      <c r="K726" t="s">
        <v>29</v>
      </c>
      <c r="L726" t="s">
        <v>30</v>
      </c>
      <c r="M726" t="s">
        <v>31</v>
      </c>
      <c r="N726" t="s">
        <v>32</v>
      </c>
      <c r="O726">
        <v>7</v>
      </c>
      <c r="P726">
        <v>2</v>
      </c>
      <c r="Q726" t="s">
        <v>33</v>
      </c>
      <c r="R726" t="s">
        <v>85</v>
      </c>
      <c r="S726" s="3">
        <v>0</v>
      </c>
      <c r="T726" t="s">
        <v>69</v>
      </c>
      <c r="U726" t="s">
        <v>53</v>
      </c>
    </row>
    <row r="727" spans="1:21" ht="27.6">
      <c r="A727" t="s">
        <v>2420</v>
      </c>
      <c r="B727" t="s">
        <v>2421</v>
      </c>
      <c r="C727" t="s">
        <v>2422</v>
      </c>
      <c r="D727" s="2">
        <v>46090</v>
      </c>
      <c r="E727" t="s">
        <v>47</v>
      </c>
      <c r="F727" t="s">
        <v>25</v>
      </c>
      <c r="G727" s="3">
        <v>44.33</v>
      </c>
      <c r="H727" t="s">
        <v>108</v>
      </c>
      <c r="I727" t="s">
        <v>27</v>
      </c>
      <c r="J727" s="4" t="s">
        <v>42</v>
      </c>
      <c r="K727" t="s">
        <v>33</v>
      </c>
      <c r="L727" t="s">
        <v>30</v>
      </c>
      <c r="M727" t="s">
        <v>31</v>
      </c>
      <c r="N727" t="s">
        <v>32</v>
      </c>
      <c r="O727">
        <v>5</v>
      </c>
      <c r="P727">
        <v>7</v>
      </c>
      <c r="Q727" t="s">
        <v>29</v>
      </c>
      <c r="R727" t="s">
        <v>34</v>
      </c>
      <c r="S727" s="3">
        <v>0</v>
      </c>
      <c r="T727" t="s">
        <v>35</v>
      </c>
      <c r="U727" t="s">
        <v>63</v>
      </c>
    </row>
    <row r="728" spans="1:21" ht="27.6">
      <c r="A728" t="s">
        <v>2423</v>
      </c>
      <c r="B728" t="s">
        <v>2424</v>
      </c>
      <c r="C728" t="s">
        <v>2425</v>
      </c>
      <c r="D728" s="2">
        <v>46023</v>
      </c>
      <c r="E728" t="s">
        <v>40</v>
      </c>
      <c r="F728" t="s">
        <v>48</v>
      </c>
      <c r="G728" s="3">
        <v>21.82</v>
      </c>
      <c r="H728" t="s">
        <v>49</v>
      </c>
      <c r="I728" t="s">
        <v>27</v>
      </c>
      <c r="J728" s="4" t="s">
        <v>51</v>
      </c>
      <c r="K728" t="s">
        <v>29</v>
      </c>
      <c r="L728" t="s">
        <v>30</v>
      </c>
      <c r="M728" t="s">
        <v>31</v>
      </c>
      <c r="N728" t="s">
        <v>32</v>
      </c>
      <c r="O728">
        <v>10</v>
      </c>
      <c r="P728">
        <v>9</v>
      </c>
      <c r="Q728" t="s">
        <v>33</v>
      </c>
      <c r="R728" t="s">
        <v>34</v>
      </c>
      <c r="S728" s="3">
        <v>16.37</v>
      </c>
      <c r="T728" t="s">
        <v>69</v>
      </c>
      <c r="U728" t="s">
        <v>63</v>
      </c>
    </row>
    <row r="729" spans="1:21" ht="27.6">
      <c r="A729" t="s">
        <v>2426</v>
      </c>
      <c r="B729" t="s">
        <v>2427</v>
      </c>
      <c r="C729" t="s">
        <v>2428</v>
      </c>
      <c r="D729" s="2">
        <v>46123</v>
      </c>
      <c r="E729" t="s">
        <v>24</v>
      </c>
      <c r="F729" t="s">
        <v>82</v>
      </c>
      <c r="G729" s="3">
        <v>38.32</v>
      </c>
      <c r="H729" t="s">
        <v>89</v>
      </c>
      <c r="I729" t="s">
        <v>27</v>
      </c>
      <c r="J729" s="4" t="s">
        <v>2429</v>
      </c>
      <c r="K729" t="s">
        <v>29</v>
      </c>
      <c r="L729" t="s">
        <v>30</v>
      </c>
      <c r="M729" t="s">
        <v>31</v>
      </c>
      <c r="N729" t="s">
        <v>84</v>
      </c>
      <c r="O729">
        <v>7</v>
      </c>
      <c r="P729">
        <v>10</v>
      </c>
      <c r="Q729" t="s">
        <v>29</v>
      </c>
      <c r="R729" t="s">
        <v>85</v>
      </c>
      <c r="S729" s="3">
        <v>0</v>
      </c>
      <c r="T729" t="s">
        <v>62</v>
      </c>
      <c r="U729" t="s">
        <v>63</v>
      </c>
    </row>
    <row r="730" spans="1:21" ht="27.6">
      <c r="A730" t="s">
        <v>2430</v>
      </c>
      <c r="B730" t="s">
        <v>2431</v>
      </c>
      <c r="C730" t="s">
        <v>2432</v>
      </c>
      <c r="D730" s="2">
        <v>46134</v>
      </c>
      <c r="E730" t="s">
        <v>47</v>
      </c>
      <c r="F730" t="s">
        <v>82</v>
      </c>
      <c r="G730" s="3">
        <v>154.35</v>
      </c>
      <c r="H730" t="s">
        <v>89</v>
      </c>
      <c r="I730" t="s">
        <v>67</v>
      </c>
      <c r="J730" s="4" t="s">
        <v>2433</v>
      </c>
      <c r="K730" t="s">
        <v>29</v>
      </c>
      <c r="L730" t="s">
        <v>30</v>
      </c>
      <c r="M730" t="s">
        <v>31</v>
      </c>
      <c r="N730" t="s">
        <v>32</v>
      </c>
      <c r="O730">
        <v>7</v>
      </c>
      <c r="P730">
        <v>8</v>
      </c>
      <c r="Q730" t="s">
        <v>29</v>
      </c>
      <c r="R730" t="s">
        <v>85</v>
      </c>
      <c r="S730" s="3">
        <v>0</v>
      </c>
      <c r="T730" t="s">
        <v>43</v>
      </c>
      <c r="U730" t="s">
        <v>63</v>
      </c>
    </row>
    <row r="731" spans="1:21" ht="27.6">
      <c r="A731" t="s">
        <v>2434</v>
      </c>
      <c r="B731" t="s">
        <v>2435</v>
      </c>
      <c r="C731" t="s">
        <v>2436</v>
      </c>
      <c r="D731" s="2">
        <v>46166</v>
      </c>
      <c r="E731" t="s">
        <v>94</v>
      </c>
      <c r="F731" t="s">
        <v>48</v>
      </c>
      <c r="G731" s="3">
        <v>19.690000000000001</v>
      </c>
      <c r="H731" t="s">
        <v>58</v>
      </c>
      <c r="I731" t="s">
        <v>67</v>
      </c>
      <c r="J731" s="4" t="s">
        <v>51</v>
      </c>
      <c r="K731" t="s">
        <v>29</v>
      </c>
      <c r="L731" t="s">
        <v>30</v>
      </c>
      <c r="M731" t="s">
        <v>31</v>
      </c>
      <c r="N731" t="s">
        <v>32</v>
      </c>
      <c r="O731">
        <v>10</v>
      </c>
      <c r="P731">
        <v>6</v>
      </c>
      <c r="Q731" t="s">
        <v>33</v>
      </c>
      <c r="R731" t="s">
        <v>34</v>
      </c>
      <c r="S731" s="3">
        <v>14.77</v>
      </c>
      <c r="T731" t="s">
        <v>52</v>
      </c>
      <c r="U731" t="s">
        <v>36</v>
      </c>
    </row>
    <row r="732" spans="1:21" ht="27.6">
      <c r="A732" t="s">
        <v>2437</v>
      </c>
      <c r="B732" t="s">
        <v>2438</v>
      </c>
      <c r="C732" t="s">
        <v>2439</v>
      </c>
      <c r="D732" s="2">
        <v>46151</v>
      </c>
      <c r="E732" t="s">
        <v>94</v>
      </c>
      <c r="F732" t="s">
        <v>172</v>
      </c>
      <c r="G732" s="3">
        <v>15.83</v>
      </c>
      <c r="H732" t="s">
        <v>108</v>
      </c>
      <c r="I732" t="s">
        <v>27</v>
      </c>
      <c r="J732" s="4" t="s">
        <v>285</v>
      </c>
      <c r="K732" t="s">
        <v>33</v>
      </c>
      <c r="L732" t="s">
        <v>30</v>
      </c>
      <c r="M732" t="s">
        <v>31</v>
      </c>
      <c r="N732" t="s">
        <v>84</v>
      </c>
      <c r="O732">
        <v>7</v>
      </c>
      <c r="P732">
        <v>10</v>
      </c>
      <c r="Q732" t="s">
        <v>29</v>
      </c>
      <c r="R732" t="s">
        <v>174</v>
      </c>
      <c r="S732" s="3">
        <v>0</v>
      </c>
      <c r="T732" t="s">
        <v>110</v>
      </c>
      <c r="U732" t="s">
        <v>63</v>
      </c>
    </row>
    <row r="733" spans="1:21" ht="27.6">
      <c r="A733" t="s">
        <v>2440</v>
      </c>
      <c r="B733" t="s">
        <v>2441</v>
      </c>
      <c r="C733" t="s">
        <v>2442</v>
      </c>
      <c r="D733" s="2">
        <v>46067</v>
      </c>
      <c r="E733" t="s">
        <v>47</v>
      </c>
      <c r="F733" t="s">
        <v>73</v>
      </c>
      <c r="G733" s="3">
        <v>269.76</v>
      </c>
      <c r="H733" t="s">
        <v>26</v>
      </c>
      <c r="I733" t="s">
        <v>27</v>
      </c>
      <c r="J733" s="4" t="s">
        <v>75</v>
      </c>
      <c r="K733" t="s">
        <v>29</v>
      </c>
      <c r="L733" t="s">
        <v>60</v>
      </c>
      <c r="M733" t="s">
        <v>31</v>
      </c>
      <c r="N733" t="s">
        <v>32</v>
      </c>
      <c r="O733">
        <v>10</v>
      </c>
      <c r="P733">
        <v>15</v>
      </c>
      <c r="Q733" t="s">
        <v>29</v>
      </c>
      <c r="R733" t="s">
        <v>61</v>
      </c>
      <c r="S733" s="3">
        <v>0</v>
      </c>
      <c r="T733" t="s">
        <v>62</v>
      </c>
      <c r="U733" t="s">
        <v>63</v>
      </c>
    </row>
    <row r="734" spans="1:21" ht="27.6">
      <c r="A734" t="s">
        <v>2443</v>
      </c>
      <c r="B734" t="s">
        <v>2444</v>
      </c>
      <c r="C734" t="s">
        <v>2445</v>
      </c>
      <c r="D734" s="2">
        <v>46053</v>
      </c>
      <c r="E734" t="s">
        <v>24</v>
      </c>
      <c r="F734" t="s">
        <v>172</v>
      </c>
      <c r="G734" s="3">
        <v>12.74</v>
      </c>
      <c r="H734" t="s">
        <v>26</v>
      </c>
      <c r="I734" t="s">
        <v>27</v>
      </c>
      <c r="J734" s="4" t="s">
        <v>285</v>
      </c>
      <c r="K734" t="s">
        <v>33</v>
      </c>
      <c r="L734" t="s">
        <v>30</v>
      </c>
      <c r="M734" t="s">
        <v>31</v>
      </c>
      <c r="N734" t="s">
        <v>126</v>
      </c>
      <c r="O734">
        <v>7</v>
      </c>
      <c r="P734">
        <v>9</v>
      </c>
      <c r="Q734" t="s">
        <v>29</v>
      </c>
      <c r="R734" t="s">
        <v>174</v>
      </c>
      <c r="S734" s="3">
        <v>0</v>
      </c>
      <c r="T734" t="s">
        <v>286</v>
      </c>
      <c r="U734" t="s">
        <v>63</v>
      </c>
    </row>
    <row r="735" spans="1:21" ht="27.6">
      <c r="A735" t="s">
        <v>2446</v>
      </c>
      <c r="B735" t="s">
        <v>2447</v>
      </c>
      <c r="C735" t="s">
        <v>2448</v>
      </c>
      <c r="D735" s="2">
        <v>46126</v>
      </c>
      <c r="E735" t="s">
        <v>24</v>
      </c>
      <c r="F735" t="s">
        <v>172</v>
      </c>
      <c r="G735" s="3">
        <v>63.24</v>
      </c>
      <c r="H735" t="s">
        <v>41</v>
      </c>
      <c r="I735" t="s">
        <v>27</v>
      </c>
      <c r="J735" s="4" t="s">
        <v>173</v>
      </c>
      <c r="K735" t="s">
        <v>29</v>
      </c>
      <c r="L735" t="s">
        <v>30</v>
      </c>
      <c r="M735" t="s">
        <v>31</v>
      </c>
      <c r="N735" t="s">
        <v>32</v>
      </c>
      <c r="O735">
        <v>7</v>
      </c>
      <c r="P735">
        <v>6</v>
      </c>
      <c r="Q735" t="s">
        <v>33</v>
      </c>
      <c r="R735" t="s">
        <v>174</v>
      </c>
      <c r="S735" s="3">
        <v>0</v>
      </c>
      <c r="T735" t="s">
        <v>286</v>
      </c>
      <c r="U735" t="s">
        <v>36</v>
      </c>
    </row>
    <row r="736" spans="1:21" ht="27.6">
      <c r="A736" t="s">
        <v>2449</v>
      </c>
      <c r="B736" t="s">
        <v>2450</v>
      </c>
      <c r="C736" t="s">
        <v>2451</v>
      </c>
      <c r="D736" s="2">
        <v>46093</v>
      </c>
      <c r="E736" t="s">
        <v>47</v>
      </c>
      <c r="F736" t="s">
        <v>25</v>
      </c>
      <c r="G736" s="3">
        <v>29.96</v>
      </c>
      <c r="H736" t="s">
        <v>26</v>
      </c>
      <c r="I736" t="s">
        <v>50</v>
      </c>
      <c r="J736" s="4" t="s">
        <v>42</v>
      </c>
      <c r="K736" t="s">
        <v>29</v>
      </c>
      <c r="L736" t="s">
        <v>30</v>
      </c>
      <c r="M736" t="s">
        <v>96</v>
      </c>
      <c r="N736" t="s">
        <v>32</v>
      </c>
      <c r="O736">
        <v>5</v>
      </c>
      <c r="P736">
        <v>7</v>
      </c>
      <c r="Q736" t="s">
        <v>29</v>
      </c>
      <c r="R736" t="s">
        <v>34</v>
      </c>
      <c r="S736" s="3">
        <v>29.96</v>
      </c>
      <c r="T736" t="s">
        <v>110</v>
      </c>
      <c r="U736" t="s">
        <v>63</v>
      </c>
    </row>
    <row r="737" spans="1:21" ht="27.6">
      <c r="A737" t="s">
        <v>2452</v>
      </c>
      <c r="B737" t="s">
        <v>2453</v>
      </c>
      <c r="C737" t="s">
        <v>2454</v>
      </c>
      <c r="D737" s="2">
        <v>46066</v>
      </c>
      <c r="E737" t="s">
        <v>40</v>
      </c>
      <c r="F737" t="s">
        <v>118</v>
      </c>
      <c r="G737" s="3">
        <v>33.14</v>
      </c>
      <c r="H737" t="s">
        <v>58</v>
      </c>
      <c r="I737" t="s">
        <v>67</v>
      </c>
      <c r="J737" s="4" t="s">
        <v>2455</v>
      </c>
      <c r="K737" t="s">
        <v>29</v>
      </c>
      <c r="L737" t="s">
        <v>120</v>
      </c>
      <c r="M737" t="s">
        <v>96</v>
      </c>
      <c r="N737" t="s">
        <v>32</v>
      </c>
      <c r="O737">
        <v>5</v>
      </c>
      <c r="P737">
        <v>2</v>
      </c>
      <c r="Q737" t="s">
        <v>33</v>
      </c>
      <c r="R737" t="s">
        <v>85</v>
      </c>
      <c r="S737" s="3">
        <v>33.14</v>
      </c>
      <c r="T737" t="s">
        <v>121</v>
      </c>
      <c r="U737" t="s">
        <v>53</v>
      </c>
    </row>
    <row r="738" spans="1:21" ht="27.6">
      <c r="A738" t="s">
        <v>2456</v>
      </c>
      <c r="B738" t="s">
        <v>2457</v>
      </c>
      <c r="C738" t="s">
        <v>2458</v>
      </c>
      <c r="D738" s="2">
        <v>46120</v>
      </c>
      <c r="E738" t="s">
        <v>40</v>
      </c>
      <c r="F738" t="s">
        <v>25</v>
      </c>
      <c r="G738" s="3">
        <v>18.8</v>
      </c>
      <c r="H738" t="s">
        <v>74</v>
      </c>
      <c r="I738" t="s">
        <v>67</v>
      </c>
      <c r="J738" s="4" t="s">
        <v>42</v>
      </c>
      <c r="K738" t="s">
        <v>29</v>
      </c>
      <c r="L738" t="s">
        <v>30</v>
      </c>
      <c r="M738" t="s">
        <v>31</v>
      </c>
      <c r="N738" t="s">
        <v>32</v>
      </c>
      <c r="O738">
        <v>5</v>
      </c>
      <c r="P738">
        <v>7</v>
      </c>
      <c r="Q738" t="s">
        <v>29</v>
      </c>
      <c r="R738" t="s">
        <v>34</v>
      </c>
      <c r="S738" s="3">
        <v>14.1</v>
      </c>
      <c r="T738" t="s">
        <v>110</v>
      </c>
      <c r="U738" t="s">
        <v>63</v>
      </c>
    </row>
    <row r="739" spans="1:21" ht="27.6">
      <c r="A739" t="s">
        <v>2459</v>
      </c>
      <c r="B739" t="s">
        <v>2460</v>
      </c>
      <c r="C739" t="s">
        <v>2461</v>
      </c>
      <c r="D739" s="2">
        <v>46156</v>
      </c>
      <c r="E739" t="s">
        <v>47</v>
      </c>
      <c r="F739" t="s">
        <v>172</v>
      </c>
      <c r="G739" s="3">
        <v>89.53</v>
      </c>
      <c r="H739" t="s">
        <v>89</v>
      </c>
      <c r="I739" t="s">
        <v>50</v>
      </c>
      <c r="J739" s="4" t="s">
        <v>285</v>
      </c>
      <c r="K739" t="s">
        <v>33</v>
      </c>
      <c r="L739" t="s">
        <v>30</v>
      </c>
      <c r="M739" t="s">
        <v>31</v>
      </c>
      <c r="N739" t="s">
        <v>32</v>
      </c>
      <c r="O739">
        <v>7</v>
      </c>
      <c r="P739">
        <v>13</v>
      </c>
      <c r="Q739" t="s">
        <v>29</v>
      </c>
      <c r="R739" t="s">
        <v>174</v>
      </c>
      <c r="S739" s="3">
        <v>0</v>
      </c>
      <c r="T739" t="s">
        <v>286</v>
      </c>
      <c r="U739" t="s">
        <v>63</v>
      </c>
    </row>
    <row r="740" spans="1:21" ht="27.6">
      <c r="A740" t="s">
        <v>2462</v>
      </c>
      <c r="B740" t="s">
        <v>2463</v>
      </c>
      <c r="C740" t="s">
        <v>2464</v>
      </c>
      <c r="D740" s="2">
        <v>46151</v>
      </c>
      <c r="E740" t="s">
        <v>47</v>
      </c>
      <c r="F740" t="s">
        <v>103</v>
      </c>
      <c r="G740" s="3">
        <v>20.239999999999998</v>
      </c>
      <c r="H740" t="s">
        <v>74</v>
      </c>
      <c r="I740" t="s">
        <v>27</v>
      </c>
      <c r="J740" s="4" t="s">
        <v>104</v>
      </c>
      <c r="K740" t="s">
        <v>29</v>
      </c>
      <c r="L740" t="s">
        <v>30</v>
      </c>
      <c r="M740" t="s">
        <v>31</v>
      </c>
      <c r="N740" t="s">
        <v>32</v>
      </c>
      <c r="O740">
        <v>5</v>
      </c>
      <c r="P740">
        <v>9</v>
      </c>
      <c r="Q740" t="s">
        <v>29</v>
      </c>
      <c r="R740" t="s">
        <v>34</v>
      </c>
      <c r="S740" s="3">
        <v>15.18</v>
      </c>
      <c r="T740" t="s">
        <v>35</v>
      </c>
      <c r="U740" t="s">
        <v>63</v>
      </c>
    </row>
    <row r="741" spans="1:21" ht="27.6">
      <c r="A741" t="s">
        <v>2465</v>
      </c>
      <c r="B741" t="s">
        <v>1011</v>
      </c>
      <c r="C741" t="s">
        <v>2466</v>
      </c>
      <c r="D741" s="2">
        <v>46119</v>
      </c>
      <c r="E741" t="s">
        <v>40</v>
      </c>
      <c r="F741" t="s">
        <v>73</v>
      </c>
      <c r="G741" s="3">
        <v>30.29</v>
      </c>
      <c r="H741" t="s">
        <v>41</v>
      </c>
      <c r="I741" t="s">
        <v>67</v>
      </c>
      <c r="J741" s="4" t="s">
        <v>75</v>
      </c>
      <c r="K741" t="s">
        <v>29</v>
      </c>
      <c r="L741" t="s">
        <v>60</v>
      </c>
      <c r="M741" t="s">
        <v>31</v>
      </c>
      <c r="N741" t="s">
        <v>32</v>
      </c>
      <c r="O741">
        <v>10</v>
      </c>
      <c r="P741">
        <v>9</v>
      </c>
      <c r="Q741" t="s">
        <v>33</v>
      </c>
      <c r="R741" t="s">
        <v>61</v>
      </c>
      <c r="S741" s="3">
        <v>15.14</v>
      </c>
      <c r="T741" t="s">
        <v>52</v>
      </c>
      <c r="U741" t="s">
        <v>63</v>
      </c>
    </row>
    <row r="742" spans="1:21" ht="27.6">
      <c r="A742" t="s">
        <v>2467</v>
      </c>
      <c r="B742" t="s">
        <v>2468</v>
      </c>
      <c r="C742" t="s">
        <v>2469</v>
      </c>
      <c r="D742" s="2">
        <v>46064</v>
      </c>
      <c r="E742" t="s">
        <v>47</v>
      </c>
      <c r="F742" t="s">
        <v>25</v>
      </c>
      <c r="G742" s="3">
        <v>34.82</v>
      </c>
      <c r="H742" t="s">
        <v>108</v>
      </c>
      <c r="I742" t="s">
        <v>50</v>
      </c>
      <c r="J742" s="4" t="s">
        <v>42</v>
      </c>
      <c r="K742" t="s">
        <v>29</v>
      </c>
      <c r="L742" t="s">
        <v>30</v>
      </c>
      <c r="M742" t="s">
        <v>96</v>
      </c>
      <c r="N742" t="s">
        <v>32</v>
      </c>
      <c r="O742">
        <v>5</v>
      </c>
      <c r="P742">
        <v>5</v>
      </c>
      <c r="Q742" t="s">
        <v>33</v>
      </c>
      <c r="R742" t="s">
        <v>34</v>
      </c>
      <c r="S742" s="3">
        <v>34.82</v>
      </c>
      <c r="T742" t="s">
        <v>110</v>
      </c>
      <c r="U742" t="s">
        <v>36</v>
      </c>
    </row>
    <row r="743" spans="1:21" ht="27.6">
      <c r="A743" t="s">
        <v>2470</v>
      </c>
      <c r="B743" t="s">
        <v>2471</v>
      </c>
      <c r="C743" t="s">
        <v>2472</v>
      </c>
      <c r="D743" s="2">
        <v>46152</v>
      </c>
      <c r="E743" t="s">
        <v>24</v>
      </c>
      <c r="F743" t="s">
        <v>82</v>
      </c>
      <c r="G743" s="3">
        <v>18.25</v>
      </c>
      <c r="H743" t="s">
        <v>89</v>
      </c>
      <c r="I743" t="s">
        <v>27</v>
      </c>
      <c r="J743" s="4" t="s">
        <v>114</v>
      </c>
      <c r="K743" t="s">
        <v>33</v>
      </c>
      <c r="L743" t="s">
        <v>30</v>
      </c>
      <c r="M743" t="s">
        <v>31</v>
      </c>
      <c r="N743" t="s">
        <v>126</v>
      </c>
      <c r="O743">
        <v>7</v>
      </c>
      <c r="P743">
        <v>8</v>
      </c>
      <c r="Q743" t="s">
        <v>29</v>
      </c>
      <c r="R743" t="s">
        <v>85</v>
      </c>
      <c r="S743" s="3">
        <v>0</v>
      </c>
      <c r="T743" t="s">
        <v>69</v>
      </c>
      <c r="U743" t="s">
        <v>63</v>
      </c>
    </row>
    <row r="744" spans="1:21" ht="27.6">
      <c r="A744" t="s">
        <v>2473</v>
      </c>
      <c r="B744" t="s">
        <v>2474</v>
      </c>
      <c r="C744" t="s">
        <v>2475</v>
      </c>
      <c r="D744" s="2">
        <v>46108</v>
      </c>
      <c r="E744" t="s">
        <v>40</v>
      </c>
      <c r="F744" t="s">
        <v>25</v>
      </c>
      <c r="G744" s="3">
        <v>18.18</v>
      </c>
      <c r="H744" t="s">
        <v>108</v>
      </c>
      <c r="I744" t="s">
        <v>27</v>
      </c>
      <c r="J744" s="4" t="s">
        <v>42</v>
      </c>
      <c r="K744" t="s">
        <v>29</v>
      </c>
      <c r="L744" t="s">
        <v>30</v>
      </c>
      <c r="M744" t="s">
        <v>31</v>
      </c>
      <c r="N744" t="s">
        <v>32</v>
      </c>
      <c r="O744">
        <v>5</v>
      </c>
      <c r="P744">
        <v>6</v>
      </c>
      <c r="Q744" t="s">
        <v>29</v>
      </c>
      <c r="R744" t="s">
        <v>34</v>
      </c>
      <c r="S744" s="3">
        <v>9.09</v>
      </c>
      <c r="T744" t="s">
        <v>110</v>
      </c>
      <c r="U744" t="s">
        <v>63</v>
      </c>
    </row>
    <row r="745" spans="1:21" ht="27.6">
      <c r="A745" t="s">
        <v>2476</v>
      </c>
      <c r="B745" t="s">
        <v>2477</v>
      </c>
      <c r="C745" t="s">
        <v>2478</v>
      </c>
      <c r="D745" s="2">
        <v>46085</v>
      </c>
      <c r="E745" t="s">
        <v>24</v>
      </c>
      <c r="F745" t="s">
        <v>172</v>
      </c>
      <c r="G745" s="3">
        <v>45.6</v>
      </c>
      <c r="H745" t="s">
        <v>74</v>
      </c>
      <c r="I745" t="s">
        <v>67</v>
      </c>
      <c r="J745" s="4" t="s">
        <v>173</v>
      </c>
      <c r="K745" t="s">
        <v>29</v>
      </c>
      <c r="L745" t="s">
        <v>30</v>
      </c>
      <c r="M745" t="s">
        <v>31</v>
      </c>
      <c r="N745" t="s">
        <v>32</v>
      </c>
      <c r="O745">
        <v>7</v>
      </c>
      <c r="P745">
        <v>9</v>
      </c>
      <c r="Q745" t="s">
        <v>29</v>
      </c>
      <c r="R745" t="s">
        <v>174</v>
      </c>
      <c r="S745" s="3">
        <v>0</v>
      </c>
      <c r="T745" t="s">
        <v>286</v>
      </c>
      <c r="U745" t="s">
        <v>63</v>
      </c>
    </row>
    <row r="746" spans="1:21" ht="27.6">
      <c r="A746" t="s">
        <v>2479</v>
      </c>
      <c r="B746" t="s">
        <v>2480</v>
      </c>
      <c r="C746" t="s">
        <v>2481</v>
      </c>
      <c r="D746" s="2">
        <v>46104</v>
      </c>
      <c r="E746" t="s">
        <v>40</v>
      </c>
      <c r="F746" t="s">
        <v>25</v>
      </c>
      <c r="G746" s="3">
        <v>228.03</v>
      </c>
      <c r="H746" t="s">
        <v>108</v>
      </c>
      <c r="I746" t="s">
        <v>50</v>
      </c>
      <c r="J746" s="4" t="s">
        <v>2482</v>
      </c>
      <c r="K746" t="s">
        <v>29</v>
      </c>
      <c r="L746" t="s">
        <v>30</v>
      </c>
      <c r="M746" t="s">
        <v>96</v>
      </c>
      <c r="N746" t="s">
        <v>32</v>
      </c>
      <c r="O746">
        <v>5</v>
      </c>
      <c r="P746">
        <v>1</v>
      </c>
      <c r="Q746" t="s">
        <v>33</v>
      </c>
      <c r="R746" t="s">
        <v>34</v>
      </c>
      <c r="S746" s="3">
        <v>228.03</v>
      </c>
      <c r="T746" t="s">
        <v>43</v>
      </c>
      <c r="U746" t="s">
        <v>53</v>
      </c>
    </row>
    <row r="747" spans="1:21" ht="27.6">
      <c r="A747" t="s">
        <v>2483</v>
      </c>
      <c r="B747" t="s">
        <v>2484</v>
      </c>
      <c r="C747" t="s">
        <v>2485</v>
      </c>
      <c r="D747" s="2">
        <v>46115</v>
      </c>
      <c r="E747" t="s">
        <v>24</v>
      </c>
      <c r="F747" t="s">
        <v>57</v>
      </c>
      <c r="G747" s="3">
        <v>77.42</v>
      </c>
      <c r="H747" t="s">
        <v>26</v>
      </c>
      <c r="I747" t="s">
        <v>50</v>
      </c>
      <c r="J747" s="4" t="s">
        <v>155</v>
      </c>
      <c r="K747" t="s">
        <v>29</v>
      </c>
      <c r="L747" t="s">
        <v>60</v>
      </c>
      <c r="M747" t="s">
        <v>31</v>
      </c>
      <c r="N747" t="s">
        <v>32</v>
      </c>
      <c r="O747">
        <v>10</v>
      </c>
      <c r="P747">
        <v>11</v>
      </c>
      <c r="Q747" t="s">
        <v>29</v>
      </c>
      <c r="R747" t="s">
        <v>61</v>
      </c>
      <c r="S747" s="3">
        <v>38.71</v>
      </c>
      <c r="T747" t="s">
        <v>156</v>
      </c>
      <c r="U747" t="s">
        <v>63</v>
      </c>
    </row>
    <row r="748" spans="1:21" ht="27.6">
      <c r="A748" t="s">
        <v>2486</v>
      </c>
      <c r="B748" t="s">
        <v>2487</v>
      </c>
      <c r="C748" t="s">
        <v>2488</v>
      </c>
      <c r="D748" s="2">
        <v>46069</v>
      </c>
      <c r="E748" t="s">
        <v>47</v>
      </c>
      <c r="F748" t="s">
        <v>118</v>
      </c>
      <c r="G748" s="3">
        <v>16.059999999999999</v>
      </c>
      <c r="H748" t="s">
        <v>26</v>
      </c>
      <c r="I748" t="s">
        <v>27</v>
      </c>
      <c r="J748" s="4" t="s">
        <v>119</v>
      </c>
      <c r="K748" t="s">
        <v>33</v>
      </c>
      <c r="L748" t="s">
        <v>30</v>
      </c>
      <c r="M748" t="s">
        <v>31</v>
      </c>
      <c r="N748" t="s">
        <v>32</v>
      </c>
      <c r="O748">
        <v>5</v>
      </c>
      <c r="P748">
        <v>10</v>
      </c>
      <c r="Q748" t="s">
        <v>29</v>
      </c>
      <c r="R748" t="s">
        <v>85</v>
      </c>
      <c r="S748" s="3">
        <v>8.0299999999999994</v>
      </c>
      <c r="T748" t="s">
        <v>121</v>
      </c>
      <c r="U748" t="s">
        <v>63</v>
      </c>
    </row>
    <row r="749" spans="1:21" ht="27.6">
      <c r="A749" t="s">
        <v>2489</v>
      </c>
      <c r="B749" t="s">
        <v>2490</v>
      </c>
      <c r="C749" t="s">
        <v>2491</v>
      </c>
      <c r="D749" s="2">
        <v>46126</v>
      </c>
      <c r="E749" t="s">
        <v>40</v>
      </c>
      <c r="F749" t="s">
        <v>25</v>
      </c>
      <c r="G749" s="3">
        <v>21.75</v>
      </c>
      <c r="H749" t="s">
        <v>108</v>
      </c>
      <c r="I749" t="s">
        <v>50</v>
      </c>
      <c r="J749" s="4" t="s">
        <v>42</v>
      </c>
      <c r="K749" t="s">
        <v>29</v>
      </c>
      <c r="L749" t="s">
        <v>30</v>
      </c>
      <c r="M749" t="s">
        <v>96</v>
      </c>
      <c r="N749" t="s">
        <v>90</v>
      </c>
      <c r="O749">
        <v>5</v>
      </c>
      <c r="P749">
        <v>8</v>
      </c>
      <c r="Q749" t="s">
        <v>29</v>
      </c>
      <c r="R749" t="s">
        <v>34</v>
      </c>
      <c r="S749" s="3">
        <v>0</v>
      </c>
      <c r="T749" t="s">
        <v>35</v>
      </c>
      <c r="U749" t="s">
        <v>63</v>
      </c>
    </row>
    <row r="750" spans="1:21" ht="27.6">
      <c r="A750" t="s">
        <v>2492</v>
      </c>
      <c r="B750" t="s">
        <v>2493</v>
      </c>
      <c r="C750" t="s">
        <v>2494</v>
      </c>
      <c r="D750" s="2">
        <v>46131</v>
      </c>
      <c r="E750" t="s">
        <v>24</v>
      </c>
      <c r="F750" t="s">
        <v>172</v>
      </c>
      <c r="G750" s="3">
        <v>86.91</v>
      </c>
      <c r="H750" t="s">
        <v>108</v>
      </c>
      <c r="I750" t="s">
        <v>50</v>
      </c>
      <c r="J750" s="4" t="s">
        <v>285</v>
      </c>
      <c r="K750" t="s">
        <v>33</v>
      </c>
      <c r="L750" t="s">
        <v>30</v>
      </c>
      <c r="M750" t="s">
        <v>31</v>
      </c>
      <c r="N750" t="s">
        <v>32</v>
      </c>
      <c r="O750">
        <v>7</v>
      </c>
      <c r="P750">
        <v>9</v>
      </c>
      <c r="Q750" t="s">
        <v>29</v>
      </c>
      <c r="R750" t="s">
        <v>174</v>
      </c>
      <c r="S750" s="3">
        <v>0</v>
      </c>
      <c r="T750" t="s">
        <v>110</v>
      </c>
      <c r="U750" t="s">
        <v>63</v>
      </c>
    </row>
    <row r="751" spans="1:21" ht="27.6">
      <c r="A751" t="s">
        <v>2495</v>
      </c>
      <c r="B751" t="s">
        <v>2496</v>
      </c>
      <c r="C751" t="s">
        <v>2497</v>
      </c>
      <c r="D751" s="2">
        <v>46121</v>
      </c>
      <c r="E751" t="s">
        <v>94</v>
      </c>
      <c r="F751" t="s">
        <v>25</v>
      </c>
      <c r="G751" s="3">
        <v>60.81</v>
      </c>
      <c r="H751" t="s">
        <v>89</v>
      </c>
      <c r="I751" t="s">
        <v>67</v>
      </c>
      <c r="J751" s="4" t="s">
        <v>2498</v>
      </c>
      <c r="K751" t="s">
        <v>33</v>
      </c>
      <c r="L751" t="s">
        <v>30</v>
      </c>
      <c r="M751" t="s">
        <v>31</v>
      </c>
      <c r="N751" t="s">
        <v>32</v>
      </c>
      <c r="O751">
        <v>5</v>
      </c>
      <c r="P751">
        <v>12</v>
      </c>
      <c r="Q751" t="s">
        <v>29</v>
      </c>
      <c r="R751" t="s">
        <v>34</v>
      </c>
      <c r="S751" s="3">
        <v>30.41</v>
      </c>
      <c r="T751" t="s">
        <v>43</v>
      </c>
      <c r="U751" t="s">
        <v>63</v>
      </c>
    </row>
  </sheetData>
  <conditionalFormatting sqref="L2:L751">
    <cfRule type="expression" dxfId="3" priority="2">
      <formula>L2="High"</formula>
    </cfRule>
  </conditionalFormatting>
  <conditionalFormatting sqref="Q2:Q751">
    <cfRule type="expression" dxfId="2" priority="1">
      <formula>Q2="Yes"</formula>
    </cfRule>
  </conditionalFormatting>
  <dataValidations count="9">
    <dataValidation type="list" sqref="E2:E751" xr:uid="{00000000-0002-0000-0000-000000000000}">
      <formula1>"Card,Bank Transfer,Wallet,Open Banking"</formula1>
    </dataValidation>
    <dataValidation type="list" sqref="F2:F751" xr:uid="{00000000-0002-0000-0000-000001000000}">
      <formula1>"Failed Payment,Duplicate Debit,Refund Delay,Merchant Not Credited,Wrong Amount Debited,Unauthorised Transaction,APP Scam Claim,Chargeback Request"</formula1>
    </dataValidation>
    <dataValidation type="list" sqref="I2:I751" xr:uid="{00000000-0002-0000-0000-000002000000}">
      <formula1>"Success,Failed,Pending"</formula1>
    </dataValidation>
    <dataValidation type="list" sqref="K2:K751 Q2:Q751" xr:uid="{00000000-0002-0000-0000-000003000000}">
      <formula1>"Yes,No"</formula1>
    </dataValidation>
    <dataValidation type="list" sqref="L2:L751" xr:uid="{00000000-0002-0000-0000-000004000000}">
      <formula1>"Low,Medium,High"</formula1>
    </dataValidation>
    <dataValidation type="list" sqref="M2:M751" xr:uid="{00000000-0002-0000-0000-000005000000}">
      <formula1>"Eligible,Not Eligible,Manual Review"</formula1>
    </dataValidation>
    <dataValidation type="list" sqref="N2:N751" xr:uid="{00000000-0002-0000-0000-000006000000}">
      <formula1>"Open,In Review,Resolved,Rejected,Awaiting Evidence"</formula1>
    </dataValidation>
    <dataValidation type="list" sqref="R2:R751" xr:uid="{00000000-0002-0000-0000-000008000000}">
      <formula1>"Payment Operations,Fraud Review,Merchant Support,Refund Team,Customer Support"</formula1>
    </dataValidation>
    <dataValidation type="list" sqref="U2:U751" xr:uid="{00000000-0002-0000-0000-000009000000}">
      <formula1>"Negative,Neutral,Positive"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/>
  </sheetViews>
  <sheetFormatPr defaultRowHeight="13.8"/>
  <cols>
    <col min="1" max="1" width="24" customWidth="1"/>
    <col min="2" max="2" width="46" customWidth="1"/>
    <col min="3" max="3" width="14" customWidth="1"/>
    <col min="4" max="4" width="22" customWidth="1"/>
    <col min="5" max="5" width="50" customWidth="1"/>
  </cols>
  <sheetData>
    <row r="1" spans="1:5" ht="22.35" customHeight="1">
      <c r="A1" s="1" t="s">
        <v>2499</v>
      </c>
      <c r="B1" s="1" t="s">
        <v>2500</v>
      </c>
      <c r="C1" s="1" t="s">
        <v>2501</v>
      </c>
      <c r="D1" s="1" t="s">
        <v>2502</v>
      </c>
      <c r="E1" s="1" t="s">
        <v>2503</v>
      </c>
    </row>
    <row r="2" spans="1:5">
      <c r="A2" t="s">
        <v>0</v>
      </c>
      <c r="B2" t="s">
        <v>2504</v>
      </c>
      <c r="C2" t="s">
        <v>2505</v>
      </c>
      <c r="D2" t="s">
        <v>21</v>
      </c>
      <c r="E2" t="s">
        <v>2506</v>
      </c>
    </row>
    <row r="3" spans="1:5">
      <c r="A3" t="s">
        <v>1</v>
      </c>
      <c r="B3" t="s">
        <v>2507</v>
      </c>
      <c r="C3" t="s">
        <v>2505</v>
      </c>
      <c r="D3" t="s">
        <v>2508</v>
      </c>
      <c r="E3" t="s">
        <v>2509</v>
      </c>
    </row>
    <row r="4" spans="1:5">
      <c r="A4" t="s">
        <v>2</v>
      </c>
      <c r="B4" t="s">
        <v>2510</v>
      </c>
      <c r="C4" t="s">
        <v>2505</v>
      </c>
      <c r="D4" t="s">
        <v>2511</v>
      </c>
      <c r="E4" t="s">
        <v>2512</v>
      </c>
    </row>
    <row r="5" spans="1:5">
      <c r="A5" t="s">
        <v>3</v>
      </c>
      <c r="B5" t="s">
        <v>2513</v>
      </c>
      <c r="C5" t="s">
        <v>2514</v>
      </c>
      <c r="D5" t="s">
        <v>2515</v>
      </c>
      <c r="E5" t="s">
        <v>2516</v>
      </c>
    </row>
    <row r="6" spans="1:5">
      <c r="A6" t="s">
        <v>4</v>
      </c>
      <c r="B6" t="s">
        <v>2517</v>
      </c>
      <c r="C6" t="s">
        <v>2505</v>
      </c>
      <c r="D6" t="s">
        <v>24</v>
      </c>
      <c r="E6" t="s">
        <v>2518</v>
      </c>
    </row>
    <row r="7" spans="1:5">
      <c r="A7" t="s">
        <v>5</v>
      </c>
      <c r="B7" t="s">
        <v>2519</v>
      </c>
      <c r="C7" t="s">
        <v>2505</v>
      </c>
      <c r="D7" t="s">
        <v>118</v>
      </c>
      <c r="E7" t="s">
        <v>2520</v>
      </c>
    </row>
    <row r="8" spans="1:5">
      <c r="A8" t="s">
        <v>6</v>
      </c>
      <c r="B8" t="s">
        <v>2521</v>
      </c>
      <c r="C8" t="s">
        <v>2522</v>
      </c>
      <c r="D8" t="s">
        <v>2523</v>
      </c>
      <c r="E8" t="s">
        <v>2524</v>
      </c>
    </row>
    <row r="9" spans="1:5">
      <c r="A9" t="s">
        <v>7</v>
      </c>
      <c r="B9" t="s">
        <v>2525</v>
      </c>
      <c r="C9" t="s">
        <v>2505</v>
      </c>
      <c r="D9" t="s">
        <v>26</v>
      </c>
      <c r="E9" t="s">
        <v>2526</v>
      </c>
    </row>
    <row r="10" spans="1:5">
      <c r="A10" t="s">
        <v>8</v>
      </c>
      <c r="B10" t="s">
        <v>2527</v>
      </c>
      <c r="C10" t="s">
        <v>2505</v>
      </c>
      <c r="D10" t="s">
        <v>27</v>
      </c>
      <c r="E10" t="s">
        <v>2528</v>
      </c>
    </row>
    <row r="11" spans="1:5">
      <c r="A11" t="s">
        <v>9</v>
      </c>
      <c r="B11" t="s">
        <v>2529</v>
      </c>
      <c r="C11" t="s">
        <v>2505</v>
      </c>
      <c r="D11" t="s">
        <v>2530</v>
      </c>
      <c r="E11" t="s">
        <v>2531</v>
      </c>
    </row>
    <row r="12" spans="1:5">
      <c r="A12" t="s">
        <v>10</v>
      </c>
      <c r="B12" t="s">
        <v>2532</v>
      </c>
      <c r="C12" t="s">
        <v>2505</v>
      </c>
      <c r="D12" t="s">
        <v>29</v>
      </c>
      <c r="E12" t="s">
        <v>2533</v>
      </c>
    </row>
    <row r="13" spans="1:5">
      <c r="A13" t="s">
        <v>11</v>
      </c>
      <c r="B13" t="s">
        <v>2534</v>
      </c>
      <c r="C13" t="s">
        <v>2505</v>
      </c>
      <c r="D13" t="s">
        <v>30</v>
      </c>
      <c r="E13" t="s">
        <v>2535</v>
      </c>
    </row>
    <row r="14" spans="1:5">
      <c r="A14" t="s">
        <v>12</v>
      </c>
      <c r="B14" t="s">
        <v>2536</v>
      </c>
      <c r="C14" t="s">
        <v>2505</v>
      </c>
      <c r="D14" t="s">
        <v>31</v>
      </c>
      <c r="E14" t="s">
        <v>2537</v>
      </c>
    </row>
    <row r="15" spans="1:5">
      <c r="A15" t="s">
        <v>13</v>
      </c>
      <c r="B15" t="s">
        <v>2538</v>
      </c>
      <c r="C15" t="s">
        <v>2505</v>
      </c>
      <c r="D15" t="s">
        <v>90</v>
      </c>
      <c r="E15" t="s">
        <v>2539</v>
      </c>
    </row>
    <row r="16" spans="1:5">
      <c r="A16" t="s">
        <v>14</v>
      </c>
      <c r="B16" t="s">
        <v>2540</v>
      </c>
      <c r="C16" t="s">
        <v>2522</v>
      </c>
      <c r="D16" t="s">
        <v>2541</v>
      </c>
      <c r="E16" t="s">
        <v>2542</v>
      </c>
    </row>
    <row r="17" spans="1:5">
      <c r="A17" t="s">
        <v>15</v>
      </c>
      <c r="B17" t="s">
        <v>2543</v>
      </c>
      <c r="C17" t="s">
        <v>2522</v>
      </c>
      <c r="D17" t="s">
        <v>2544</v>
      </c>
      <c r="E17" t="s">
        <v>2545</v>
      </c>
    </row>
    <row r="18" spans="1:5">
      <c r="A18" t="s">
        <v>16</v>
      </c>
      <c r="B18" t="s">
        <v>2546</v>
      </c>
      <c r="C18" t="s">
        <v>2505</v>
      </c>
      <c r="D18" t="s">
        <v>29</v>
      </c>
      <c r="E18" t="s">
        <v>2547</v>
      </c>
    </row>
    <row r="19" spans="1:5">
      <c r="A19" t="s">
        <v>17</v>
      </c>
      <c r="B19" t="s">
        <v>2548</v>
      </c>
      <c r="C19" t="s">
        <v>2505</v>
      </c>
      <c r="D19" t="s">
        <v>34</v>
      </c>
      <c r="E19" t="s">
        <v>2549</v>
      </c>
    </row>
    <row r="20" spans="1:5">
      <c r="A20" t="s">
        <v>18</v>
      </c>
      <c r="B20" t="s">
        <v>2550</v>
      </c>
      <c r="C20" t="s">
        <v>2522</v>
      </c>
      <c r="D20" t="s">
        <v>2523</v>
      </c>
      <c r="E20" t="s">
        <v>2551</v>
      </c>
    </row>
    <row r="21" spans="1:5">
      <c r="A21" t="s">
        <v>19</v>
      </c>
      <c r="B21" t="s">
        <v>2552</v>
      </c>
      <c r="C21" t="s">
        <v>2505</v>
      </c>
      <c r="D21" t="s">
        <v>110</v>
      </c>
      <c r="E21" t="s">
        <v>2553</v>
      </c>
    </row>
    <row r="22" spans="1:5">
      <c r="A22" t="s">
        <v>20</v>
      </c>
      <c r="B22" t="s">
        <v>2554</v>
      </c>
      <c r="C22" t="s">
        <v>2505</v>
      </c>
      <c r="D22" t="s">
        <v>63</v>
      </c>
      <c r="E22" t="s">
        <v>2555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751"/>
  <sheetViews>
    <sheetView tabSelected="1" workbookViewId="0">
      <selection activeCell="F10" sqref="F10"/>
    </sheetView>
  </sheetViews>
  <sheetFormatPr defaultRowHeight="13.8"/>
  <cols>
    <col min="1" max="4" width="12" customWidth="1"/>
    <col min="5" max="5" width="16" customWidth="1"/>
    <col min="6" max="6" width="22" customWidth="1"/>
    <col min="7" max="7" width="14" customWidth="1"/>
    <col min="8" max="8" width="18" customWidth="1"/>
    <col min="9" max="9" width="15" customWidth="1"/>
    <col min="10" max="10" width="38" customWidth="1"/>
    <col min="11" max="11" width="16" customWidth="1"/>
    <col min="12" max="12" width="12" customWidth="1"/>
    <col min="13" max="13" width="18" customWidth="1"/>
    <col min="14" max="14" width="15" customWidth="1"/>
    <col min="15" max="15" width="14" customWidth="1"/>
    <col min="16" max="16" width="17" customWidth="1"/>
    <col min="17" max="17" width="14" customWidth="1"/>
    <col min="18" max="18" width="20" customWidth="1"/>
    <col min="19" max="19" width="14" customWidth="1"/>
    <col min="20" max="20" width="24" customWidth="1"/>
    <col min="21" max="21" width="16" customWidth="1"/>
    <col min="22" max="22" width="12" customWidth="1"/>
    <col min="23" max="24" width="16" customWidth="1"/>
    <col min="25" max="25" width="22" customWidth="1"/>
  </cols>
  <sheetData>
    <row r="1" spans="1:25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2556</v>
      </c>
      <c r="W1" s="1" t="s">
        <v>2557</v>
      </c>
      <c r="X1" s="1" t="s">
        <v>2558</v>
      </c>
      <c r="Y1" s="1" t="s">
        <v>2559</v>
      </c>
    </row>
    <row r="2" spans="1:25" ht="27.6">
      <c r="A2" t="s">
        <v>21</v>
      </c>
      <c r="B2" t="s">
        <v>22</v>
      </c>
      <c r="C2" t="s">
        <v>23</v>
      </c>
      <c r="D2" s="2">
        <v>46093</v>
      </c>
      <c r="E2" t="s">
        <v>24</v>
      </c>
      <c r="F2" t="s">
        <v>25</v>
      </c>
      <c r="G2" s="3">
        <v>47.54</v>
      </c>
      <c r="H2" t="s">
        <v>26</v>
      </c>
      <c r="I2" t="s">
        <v>27</v>
      </c>
      <c r="J2" s="4" t="s">
        <v>28</v>
      </c>
      <c r="K2" t="s">
        <v>29</v>
      </c>
      <c r="L2" t="s">
        <v>30</v>
      </c>
      <c r="M2" t="s">
        <v>31</v>
      </c>
      <c r="N2" t="s">
        <v>32</v>
      </c>
      <c r="O2">
        <v>5</v>
      </c>
      <c r="P2">
        <v>2</v>
      </c>
      <c r="Q2" t="s">
        <v>33</v>
      </c>
      <c r="R2" t="s">
        <v>34</v>
      </c>
      <c r="S2" s="3">
        <v>0</v>
      </c>
      <c r="T2" t="s">
        <v>35</v>
      </c>
      <c r="U2" t="s">
        <v>36</v>
      </c>
      <c r="V2" t="str">
        <f t="shared" ref="V2:V65" si="0">TEXT(D2,"yyyy-mm")</f>
        <v>2026-03</v>
      </c>
      <c r="W2" t="str">
        <f t="shared" ref="W2:W65" si="1">IF(P2&lt;=3,"0-3 days",IF(P2&lt;=7,"4-7 days",IF(P2&lt;=14,"8-14 days","15+ days")))</f>
        <v>0-3 days</v>
      </c>
      <c r="X2" t="str">
        <f t="shared" ref="X2:X65" si="2">IF(S2&gt;0,"Refund Issued","No Refund")</f>
        <v>No Refund</v>
      </c>
      <c r="Y2" t="str">
        <f t="shared" ref="Y2:Y65" si="3">IF(OR(F2="Failed Payment",F2="Duplicate Debit",F2="Refund Delay"),"High",IF(OR(F2="Merchant Not Credited",F2="Wrong Amount Debited"),"Medium","Low"))</f>
        <v>High</v>
      </c>
    </row>
    <row r="3" spans="1:25" ht="27.6">
      <c r="A3" t="s">
        <v>37</v>
      </c>
      <c r="B3" t="s">
        <v>38</v>
      </c>
      <c r="C3" t="s">
        <v>39</v>
      </c>
      <c r="D3" s="2">
        <v>46094</v>
      </c>
      <c r="E3" t="s">
        <v>40</v>
      </c>
      <c r="F3" t="s">
        <v>25</v>
      </c>
      <c r="G3" s="3">
        <v>177.21</v>
      </c>
      <c r="H3" t="s">
        <v>41</v>
      </c>
      <c r="I3" t="s">
        <v>27</v>
      </c>
      <c r="J3" s="4" t="s">
        <v>42</v>
      </c>
      <c r="K3" t="s">
        <v>29</v>
      </c>
      <c r="L3" t="s">
        <v>30</v>
      </c>
      <c r="M3" t="s">
        <v>31</v>
      </c>
      <c r="N3" t="s">
        <v>32</v>
      </c>
      <c r="O3">
        <v>5</v>
      </c>
      <c r="P3">
        <v>3</v>
      </c>
      <c r="Q3" t="s">
        <v>33</v>
      </c>
      <c r="R3" t="s">
        <v>34</v>
      </c>
      <c r="S3" s="3">
        <v>132.91</v>
      </c>
      <c r="T3" t="s">
        <v>43</v>
      </c>
      <c r="U3" t="s">
        <v>36</v>
      </c>
      <c r="V3" t="str">
        <f t="shared" si="0"/>
        <v>2026-03</v>
      </c>
      <c r="W3" t="str">
        <f t="shared" si="1"/>
        <v>0-3 days</v>
      </c>
      <c r="X3" t="str">
        <f t="shared" si="2"/>
        <v>Refund Issued</v>
      </c>
      <c r="Y3" t="str">
        <f t="shared" si="3"/>
        <v>High</v>
      </c>
    </row>
    <row r="4" spans="1:25" ht="27.6">
      <c r="A4" t="s">
        <v>44</v>
      </c>
      <c r="B4" t="s">
        <v>45</v>
      </c>
      <c r="C4" t="s">
        <v>46</v>
      </c>
      <c r="D4" s="2">
        <v>46140</v>
      </c>
      <c r="E4" t="s">
        <v>47</v>
      </c>
      <c r="F4" t="s">
        <v>48</v>
      </c>
      <c r="G4" s="3">
        <v>27.24</v>
      </c>
      <c r="H4" t="s">
        <v>49</v>
      </c>
      <c r="I4" t="s">
        <v>50</v>
      </c>
      <c r="J4" s="4" t="s">
        <v>51</v>
      </c>
      <c r="K4" t="s">
        <v>33</v>
      </c>
      <c r="L4" t="s">
        <v>30</v>
      </c>
      <c r="M4" t="s">
        <v>31</v>
      </c>
      <c r="N4" t="s">
        <v>32</v>
      </c>
      <c r="O4">
        <v>10</v>
      </c>
      <c r="P4">
        <v>4</v>
      </c>
      <c r="Q4" t="s">
        <v>33</v>
      </c>
      <c r="R4" t="s">
        <v>34</v>
      </c>
      <c r="S4" s="3">
        <v>20.43</v>
      </c>
      <c r="T4" t="s">
        <v>52</v>
      </c>
      <c r="U4" t="s">
        <v>53</v>
      </c>
      <c r="V4" t="str">
        <f t="shared" si="0"/>
        <v>2026-04</v>
      </c>
      <c r="W4" t="str">
        <f t="shared" si="1"/>
        <v>4-7 days</v>
      </c>
      <c r="X4" t="str">
        <f t="shared" si="2"/>
        <v>Refund Issued</v>
      </c>
      <c r="Y4" t="str">
        <f t="shared" si="3"/>
        <v>Low</v>
      </c>
    </row>
    <row r="5" spans="1:25" ht="27.6">
      <c r="A5" t="s">
        <v>54</v>
      </c>
      <c r="B5" t="s">
        <v>55</v>
      </c>
      <c r="C5" t="s">
        <v>56</v>
      </c>
      <c r="D5" s="2">
        <v>46094</v>
      </c>
      <c r="E5" t="s">
        <v>47</v>
      </c>
      <c r="F5" t="s">
        <v>57</v>
      </c>
      <c r="G5" s="3">
        <v>18.86</v>
      </c>
      <c r="H5" t="s">
        <v>58</v>
      </c>
      <c r="I5" t="s">
        <v>27</v>
      </c>
      <c r="J5" s="4" t="s">
        <v>59</v>
      </c>
      <c r="K5" t="s">
        <v>33</v>
      </c>
      <c r="L5" t="s">
        <v>60</v>
      </c>
      <c r="M5" t="s">
        <v>31</v>
      </c>
      <c r="N5" t="s">
        <v>32</v>
      </c>
      <c r="O5">
        <v>10</v>
      </c>
      <c r="P5">
        <v>11</v>
      </c>
      <c r="Q5" t="s">
        <v>29</v>
      </c>
      <c r="R5" t="s">
        <v>61</v>
      </c>
      <c r="S5" s="3">
        <v>0</v>
      </c>
      <c r="T5" t="s">
        <v>62</v>
      </c>
      <c r="U5" t="s">
        <v>63</v>
      </c>
      <c r="V5" t="str">
        <f t="shared" si="0"/>
        <v>2026-03</v>
      </c>
      <c r="W5" t="str">
        <f t="shared" si="1"/>
        <v>8-14 days</v>
      </c>
      <c r="X5" t="str">
        <f t="shared" si="2"/>
        <v>No Refund</v>
      </c>
      <c r="Y5" t="str">
        <f t="shared" si="3"/>
        <v>Low</v>
      </c>
    </row>
    <row r="6" spans="1:25" ht="27.6">
      <c r="A6" t="s">
        <v>64</v>
      </c>
      <c r="B6" t="s">
        <v>65</v>
      </c>
      <c r="C6" t="s">
        <v>66</v>
      </c>
      <c r="D6" s="2">
        <v>46120</v>
      </c>
      <c r="E6" t="s">
        <v>24</v>
      </c>
      <c r="F6" t="s">
        <v>48</v>
      </c>
      <c r="G6" s="3">
        <v>57.49</v>
      </c>
      <c r="H6" t="s">
        <v>41</v>
      </c>
      <c r="I6" t="s">
        <v>67</v>
      </c>
      <c r="J6" s="4" t="s">
        <v>68</v>
      </c>
      <c r="K6" t="s">
        <v>33</v>
      </c>
      <c r="L6" t="s">
        <v>30</v>
      </c>
      <c r="M6" t="s">
        <v>31</v>
      </c>
      <c r="N6" t="s">
        <v>32</v>
      </c>
      <c r="O6">
        <v>10</v>
      </c>
      <c r="P6">
        <v>11</v>
      </c>
      <c r="Q6" t="s">
        <v>29</v>
      </c>
      <c r="R6" t="s">
        <v>34</v>
      </c>
      <c r="S6" s="3">
        <v>57.49</v>
      </c>
      <c r="T6" t="s">
        <v>69</v>
      </c>
      <c r="U6" t="s">
        <v>63</v>
      </c>
      <c r="V6" t="str">
        <f t="shared" si="0"/>
        <v>2026-04</v>
      </c>
      <c r="W6" t="str">
        <f t="shared" si="1"/>
        <v>8-14 days</v>
      </c>
      <c r="X6" t="str">
        <f t="shared" si="2"/>
        <v>Refund Issued</v>
      </c>
      <c r="Y6" t="str">
        <f t="shared" si="3"/>
        <v>Low</v>
      </c>
    </row>
    <row r="7" spans="1:25" ht="27.6">
      <c r="A7" t="s">
        <v>70</v>
      </c>
      <c r="B7" t="s">
        <v>71</v>
      </c>
      <c r="C7" t="s">
        <v>72</v>
      </c>
      <c r="D7" s="2">
        <v>46150</v>
      </c>
      <c r="E7" t="s">
        <v>24</v>
      </c>
      <c r="F7" t="s">
        <v>73</v>
      </c>
      <c r="G7" s="3">
        <v>37.28</v>
      </c>
      <c r="H7" t="s">
        <v>74</v>
      </c>
      <c r="I7" t="s">
        <v>50</v>
      </c>
      <c r="J7" s="4" t="s">
        <v>75</v>
      </c>
      <c r="K7" t="s">
        <v>29</v>
      </c>
      <c r="L7" t="s">
        <v>60</v>
      </c>
      <c r="M7" t="s">
        <v>31</v>
      </c>
      <c r="N7" t="s">
        <v>32</v>
      </c>
      <c r="O7">
        <v>10</v>
      </c>
      <c r="P7">
        <v>6</v>
      </c>
      <c r="Q7" t="s">
        <v>33</v>
      </c>
      <c r="R7" t="s">
        <v>61</v>
      </c>
      <c r="S7" s="3">
        <v>18.64</v>
      </c>
      <c r="T7" t="s">
        <v>62</v>
      </c>
      <c r="U7" t="s">
        <v>63</v>
      </c>
      <c r="V7" t="str">
        <f t="shared" si="0"/>
        <v>2026-05</v>
      </c>
      <c r="W7" t="str">
        <f t="shared" si="1"/>
        <v>4-7 days</v>
      </c>
      <c r="X7" t="str">
        <f t="shared" si="2"/>
        <v>Refund Issued</v>
      </c>
      <c r="Y7" t="str">
        <f t="shared" si="3"/>
        <v>Low</v>
      </c>
    </row>
    <row r="8" spans="1:25" ht="27.6">
      <c r="A8" t="s">
        <v>76</v>
      </c>
      <c r="B8" t="s">
        <v>77</v>
      </c>
      <c r="C8" t="s">
        <v>78</v>
      </c>
      <c r="D8" s="2">
        <v>46046</v>
      </c>
      <c r="E8" t="s">
        <v>40</v>
      </c>
      <c r="F8" t="s">
        <v>73</v>
      </c>
      <c r="G8" s="3">
        <v>22.14</v>
      </c>
      <c r="H8" t="s">
        <v>58</v>
      </c>
      <c r="I8" t="s">
        <v>27</v>
      </c>
      <c r="J8" s="4" t="s">
        <v>75</v>
      </c>
      <c r="K8" t="s">
        <v>29</v>
      </c>
      <c r="L8" t="s">
        <v>60</v>
      </c>
      <c r="M8" t="s">
        <v>31</v>
      </c>
      <c r="N8" t="s">
        <v>32</v>
      </c>
      <c r="O8">
        <v>10</v>
      </c>
      <c r="P8">
        <v>8</v>
      </c>
      <c r="Q8" t="s">
        <v>33</v>
      </c>
      <c r="R8" t="s">
        <v>61</v>
      </c>
      <c r="S8" s="3">
        <v>0</v>
      </c>
      <c r="T8" t="s">
        <v>52</v>
      </c>
      <c r="U8" t="s">
        <v>63</v>
      </c>
      <c r="V8" t="str">
        <f t="shared" si="0"/>
        <v>2026-01</v>
      </c>
      <c r="W8" t="str">
        <f t="shared" si="1"/>
        <v>8-14 days</v>
      </c>
      <c r="X8" t="str">
        <f t="shared" si="2"/>
        <v>No Refund</v>
      </c>
      <c r="Y8" t="str">
        <f t="shared" si="3"/>
        <v>Low</v>
      </c>
    </row>
    <row r="9" spans="1:25" ht="27.6">
      <c r="A9" t="s">
        <v>79</v>
      </c>
      <c r="B9" t="s">
        <v>80</v>
      </c>
      <c r="C9" t="s">
        <v>81</v>
      </c>
      <c r="D9" s="2">
        <v>46091</v>
      </c>
      <c r="E9" t="s">
        <v>40</v>
      </c>
      <c r="F9" t="s">
        <v>82</v>
      </c>
      <c r="G9" s="3">
        <v>28.28</v>
      </c>
      <c r="H9" t="s">
        <v>26</v>
      </c>
      <c r="I9" t="s">
        <v>67</v>
      </c>
      <c r="J9" s="4" t="s">
        <v>83</v>
      </c>
      <c r="K9" t="s">
        <v>33</v>
      </c>
      <c r="L9" t="s">
        <v>30</v>
      </c>
      <c r="M9" t="s">
        <v>31</v>
      </c>
      <c r="N9" t="s">
        <v>84</v>
      </c>
      <c r="O9">
        <v>7</v>
      </c>
      <c r="P9">
        <v>7</v>
      </c>
      <c r="Q9" t="s">
        <v>33</v>
      </c>
      <c r="R9" t="s">
        <v>85</v>
      </c>
      <c r="S9" s="3">
        <v>0</v>
      </c>
      <c r="T9" t="s">
        <v>69</v>
      </c>
      <c r="U9" t="s">
        <v>53</v>
      </c>
      <c r="V9" t="str">
        <f t="shared" si="0"/>
        <v>2026-03</v>
      </c>
      <c r="W9" t="str">
        <f t="shared" si="1"/>
        <v>4-7 days</v>
      </c>
      <c r="X9" t="str">
        <f t="shared" si="2"/>
        <v>No Refund</v>
      </c>
      <c r="Y9" t="str">
        <f t="shared" si="3"/>
        <v>High</v>
      </c>
    </row>
    <row r="10" spans="1:25" ht="27.6">
      <c r="A10" t="s">
        <v>86</v>
      </c>
      <c r="B10" t="s">
        <v>87</v>
      </c>
      <c r="C10" t="s">
        <v>88</v>
      </c>
      <c r="D10" s="2">
        <v>46073</v>
      </c>
      <c r="E10" t="s">
        <v>24</v>
      </c>
      <c r="F10" t="s">
        <v>57</v>
      </c>
      <c r="G10" s="3">
        <v>52.43</v>
      </c>
      <c r="H10" t="s">
        <v>89</v>
      </c>
      <c r="I10" t="s">
        <v>67</v>
      </c>
      <c r="J10" s="4" t="s">
        <v>59</v>
      </c>
      <c r="K10" t="s">
        <v>29</v>
      </c>
      <c r="L10" t="s">
        <v>60</v>
      </c>
      <c r="M10" t="s">
        <v>31</v>
      </c>
      <c r="N10" t="s">
        <v>90</v>
      </c>
      <c r="O10">
        <v>10</v>
      </c>
      <c r="P10">
        <v>17</v>
      </c>
      <c r="Q10" t="s">
        <v>29</v>
      </c>
      <c r="R10" t="s">
        <v>61</v>
      </c>
      <c r="S10" s="3">
        <v>0</v>
      </c>
      <c r="T10" t="s">
        <v>52</v>
      </c>
      <c r="U10" t="s">
        <v>63</v>
      </c>
      <c r="V10" t="str">
        <f t="shared" si="0"/>
        <v>2026-02</v>
      </c>
      <c r="W10" t="str">
        <f t="shared" si="1"/>
        <v>15+ days</v>
      </c>
      <c r="X10" t="str">
        <f t="shared" si="2"/>
        <v>No Refund</v>
      </c>
      <c r="Y10" t="str">
        <f t="shared" si="3"/>
        <v>Low</v>
      </c>
    </row>
    <row r="11" spans="1:25" ht="27.6">
      <c r="A11" t="s">
        <v>91</v>
      </c>
      <c r="B11" t="s">
        <v>92</v>
      </c>
      <c r="C11" t="s">
        <v>93</v>
      </c>
      <c r="D11" s="2">
        <v>46168</v>
      </c>
      <c r="E11" t="s">
        <v>94</v>
      </c>
      <c r="F11" t="s">
        <v>25</v>
      </c>
      <c r="G11" s="3">
        <v>39.57</v>
      </c>
      <c r="H11" t="s">
        <v>49</v>
      </c>
      <c r="I11" t="s">
        <v>50</v>
      </c>
      <c r="J11" s="4" t="s">
        <v>95</v>
      </c>
      <c r="K11" t="s">
        <v>29</v>
      </c>
      <c r="L11" t="s">
        <v>30</v>
      </c>
      <c r="M11" t="s">
        <v>96</v>
      </c>
      <c r="N11" t="s">
        <v>32</v>
      </c>
      <c r="O11">
        <v>5</v>
      </c>
      <c r="P11">
        <v>6</v>
      </c>
      <c r="Q11" t="s">
        <v>29</v>
      </c>
      <c r="R11" t="s">
        <v>34</v>
      </c>
      <c r="S11" s="3">
        <v>39.57</v>
      </c>
      <c r="T11" t="s">
        <v>35</v>
      </c>
      <c r="U11" t="s">
        <v>63</v>
      </c>
      <c r="V11" t="str">
        <f t="shared" si="0"/>
        <v>2026-05</v>
      </c>
      <c r="W11" t="str">
        <f t="shared" si="1"/>
        <v>4-7 days</v>
      </c>
      <c r="X11" t="str">
        <f t="shared" si="2"/>
        <v>Refund Issued</v>
      </c>
      <c r="Y11" t="str">
        <f t="shared" si="3"/>
        <v>High</v>
      </c>
    </row>
    <row r="12" spans="1:25" ht="27.6">
      <c r="A12" t="s">
        <v>97</v>
      </c>
      <c r="B12" t="s">
        <v>98</v>
      </c>
      <c r="C12" t="s">
        <v>99</v>
      </c>
      <c r="D12" s="2">
        <v>46131</v>
      </c>
      <c r="E12" t="s">
        <v>94</v>
      </c>
      <c r="F12" t="s">
        <v>48</v>
      </c>
      <c r="G12" s="3">
        <v>134.32</v>
      </c>
      <c r="H12" t="s">
        <v>58</v>
      </c>
      <c r="I12" t="s">
        <v>27</v>
      </c>
      <c r="J12" s="4" t="s">
        <v>51</v>
      </c>
      <c r="K12" t="s">
        <v>33</v>
      </c>
      <c r="L12" t="s">
        <v>30</v>
      </c>
      <c r="M12" t="s">
        <v>31</v>
      </c>
      <c r="N12" t="s">
        <v>32</v>
      </c>
      <c r="O12">
        <v>10</v>
      </c>
      <c r="P12">
        <v>4</v>
      </c>
      <c r="Q12" t="s">
        <v>33</v>
      </c>
      <c r="R12" t="s">
        <v>34</v>
      </c>
      <c r="S12" s="3">
        <v>67.16</v>
      </c>
      <c r="T12" t="s">
        <v>62</v>
      </c>
      <c r="U12" t="s">
        <v>36</v>
      </c>
      <c r="V12" t="str">
        <f t="shared" si="0"/>
        <v>2026-04</v>
      </c>
      <c r="W12" t="str">
        <f t="shared" si="1"/>
        <v>4-7 days</v>
      </c>
      <c r="X12" t="str">
        <f t="shared" si="2"/>
        <v>Refund Issued</v>
      </c>
      <c r="Y12" t="str">
        <f t="shared" si="3"/>
        <v>Low</v>
      </c>
    </row>
    <row r="13" spans="1:25" ht="27.6">
      <c r="A13" t="s">
        <v>100</v>
      </c>
      <c r="B13" t="s">
        <v>101</v>
      </c>
      <c r="C13" t="s">
        <v>102</v>
      </c>
      <c r="D13" s="2">
        <v>46079</v>
      </c>
      <c r="E13" t="s">
        <v>24</v>
      </c>
      <c r="F13" t="s">
        <v>103</v>
      </c>
      <c r="G13" s="3">
        <v>14.58</v>
      </c>
      <c r="H13" t="s">
        <v>89</v>
      </c>
      <c r="I13" t="s">
        <v>27</v>
      </c>
      <c r="J13" s="4" t="s">
        <v>104</v>
      </c>
      <c r="K13" t="s">
        <v>29</v>
      </c>
      <c r="L13" t="s">
        <v>30</v>
      </c>
      <c r="M13" t="s">
        <v>31</v>
      </c>
      <c r="N13" t="s">
        <v>32</v>
      </c>
      <c r="O13">
        <v>5</v>
      </c>
      <c r="P13">
        <v>10</v>
      </c>
      <c r="Q13" t="s">
        <v>29</v>
      </c>
      <c r="R13" t="s">
        <v>34</v>
      </c>
      <c r="S13" s="3">
        <v>0</v>
      </c>
      <c r="T13" t="s">
        <v>35</v>
      </c>
      <c r="U13" t="s">
        <v>63</v>
      </c>
      <c r="V13" t="str">
        <f t="shared" si="0"/>
        <v>2026-02</v>
      </c>
      <c r="W13" t="str">
        <f t="shared" si="1"/>
        <v>8-14 days</v>
      </c>
      <c r="X13" t="str">
        <f t="shared" si="2"/>
        <v>No Refund</v>
      </c>
      <c r="Y13" t="str">
        <f t="shared" si="3"/>
        <v>Medium</v>
      </c>
    </row>
    <row r="14" spans="1:25" ht="27.6">
      <c r="A14" t="s">
        <v>105</v>
      </c>
      <c r="B14" t="s">
        <v>106</v>
      </c>
      <c r="C14" t="s">
        <v>107</v>
      </c>
      <c r="D14" s="2">
        <v>46144</v>
      </c>
      <c r="E14" t="s">
        <v>40</v>
      </c>
      <c r="F14" t="s">
        <v>25</v>
      </c>
      <c r="G14" s="3">
        <v>14.4</v>
      </c>
      <c r="H14" t="s">
        <v>108</v>
      </c>
      <c r="I14" t="s">
        <v>27</v>
      </c>
      <c r="J14" s="4" t="s">
        <v>109</v>
      </c>
      <c r="K14" t="s">
        <v>33</v>
      </c>
      <c r="L14" t="s">
        <v>30</v>
      </c>
      <c r="M14" t="s">
        <v>31</v>
      </c>
      <c r="N14" t="s">
        <v>32</v>
      </c>
      <c r="O14">
        <v>5</v>
      </c>
      <c r="P14">
        <v>4</v>
      </c>
      <c r="Q14" t="s">
        <v>33</v>
      </c>
      <c r="R14" t="s">
        <v>34</v>
      </c>
      <c r="S14" s="3">
        <v>10.8</v>
      </c>
      <c r="T14" t="s">
        <v>110</v>
      </c>
      <c r="U14" t="s">
        <v>53</v>
      </c>
      <c r="V14" t="str">
        <f t="shared" si="0"/>
        <v>2026-05</v>
      </c>
      <c r="W14" t="str">
        <f t="shared" si="1"/>
        <v>4-7 days</v>
      </c>
      <c r="X14" t="str">
        <f t="shared" si="2"/>
        <v>Refund Issued</v>
      </c>
      <c r="Y14" t="str">
        <f t="shared" si="3"/>
        <v>High</v>
      </c>
    </row>
    <row r="15" spans="1:25" ht="27.6">
      <c r="A15" t="s">
        <v>111</v>
      </c>
      <c r="B15" t="s">
        <v>112</v>
      </c>
      <c r="C15" t="s">
        <v>113</v>
      </c>
      <c r="D15" s="2">
        <v>46160</v>
      </c>
      <c r="E15" t="s">
        <v>47</v>
      </c>
      <c r="F15" t="s">
        <v>82</v>
      </c>
      <c r="G15" s="3">
        <v>26.3</v>
      </c>
      <c r="H15" t="s">
        <v>26</v>
      </c>
      <c r="I15" t="s">
        <v>27</v>
      </c>
      <c r="J15" s="4" t="s">
        <v>114</v>
      </c>
      <c r="K15" t="s">
        <v>33</v>
      </c>
      <c r="L15" t="s">
        <v>30</v>
      </c>
      <c r="M15" t="s">
        <v>31</v>
      </c>
      <c r="N15" t="s">
        <v>32</v>
      </c>
      <c r="O15">
        <v>7</v>
      </c>
      <c r="P15">
        <v>1</v>
      </c>
      <c r="Q15" t="s">
        <v>33</v>
      </c>
      <c r="R15" t="s">
        <v>85</v>
      </c>
      <c r="S15" s="3">
        <v>0</v>
      </c>
      <c r="T15" t="s">
        <v>62</v>
      </c>
      <c r="U15" t="s">
        <v>53</v>
      </c>
      <c r="V15" t="str">
        <f t="shared" si="0"/>
        <v>2026-05</v>
      </c>
      <c r="W15" t="str">
        <f t="shared" si="1"/>
        <v>0-3 days</v>
      </c>
      <c r="X15" t="str">
        <f t="shared" si="2"/>
        <v>No Refund</v>
      </c>
      <c r="Y15" t="str">
        <f t="shared" si="3"/>
        <v>High</v>
      </c>
    </row>
    <row r="16" spans="1:25" ht="27.6">
      <c r="A16" t="s">
        <v>115</v>
      </c>
      <c r="B16" t="s">
        <v>116</v>
      </c>
      <c r="C16" t="s">
        <v>117</v>
      </c>
      <c r="D16" s="2">
        <v>46127</v>
      </c>
      <c r="E16" t="s">
        <v>47</v>
      </c>
      <c r="F16" t="s">
        <v>118</v>
      </c>
      <c r="G16" s="3">
        <v>34.700000000000003</v>
      </c>
      <c r="H16" t="s">
        <v>108</v>
      </c>
      <c r="I16" t="s">
        <v>27</v>
      </c>
      <c r="J16" s="4" t="s">
        <v>119</v>
      </c>
      <c r="K16" t="s">
        <v>29</v>
      </c>
      <c r="L16" t="s">
        <v>120</v>
      </c>
      <c r="M16" t="s">
        <v>96</v>
      </c>
      <c r="N16" t="s">
        <v>32</v>
      </c>
      <c r="O16">
        <v>5</v>
      </c>
      <c r="P16">
        <v>7</v>
      </c>
      <c r="Q16" t="s">
        <v>29</v>
      </c>
      <c r="R16" t="s">
        <v>85</v>
      </c>
      <c r="S16" s="3">
        <v>34.700000000000003</v>
      </c>
      <c r="T16" t="s">
        <v>121</v>
      </c>
      <c r="U16" t="s">
        <v>63</v>
      </c>
      <c r="V16" t="str">
        <f t="shared" si="0"/>
        <v>2026-04</v>
      </c>
      <c r="W16" t="str">
        <f t="shared" si="1"/>
        <v>4-7 days</v>
      </c>
      <c r="X16" t="str">
        <f t="shared" si="2"/>
        <v>Refund Issued</v>
      </c>
      <c r="Y16" t="str">
        <f t="shared" si="3"/>
        <v>High</v>
      </c>
    </row>
    <row r="17" spans="1:25" ht="27.6">
      <c r="A17" t="s">
        <v>122</v>
      </c>
      <c r="B17" t="s">
        <v>123</v>
      </c>
      <c r="C17" t="s">
        <v>124</v>
      </c>
      <c r="D17" s="2">
        <v>46098</v>
      </c>
      <c r="E17" t="s">
        <v>24</v>
      </c>
      <c r="F17" t="s">
        <v>25</v>
      </c>
      <c r="G17" s="3">
        <v>58.33</v>
      </c>
      <c r="H17" t="s">
        <v>41</v>
      </c>
      <c r="I17" t="s">
        <v>27</v>
      </c>
      <c r="J17" s="4" t="s">
        <v>125</v>
      </c>
      <c r="K17" t="s">
        <v>33</v>
      </c>
      <c r="L17" t="s">
        <v>30</v>
      </c>
      <c r="M17" t="s">
        <v>31</v>
      </c>
      <c r="N17" t="s">
        <v>126</v>
      </c>
      <c r="O17">
        <v>5</v>
      </c>
      <c r="P17">
        <v>3</v>
      </c>
      <c r="Q17" t="s">
        <v>33</v>
      </c>
      <c r="R17" t="s">
        <v>34</v>
      </c>
      <c r="S17" s="3">
        <v>0</v>
      </c>
      <c r="T17" t="s">
        <v>35</v>
      </c>
      <c r="U17" t="s">
        <v>53</v>
      </c>
      <c r="V17" t="str">
        <f t="shared" si="0"/>
        <v>2026-03</v>
      </c>
      <c r="W17" t="str">
        <f t="shared" si="1"/>
        <v>0-3 days</v>
      </c>
      <c r="X17" t="str">
        <f t="shared" si="2"/>
        <v>No Refund</v>
      </c>
      <c r="Y17" t="str">
        <f t="shared" si="3"/>
        <v>High</v>
      </c>
    </row>
    <row r="18" spans="1:25" ht="27.6">
      <c r="A18" t="s">
        <v>127</v>
      </c>
      <c r="B18" t="s">
        <v>128</v>
      </c>
      <c r="C18" t="s">
        <v>129</v>
      </c>
      <c r="D18" s="2">
        <v>46070</v>
      </c>
      <c r="E18" t="s">
        <v>24</v>
      </c>
      <c r="F18" t="s">
        <v>25</v>
      </c>
      <c r="G18" s="3">
        <v>97.99</v>
      </c>
      <c r="H18" t="s">
        <v>89</v>
      </c>
      <c r="I18" t="s">
        <v>27</v>
      </c>
      <c r="J18" s="4" t="s">
        <v>130</v>
      </c>
      <c r="K18" t="s">
        <v>29</v>
      </c>
      <c r="L18" t="s">
        <v>30</v>
      </c>
      <c r="M18" t="s">
        <v>31</v>
      </c>
      <c r="N18" t="s">
        <v>32</v>
      </c>
      <c r="O18">
        <v>5</v>
      </c>
      <c r="P18">
        <v>9</v>
      </c>
      <c r="Q18" t="s">
        <v>29</v>
      </c>
      <c r="R18" t="s">
        <v>34</v>
      </c>
      <c r="S18" s="3">
        <v>73.489999999999995</v>
      </c>
      <c r="T18" t="s">
        <v>35</v>
      </c>
      <c r="U18" t="s">
        <v>63</v>
      </c>
      <c r="V18" t="str">
        <f t="shared" si="0"/>
        <v>2026-02</v>
      </c>
      <c r="W18" t="str">
        <f t="shared" si="1"/>
        <v>8-14 days</v>
      </c>
      <c r="X18" t="str">
        <f t="shared" si="2"/>
        <v>Refund Issued</v>
      </c>
      <c r="Y18" t="str">
        <f t="shared" si="3"/>
        <v>High</v>
      </c>
    </row>
    <row r="19" spans="1:25" ht="27.6">
      <c r="A19" t="s">
        <v>131</v>
      </c>
      <c r="B19" t="s">
        <v>132</v>
      </c>
      <c r="C19" t="s">
        <v>133</v>
      </c>
      <c r="D19" s="2">
        <v>46090</v>
      </c>
      <c r="E19" t="s">
        <v>24</v>
      </c>
      <c r="F19" t="s">
        <v>103</v>
      </c>
      <c r="G19" s="3">
        <v>26.4</v>
      </c>
      <c r="H19" t="s">
        <v>49</v>
      </c>
      <c r="I19" t="s">
        <v>67</v>
      </c>
      <c r="J19" s="4" t="s">
        <v>134</v>
      </c>
      <c r="K19" t="s">
        <v>29</v>
      </c>
      <c r="L19" t="s">
        <v>30</v>
      </c>
      <c r="M19" t="s">
        <v>31</v>
      </c>
      <c r="N19" t="s">
        <v>32</v>
      </c>
      <c r="O19">
        <v>5</v>
      </c>
      <c r="P19">
        <v>8</v>
      </c>
      <c r="Q19" t="s">
        <v>29</v>
      </c>
      <c r="R19" t="s">
        <v>34</v>
      </c>
      <c r="S19" s="3">
        <v>19.8</v>
      </c>
      <c r="T19" t="s">
        <v>35</v>
      </c>
      <c r="U19" t="s">
        <v>63</v>
      </c>
      <c r="V19" t="str">
        <f t="shared" si="0"/>
        <v>2026-03</v>
      </c>
      <c r="W19" t="str">
        <f t="shared" si="1"/>
        <v>8-14 days</v>
      </c>
      <c r="X19" t="str">
        <f t="shared" si="2"/>
        <v>Refund Issued</v>
      </c>
      <c r="Y19" t="str">
        <f t="shared" si="3"/>
        <v>Medium</v>
      </c>
    </row>
    <row r="20" spans="1:25" ht="27.6">
      <c r="A20" t="s">
        <v>135</v>
      </c>
      <c r="B20" t="s">
        <v>136</v>
      </c>
      <c r="C20" t="s">
        <v>137</v>
      </c>
      <c r="D20" s="2">
        <v>46085</v>
      </c>
      <c r="E20" t="s">
        <v>24</v>
      </c>
      <c r="F20" t="s">
        <v>25</v>
      </c>
      <c r="G20" s="3">
        <v>208.84</v>
      </c>
      <c r="H20" t="s">
        <v>89</v>
      </c>
      <c r="I20" t="s">
        <v>67</v>
      </c>
      <c r="J20" s="4" t="s">
        <v>138</v>
      </c>
      <c r="K20" t="s">
        <v>33</v>
      </c>
      <c r="L20" t="s">
        <v>30</v>
      </c>
      <c r="M20" t="s">
        <v>31</v>
      </c>
      <c r="N20" t="s">
        <v>32</v>
      </c>
      <c r="O20">
        <v>5</v>
      </c>
      <c r="P20">
        <v>14</v>
      </c>
      <c r="Q20" t="s">
        <v>29</v>
      </c>
      <c r="R20" t="s">
        <v>34</v>
      </c>
      <c r="S20" s="3">
        <v>0</v>
      </c>
      <c r="T20" t="s">
        <v>35</v>
      </c>
      <c r="U20" t="s">
        <v>63</v>
      </c>
      <c r="V20" t="str">
        <f t="shared" si="0"/>
        <v>2026-03</v>
      </c>
      <c r="W20" t="str">
        <f t="shared" si="1"/>
        <v>8-14 days</v>
      </c>
      <c r="X20" t="str">
        <f t="shared" si="2"/>
        <v>No Refund</v>
      </c>
      <c r="Y20" t="str">
        <f t="shared" si="3"/>
        <v>High</v>
      </c>
    </row>
    <row r="21" spans="1:25" ht="27.6">
      <c r="A21" t="s">
        <v>139</v>
      </c>
      <c r="B21" t="s">
        <v>140</v>
      </c>
      <c r="C21" t="s">
        <v>141</v>
      </c>
      <c r="D21" s="2">
        <v>46050</v>
      </c>
      <c r="E21" t="s">
        <v>40</v>
      </c>
      <c r="F21" t="s">
        <v>25</v>
      </c>
      <c r="G21" s="3">
        <v>27.03</v>
      </c>
      <c r="H21" t="s">
        <v>41</v>
      </c>
      <c r="I21" t="s">
        <v>27</v>
      </c>
      <c r="J21" s="4" t="s">
        <v>142</v>
      </c>
      <c r="K21" t="s">
        <v>29</v>
      </c>
      <c r="L21" t="s">
        <v>30</v>
      </c>
      <c r="M21" t="s">
        <v>31</v>
      </c>
      <c r="N21" t="s">
        <v>32</v>
      </c>
      <c r="O21">
        <v>5</v>
      </c>
      <c r="P21">
        <v>6</v>
      </c>
      <c r="Q21" t="s">
        <v>29</v>
      </c>
      <c r="R21" t="s">
        <v>34</v>
      </c>
      <c r="S21" s="3">
        <v>13.52</v>
      </c>
      <c r="T21" t="s">
        <v>43</v>
      </c>
      <c r="U21" t="s">
        <v>63</v>
      </c>
      <c r="V21" t="str">
        <f t="shared" si="0"/>
        <v>2026-01</v>
      </c>
      <c r="W21" t="str">
        <f t="shared" si="1"/>
        <v>4-7 days</v>
      </c>
      <c r="X21" t="str">
        <f t="shared" si="2"/>
        <v>Refund Issued</v>
      </c>
      <c r="Y21" t="str">
        <f t="shared" si="3"/>
        <v>High</v>
      </c>
    </row>
    <row r="22" spans="1:25" ht="27.6">
      <c r="A22" t="s">
        <v>143</v>
      </c>
      <c r="B22" t="s">
        <v>144</v>
      </c>
      <c r="C22" t="s">
        <v>145</v>
      </c>
      <c r="D22" s="2">
        <v>46093</v>
      </c>
      <c r="E22" t="s">
        <v>24</v>
      </c>
      <c r="F22" t="s">
        <v>82</v>
      </c>
      <c r="G22" s="3">
        <v>16.71</v>
      </c>
      <c r="H22" t="s">
        <v>58</v>
      </c>
      <c r="I22" t="s">
        <v>27</v>
      </c>
      <c r="J22" s="4" t="s">
        <v>114</v>
      </c>
      <c r="K22" t="s">
        <v>29</v>
      </c>
      <c r="L22" t="s">
        <v>30</v>
      </c>
      <c r="M22" t="s">
        <v>31</v>
      </c>
      <c r="N22" t="s">
        <v>32</v>
      </c>
      <c r="O22">
        <v>7</v>
      </c>
      <c r="P22">
        <v>10</v>
      </c>
      <c r="Q22" t="s">
        <v>29</v>
      </c>
      <c r="R22" t="s">
        <v>85</v>
      </c>
      <c r="S22" s="3">
        <v>12.53</v>
      </c>
      <c r="T22" t="s">
        <v>43</v>
      </c>
      <c r="U22" t="s">
        <v>63</v>
      </c>
      <c r="V22" t="str">
        <f t="shared" si="0"/>
        <v>2026-03</v>
      </c>
      <c r="W22" t="str">
        <f t="shared" si="1"/>
        <v>8-14 days</v>
      </c>
      <c r="X22" t="str">
        <f t="shared" si="2"/>
        <v>Refund Issued</v>
      </c>
      <c r="Y22" t="str">
        <f t="shared" si="3"/>
        <v>High</v>
      </c>
    </row>
    <row r="23" spans="1:25" ht="27.6">
      <c r="A23" t="s">
        <v>146</v>
      </c>
      <c r="B23" t="s">
        <v>147</v>
      </c>
      <c r="C23" t="s">
        <v>148</v>
      </c>
      <c r="D23" s="2">
        <v>46033</v>
      </c>
      <c r="E23" t="s">
        <v>24</v>
      </c>
      <c r="F23" t="s">
        <v>73</v>
      </c>
      <c r="G23" s="3">
        <v>84.47</v>
      </c>
      <c r="H23" t="s">
        <v>74</v>
      </c>
      <c r="I23" t="s">
        <v>50</v>
      </c>
      <c r="J23" s="4" t="s">
        <v>75</v>
      </c>
      <c r="K23" t="s">
        <v>29</v>
      </c>
      <c r="L23" t="s">
        <v>60</v>
      </c>
      <c r="M23" t="s">
        <v>31</v>
      </c>
      <c r="N23" t="s">
        <v>90</v>
      </c>
      <c r="O23">
        <v>10</v>
      </c>
      <c r="P23">
        <v>9</v>
      </c>
      <c r="Q23" t="s">
        <v>33</v>
      </c>
      <c r="R23" t="s">
        <v>61</v>
      </c>
      <c r="S23" s="3">
        <v>0</v>
      </c>
      <c r="T23" t="s">
        <v>62</v>
      </c>
      <c r="U23" t="s">
        <v>63</v>
      </c>
      <c r="V23" t="str">
        <f t="shared" si="0"/>
        <v>2026-01</v>
      </c>
      <c r="W23" t="str">
        <f t="shared" si="1"/>
        <v>8-14 days</v>
      </c>
      <c r="X23" t="str">
        <f t="shared" si="2"/>
        <v>No Refund</v>
      </c>
      <c r="Y23" t="str">
        <f t="shared" si="3"/>
        <v>Low</v>
      </c>
    </row>
    <row r="24" spans="1:25" ht="27.6">
      <c r="A24" t="s">
        <v>149</v>
      </c>
      <c r="B24" t="s">
        <v>150</v>
      </c>
      <c r="C24" t="s">
        <v>151</v>
      </c>
      <c r="D24" s="2">
        <v>46068</v>
      </c>
      <c r="E24" t="s">
        <v>94</v>
      </c>
      <c r="F24" t="s">
        <v>25</v>
      </c>
      <c r="G24" s="3">
        <v>67.8</v>
      </c>
      <c r="H24" t="s">
        <v>108</v>
      </c>
      <c r="I24" t="s">
        <v>67</v>
      </c>
      <c r="J24" s="4" t="s">
        <v>42</v>
      </c>
      <c r="K24" t="s">
        <v>33</v>
      </c>
      <c r="L24" t="s">
        <v>30</v>
      </c>
      <c r="M24" t="s">
        <v>31</v>
      </c>
      <c r="N24" t="s">
        <v>32</v>
      </c>
      <c r="O24">
        <v>5</v>
      </c>
      <c r="P24">
        <v>8</v>
      </c>
      <c r="Q24" t="s">
        <v>29</v>
      </c>
      <c r="R24" t="s">
        <v>34</v>
      </c>
      <c r="S24" s="3">
        <v>0</v>
      </c>
      <c r="T24" t="s">
        <v>110</v>
      </c>
      <c r="U24" t="s">
        <v>63</v>
      </c>
      <c r="V24" t="str">
        <f t="shared" si="0"/>
        <v>2026-02</v>
      </c>
      <c r="W24" t="str">
        <f t="shared" si="1"/>
        <v>8-14 days</v>
      </c>
      <c r="X24" t="str">
        <f t="shared" si="2"/>
        <v>No Refund</v>
      </c>
      <c r="Y24" t="str">
        <f t="shared" si="3"/>
        <v>High</v>
      </c>
    </row>
    <row r="25" spans="1:25" ht="27.6">
      <c r="A25" t="s">
        <v>152</v>
      </c>
      <c r="B25" t="s">
        <v>153</v>
      </c>
      <c r="C25" t="s">
        <v>154</v>
      </c>
      <c r="D25" s="2">
        <v>46140</v>
      </c>
      <c r="E25" t="s">
        <v>24</v>
      </c>
      <c r="F25" t="s">
        <v>57</v>
      </c>
      <c r="G25" s="3">
        <v>81.19</v>
      </c>
      <c r="H25" t="s">
        <v>58</v>
      </c>
      <c r="I25" t="s">
        <v>27</v>
      </c>
      <c r="J25" s="4" t="s">
        <v>155</v>
      </c>
      <c r="K25" t="s">
        <v>29</v>
      </c>
      <c r="L25" t="s">
        <v>60</v>
      </c>
      <c r="M25" t="s">
        <v>31</v>
      </c>
      <c r="N25" t="s">
        <v>90</v>
      </c>
      <c r="O25">
        <v>10</v>
      </c>
      <c r="P25">
        <v>16</v>
      </c>
      <c r="Q25" t="s">
        <v>29</v>
      </c>
      <c r="R25" t="s">
        <v>61</v>
      </c>
      <c r="S25" s="3">
        <v>0</v>
      </c>
      <c r="T25" t="s">
        <v>156</v>
      </c>
      <c r="U25" t="s">
        <v>63</v>
      </c>
      <c r="V25" t="str">
        <f t="shared" si="0"/>
        <v>2026-04</v>
      </c>
      <c r="W25" t="str">
        <f t="shared" si="1"/>
        <v>15+ days</v>
      </c>
      <c r="X25" t="str">
        <f t="shared" si="2"/>
        <v>No Refund</v>
      </c>
      <c r="Y25" t="str">
        <f t="shared" si="3"/>
        <v>Low</v>
      </c>
    </row>
    <row r="26" spans="1:25" ht="27.6">
      <c r="A26" t="s">
        <v>157</v>
      </c>
      <c r="B26" t="s">
        <v>158</v>
      </c>
      <c r="C26" t="s">
        <v>159</v>
      </c>
      <c r="D26" s="2">
        <v>46160</v>
      </c>
      <c r="E26" t="s">
        <v>24</v>
      </c>
      <c r="F26" t="s">
        <v>25</v>
      </c>
      <c r="G26" s="3">
        <v>85.13</v>
      </c>
      <c r="H26" t="s">
        <v>89</v>
      </c>
      <c r="I26" t="s">
        <v>67</v>
      </c>
      <c r="J26" s="4" t="s">
        <v>42</v>
      </c>
      <c r="K26" t="s">
        <v>29</v>
      </c>
      <c r="L26" t="s">
        <v>30</v>
      </c>
      <c r="M26" t="s">
        <v>31</v>
      </c>
      <c r="N26" t="s">
        <v>90</v>
      </c>
      <c r="O26">
        <v>5</v>
      </c>
      <c r="P26">
        <v>3</v>
      </c>
      <c r="Q26" t="s">
        <v>33</v>
      </c>
      <c r="R26" t="s">
        <v>34</v>
      </c>
      <c r="S26" s="3">
        <v>0</v>
      </c>
      <c r="T26" t="s">
        <v>110</v>
      </c>
      <c r="U26" t="s">
        <v>53</v>
      </c>
      <c r="V26" t="str">
        <f t="shared" si="0"/>
        <v>2026-05</v>
      </c>
      <c r="W26" t="str">
        <f t="shared" si="1"/>
        <v>0-3 days</v>
      </c>
      <c r="X26" t="str">
        <f t="shared" si="2"/>
        <v>No Refund</v>
      </c>
      <c r="Y26" t="str">
        <f t="shared" si="3"/>
        <v>High</v>
      </c>
    </row>
    <row r="27" spans="1:25" ht="27.6">
      <c r="A27" t="s">
        <v>160</v>
      </c>
      <c r="B27" t="s">
        <v>161</v>
      </c>
      <c r="C27" t="s">
        <v>162</v>
      </c>
      <c r="D27" s="2">
        <v>46034</v>
      </c>
      <c r="E27" t="s">
        <v>40</v>
      </c>
      <c r="F27" t="s">
        <v>25</v>
      </c>
      <c r="G27" s="3">
        <v>155.16999999999999</v>
      </c>
      <c r="H27" t="s">
        <v>58</v>
      </c>
      <c r="I27" t="s">
        <v>67</v>
      </c>
      <c r="J27" s="4" t="s">
        <v>42</v>
      </c>
      <c r="K27" t="s">
        <v>33</v>
      </c>
      <c r="L27" t="s">
        <v>30</v>
      </c>
      <c r="M27" t="s">
        <v>31</v>
      </c>
      <c r="N27" t="s">
        <v>32</v>
      </c>
      <c r="O27">
        <v>5</v>
      </c>
      <c r="P27">
        <v>7</v>
      </c>
      <c r="Q27" t="s">
        <v>29</v>
      </c>
      <c r="R27" t="s">
        <v>34</v>
      </c>
      <c r="S27" s="3">
        <v>155.16999999999999</v>
      </c>
      <c r="T27" t="s">
        <v>110</v>
      </c>
      <c r="U27" t="s">
        <v>63</v>
      </c>
      <c r="V27" t="str">
        <f t="shared" si="0"/>
        <v>2026-01</v>
      </c>
      <c r="W27" t="str">
        <f t="shared" si="1"/>
        <v>4-7 days</v>
      </c>
      <c r="X27" t="str">
        <f t="shared" si="2"/>
        <v>Refund Issued</v>
      </c>
      <c r="Y27" t="str">
        <f t="shared" si="3"/>
        <v>High</v>
      </c>
    </row>
    <row r="28" spans="1:25" ht="27.6">
      <c r="A28" t="s">
        <v>163</v>
      </c>
      <c r="B28" t="s">
        <v>164</v>
      </c>
      <c r="C28" t="s">
        <v>165</v>
      </c>
      <c r="D28" s="2">
        <v>46054</v>
      </c>
      <c r="E28" t="s">
        <v>40</v>
      </c>
      <c r="F28" t="s">
        <v>118</v>
      </c>
      <c r="G28" s="3">
        <v>25.28</v>
      </c>
      <c r="H28" t="s">
        <v>108</v>
      </c>
      <c r="I28" t="s">
        <v>50</v>
      </c>
      <c r="J28" s="4" t="s">
        <v>119</v>
      </c>
      <c r="K28" t="s">
        <v>29</v>
      </c>
      <c r="L28" t="s">
        <v>120</v>
      </c>
      <c r="M28" t="s">
        <v>96</v>
      </c>
      <c r="N28" t="s">
        <v>32</v>
      </c>
      <c r="O28">
        <v>5</v>
      </c>
      <c r="P28">
        <v>4</v>
      </c>
      <c r="Q28" t="s">
        <v>33</v>
      </c>
      <c r="R28" t="s">
        <v>85</v>
      </c>
      <c r="S28" s="3">
        <v>25.28</v>
      </c>
      <c r="T28" t="s">
        <v>121</v>
      </c>
      <c r="U28" t="s">
        <v>53</v>
      </c>
      <c r="V28" t="str">
        <f t="shared" si="0"/>
        <v>2026-02</v>
      </c>
      <c r="W28" t="str">
        <f t="shared" si="1"/>
        <v>4-7 days</v>
      </c>
      <c r="X28" t="str">
        <f t="shared" si="2"/>
        <v>Refund Issued</v>
      </c>
      <c r="Y28" t="str">
        <f t="shared" si="3"/>
        <v>High</v>
      </c>
    </row>
    <row r="29" spans="1:25" ht="27.6">
      <c r="A29" t="s">
        <v>166</v>
      </c>
      <c r="B29" t="s">
        <v>167</v>
      </c>
      <c r="C29" t="s">
        <v>168</v>
      </c>
      <c r="D29" s="2">
        <v>46023</v>
      </c>
      <c r="E29" t="s">
        <v>24</v>
      </c>
      <c r="F29" t="s">
        <v>118</v>
      </c>
      <c r="G29" s="3">
        <v>116.67</v>
      </c>
      <c r="H29" t="s">
        <v>41</v>
      </c>
      <c r="I29" t="s">
        <v>27</v>
      </c>
      <c r="J29" s="4" t="s">
        <v>119</v>
      </c>
      <c r="K29" t="s">
        <v>29</v>
      </c>
      <c r="L29" t="s">
        <v>120</v>
      </c>
      <c r="M29" t="s">
        <v>96</v>
      </c>
      <c r="N29" t="s">
        <v>32</v>
      </c>
      <c r="O29">
        <v>5</v>
      </c>
      <c r="P29">
        <v>7</v>
      </c>
      <c r="Q29" t="s">
        <v>29</v>
      </c>
      <c r="R29" t="s">
        <v>85</v>
      </c>
      <c r="S29" s="3">
        <v>116.67</v>
      </c>
      <c r="T29" t="s">
        <v>121</v>
      </c>
      <c r="U29" t="s">
        <v>63</v>
      </c>
      <c r="V29" t="str">
        <f t="shared" si="0"/>
        <v>2026-01</v>
      </c>
      <c r="W29" t="str">
        <f t="shared" si="1"/>
        <v>4-7 days</v>
      </c>
      <c r="X29" t="str">
        <f t="shared" si="2"/>
        <v>Refund Issued</v>
      </c>
      <c r="Y29" t="str">
        <f t="shared" si="3"/>
        <v>High</v>
      </c>
    </row>
    <row r="30" spans="1:25" ht="27.6">
      <c r="A30" t="s">
        <v>169</v>
      </c>
      <c r="B30" t="s">
        <v>170</v>
      </c>
      <c r="C30" t="s">
        <v>171</v>
      </c>
      <c r="D30" s="2">
        <v>46044</v>
      </c>
      <c r="E30" t="s">
        <v>24</v>
      </c>
      <c r="F30" t="s">
        <v>172</v>
      </c>
      <c r="G30" s="3">
        <v>49</v>
      </c>
      <c r="H30" t="s">
        <v>49</v>
      </c>
      <c r="I30" t="s">
        <v>27</v>
      </c>
      <c r="J30" s="4" t="s">
        <v>173</v>
      </c>
      <c r="K30" t="s">
        <v>33</v>
      </c>
      <c r="L30" t="s">
        <v>30</v>
      </c>
      <c r="M30" t="s">
        <v>31</v>
      </c>
      <c r="N30" t="s">
        <v>126</v>
      </c>
      <c r="O30">
        <v>7</v>
      </c>
      <c r="P30">
        <v>8</v>
      </c>
      <c r="Q30" t="s">
        <v>29</v>
      </c>
      <c r="R30" t="s">
        <v>174</v>
      </c>
      <c r="S30" s="3">
        <v>0</v>
      </c>
      <c r="T30" t="s">
        <v>69</v>
      </c>
      <c r="U30" t="s">
        <v>63</v>
      </c>
      <c r="V30" t="str">
        <f t="shared" si="0"/>
        <v>2026-01</v>
      </c>
      <c r="W30" t="str">
        <f t="shared" si="1"/>
        <v>8-14 days</v>
      </c>
      <c r="X30" t="str">
        <f t="shared" si="2"/>
        <v>No Refund</v>
      </c>
      <c r="Y30" t="str">
        <f t="shared" si="3"/>
        <v>Medium</v>
      </c>
    </row>
    <row r="31" spans="1:25" ht="27.6">
      <c r="A31" t="s">
        <v>175</v>
      </c>
      <c r="B31" t="s">
        <v>176</v>
      </c>
      <c r="C31" t="s">
        <v>177</v>
      </c>
      <c r="D31" s="2">
        <v>46170</v>
      </c>
      <c r="E31" t="s">
        <v>24</v>
      </c>
      <c r="F31" t="s">
        <v>103</v>
      </c>
      <c r="G31" s="3">
        <v>40.01</v>
      </c>
      <c r="H31" t="s">
        <v>58</v>
      </c>
      <c r="I31" t="s">
        <v>50</v>
      </c>
      <c r="J31" s="4" t="s">
        <v>104</v>
      </c>
      <c r="K31" t="s">
        <v>33</v>
      </c>
      <c r="L31" t="s">
        <v>30</v>
      </c>
      <c r="M31" t="s">
        <v>31</v>
      </c>
      <c r="N31" t="s">
        <v>32</v>
      </c>
      <c r="O31">
        <v>5</v>
      </c>
      <c r="P31">
        <v>9</v>
      </c>
      <c r="Q31" t="s">
        <v>29</v>
      </c>
      <c r="R31" t="s">
        <v>34</v>
      </c>
      <c r="S31" s="3">
        <v>40.01</v>
      </c>
      <c r="T31" t="s">
        <v>35</v>
      </c>
      <c r="U31" t="s">
        <v>63</v>
      </c>
      <c r="V31" t="str">
        <f t="shared" si="0"/>
        <v>2026-05</v>
      </c>
      <c r="W31" t="str">
        <f t="shared" si="1"/>
        <v>8-14 days</v>
      </c>
      <c r="X31" t="str">
        <f t="shared" si="2"/>
        <v>Refund Issued</v>
      </c>
      <c r="Y31" t="str">
        <f t="shared" si="3"/>
        <v>Medium</v>
      </c>
    </row>
    <row r="32" spans="1:25" ht="27.6">
      <c r="A32" t="s">
        <v>178</v>
      </c>
      <c r="B32" t="s">
        <v>179</v>
      </c>
      <c r="C32" t="s">
        <v>180</v>
      </c>
      <c r="D32" s="2">
        <v>46086</v>
      </c>
      <c r="E32" t="s">
        <v>94</v>
      </c>
      <c r="F32" t="s">
        <v>25</v>
      </c>
      <c r="G32" s="3">
        <v>14.9</v>
      </c>
      <c r="H32" t="s">
        <v>89</v>
      </c>
      <c r="I32" t="s">
        <v>67</v>
      </c>
      <c r="J32" s="4" t="s">
        <v>181</v>
      </c>
      <c r="K32" t="s">
        <v>29</v>
      </c>
      <c r="L32" t="s">
        <v>30</v>
      </c>
      <c r="M32" t="s">
        <v>31</v>
      </c>
      <c r="N32" t="s">
        <v>32</v>
      </c>
      <c r="O32">
        <v>5</v>
      </c>
      <c r="P32">
        <v>2</v>
      </c>
      <c r="Q32" t="s">
        <v>33</v>
      </c>
      <c r="R32" t="s">
        <v>34</v>
      </c>
      <c r="S32" s="3">
        <v>0</v>
      </c>
      <c r="T32" t="s">
        <v>43</v>
      </c>
      <c r="U32" t="s">
        <v>36</v>
      </c>
      <c r="V32" t="str">
        <f t="shared" si="0"/>
        <v>2026-03</v>
      </c>
      <c r="W32" t="str">
        <f t="shared" si="1"/>
        <v>0-3 days</v>
      </c>
      <c r="X32" t="str">
        <f t="shared" si="2"/>
        <v>No Refund</v>
      </c>
      <c r="Y32" t="str">
        <f t="shared" si="3"/>
        <v>High</v>
      </c>
    </row>
    <row r="33" spans="1:25" ht="27.6">
      <c r="A33" t="s">
        <v>182</v>
      </c>
      <c r="B33" t="s">
        <v>183</v>
      </c>
      <c r="C33" t="s">
        <v>184</v>
      </c>
      <c r="D33" s="2">
        <v>46089</v>
      </c>
      <c r="E33" t="s">
        <v>40</v>
      </c>
      <c r="F33" t="s">
        <v>57</v>
      </c>
      <c r="G33" s="3">
        <v>9.39</v>
      </c>
      <c r="H33" t="s">
        <v>108</v>
      </c>
      <c r="I33" t="s">
        <v>50</v>
      </c>
      <c r="J33" s="4" t="s">
        <v>155</v>
      </c>
      <c r="K33" t="s">
        <v>29</v>
      </c>
      <c r="L33" t="s">
        <v>60</v>
      </c>
      <c r="M33" t="s">
        <v>31</v>
      </c>
      <c r="N33" t="s">
        <v>32</v>
      </c>
      <c r="O33">
        <v>10</v>
      </c>
      <c r="P33">
        <v>7</v>
      </c>
      <c r="Q33" t="s">
        <v>33</v>
      </c>
      <c r="R33" t="s">
        <v>61</v>
      </c>
      <c r="S33" s="3">
        <v>7.04</v>
      </c>
      <c r="T33" t="s">
        <v>156</v>
      </c>
      <c r="U33" t="s">
        <v>63</v>
      </c>
      <c r="V33" t="str">
        <f t="shared" si="0"/>
        <v>2026-03</v>
      </c>
      <c r="W33" t="str">
        <f t="shared" si="1"/>
        <v>4-7 days</v>
      </c>
      <c r="X33" t="str">
        <f t="shared" si="2"/>
        <v>Refund Issued</v>
      </c>
      <c r="Y33" t="str">
        <f t="shared" si="3"/>
        <v>Low</v>
      </c>
    </row>
    <row r="34" spans="1:25" ht="27.6">
      <c r="A34" t="s">
        <v>185</v>
      </c>
      <c r="B34" t="s">
        <v>186</v>
      </c>
      <c r="C34" t="s">
        <v>187</v>
      </c>
      <c r="D34" s="2">
        <v>46058</v>
      </c>
      <c r="E34" t="s">
        <v>24</v>
      </c>
      <c r="F34" t="s">
        <v>82</v>
      </c>
      <c r="G34" s="3">
        <v>21.24</v>
      </c>
      <c r="H34" t="s">
        <v>108</v>
      </c>
      <c r="I34" t="s">
        <v>27</v>
      </c>
      <c r="J34" s="4" t="s">
        <v>114</v>
      </c>
      <c r="K34" t="s">
        <v>29</v>
      </c>
      <c r="L34" t="s">
        <v>30</v>
      </c>
      <c r="M34" t="s">
        <v>31</v>
      </c>
      <c r="N34" t="s">
        <v>32</v>
      </c>
      <c r="O34">
        <v>7</v>
      </c>
      <c r="P34">
        <v>11</v>
      </c>
      <c r="Q34" t="s">
        <v>29</v>
      </c>
      <c r="R34" t="s">
        <v>85</v>
      </c>
      <c r="S34" s="3">
        <v>0</v>
      </c>
      <c r="T34" t="s">
        <v>69</v>
      </c>
      <c r="U34" t="s">
        <v>63</v>
      </c>
      <c r="V34" t="str">
        <f t="shared" si="0"/>
        <v>2026-02</v>
      </c>
      <c r="W34" t="str">
        <f t="shared" si="1"/>
        <v>8-14 days</v>
      </c>
      <c r="X34" t="str">
        <f t="shared" si="2"/>
        <v>No Refund</v>
      </c>
      <c r="Y34" t="str">
        <f t="shared" si="3"/>
        <v>High</v>
      </c>
    </row>
    <row r="35" spans="1:25" ht="27.6">
      <c r="A35" t="s">
        <v>188</v>
      </c>
      <c r="B35" t="s">
        <v>189</v>
      </c>
      <c r="C35" t="s">
        <v>190</v>
      </c>
      <c r="D35" s="2">
        <v>46024</v>
      </c>
      <c r="E35" t="s">
        <v>94</v>
      </c>
      <c r="F35" t="s">
        <v>118</v>
      </c>
      <c r="G35" s="3">
        <v>9.1999999999999993</v>
      </c>
      <c r="H35" t="s">
        <v>49</v>
      </c>
      <c r="I35" t="s">
        <v>27</v>
      </c>
      <c r="J35" s="4" t="s">
        <v>191</v>
      </c>
      <c r="K35" t="s">
        <v>33</v>
      </c>
      <c r="L35" t="s">
        <v>30</v>
      </c>
      <c r="M35" t="s">
        <v>31</v>
      </c>
      <c r="N35" t="s">
        <v>32</v>
      </c>
      <c r="O35">
        <v>5</v>
      </c>
      <c r="P35">
        <v>11</v>
      </c>
      <c r="Q35" t="s">
        <v>29</v>
      </c>
      <c r="R35" t="s">
        <v>85</v>
      </c>
      <c r="S35" s="3">
        <v>0</v>
      </c>
      <c r="T35" t="s">
        <v>121</v>
      </c>
      <c r="U35" t="s">
        <v>63</v>
      </c>
      <c r="V35" t="str">
        <f t="shared" si="0"/>
        <v>2026-01</v>
      </c>
      <c r="W35" t="str">
        <f t="shared" si="1"/>
        <v>8-14 days</v>
      </c>
      <c r="X35" t="str">
        <f t="shared" si="2"/>
        <v>No Refund</v>
      </c>
      <c r="Y35" t="str">
        <f t="shared" si="3"/>
        <v>High</v>
      </c>
    </row>
    <row r="36" spans="1:25" ht="27.6">
      <c r="A36" t="s">
        <v>192</v>
      </c>
      <c r="B36" t="s">
        <v>193</v>
      </c>
      <c r="C36" t="s">
        <v>194</v>
      </c>
      <c r="D36" s="2">
        <v>46092</v>
      </c>
      <c r="E36" t="s">
        <v>47</v>
      </c>
      <c r="F36" t="s">
        <v>25</v>
      </c>
      <c r="G36" s="3">
        <v>19.21</v>
      </c>
      <c r="H36" t="s">
        <v>108</v>
      </c>
      <c r="I36" t="s">
        <v>50</v>
      </c>
      <c r="J36" s="4" t="s">
        <v>195</v>
      </c>
      <c r="K36" t="s">
        <v>33</v>
      </c>
      <c r="L36" t="s">
        <v>30</v>
      </c>
      <c r="M36" t="s">
        <v>31</v>
      </c>
      <c r="N36" t="s">
        <v>126</v>
      </c>
      <c r="O36">
        <v>5</v>
      </c>
      <c r="P36">
        <v>12</v>
      </c>
      <c r="Q36" t="s">
        <v>29</v>
      </c>
      <c r="R36" t="s">
        <v>34</v>
      </c>
      <c r="S36" s="3">
        <v>0</v>
      </c>
      <c r="T36" t="s">
        <v>110</v>
      </c>
      <c r="U36" t="s">
        <v>63</v>
      </c>
      <c r="V36" t="str">
        <f t="shared" si="0"/>
        <v>2026-03</v>
      </c>
      <c r="W36" t="str">
        <f t="shared" si="1"/>
        <v>8-14 days</v>
      </c>
      <c r="X36" t="str">
        <f t="shared" si="2"/>
        <v>No Refund</v>
      </c>
      <c r="Y36" t="str">
        <f t="shared" si="3"/>
        <v>High</v>
      </c>
    </row>
    <row r="37" spans="1:25" ht="27.6">
      <c r="A37" t="s">
        <v>196</v>
      </c>
      <c r="B37" t="s">
        <v>197</v>
      </c>
      <c r="C37" t="s">
        <v>198</v>
      </c>
      <c r="D37" s="2">
        <v>46132</v>
      </c>
      <c r="E37" t="s">
        <v>24</v>
      </c>
      <c r="F37" t="s">
        <v>82</v>
      </c>
      <c r="G37" s="3">
        <v>14.07</v>
      </c>
      <c r="H37" t="s">
        <v>74</v>
      </c>
      <c r="I37" t="s">
        <v>27</v>
      </c>
      <c r="J37" s="4" t="s">
        <v>199</v>
      </c>
      <c r="K37" t="s">
        <v>29</v>
      </c>
      <c r="L37" t="s">
        <v>30</v>
      </c>
      <c r="M37" t="s">
        <v>31</v>
      </c>
      <c r="N37" t="s">
        <v>32</v>
      </c>
      <c r="O37">
        <v>7</v>
      </c>
      <c r="P37">
        <v>5</v>
      </c>
      <c r="Q37" t="s">
        <v>33</v>
      </c>
      <c r="R37" t="s">
        <v>85</v>
      </c>
      <c r="S37" s="3">
        <v>0</v>
      </c>
      <c r="T37" t="s">
        <v>69</v>
      </c>
      <c r="U37" t="s">
        <v>36</v>
      </c>
      <c r="V37" t="str">
        <f t="shared" si="0"/>
        <v>2026-04</v>
      </c>
      <c r="W37" t="str">
        <f t="shared" si="1"/>
        <v>4-7 days</v>
      </c>
      <c r="X37" t="str">
        <f t="shared" si="2"/>
        <v>No Refund</v>
      </c>
      <c r="Y37" t="str">
        <f t="shared" si="3"/>
        <v>High</v>
      </c>
    </row>
    <row r="38" spans="1:25" ht="27.6">
      <c r="A38" t="s">
        <v>200</v>
      </c>
      <c r="B38" t="s">
        <v>201</v>
      </c>
      <c r="C38" t="s">
        <v>202</v>
      </c>
      <c r="D38" s="2">
        <v>46027</v>
      </c>
      <c r="E38" t="s">
        <v>40</v>
      </c>
      <c r="F38" t="s">
        <v>25</v>
      </c>
      <c r="G38" s="3">
        <v>94.58</v>
      </c>
      <c r="H38" t="s">
        <v>26</v>
      </c>
      <c r="I38" t="s">
        <v>67</v>
      </c>
      <c r="J38" s="4" t="s">
        <v>42</v>
      </c>
      <c r="K38" t="s">
        <v>29</v>
      </c>
      <c r="L38" t="s">
        <v>30</v>
      </c>
      <c r="M38" t="s">
        <v>31</v>
      </c>
      <c r="N38" t="s">
        <v>32</v>
      </c>
      <c r="O38">
        <v>5</v>
      </c>
      <c r="P38">
        <v>7</v>
      </c>
      <c r="Q38" t="s">
        <v>29</v>
      </c>
      <c r="R38" t="s">
        <v>34</v>
      </c>
      <c r="S38" s="3">
        <v>47.29</v>
      </c>
      <c r="T38" t="s">
        <v>110</v>
      </c>
      <c r="U38" t="s">
        <v>63</v>
      </c>
      <c r="V38" t="str">
        <f t="shared" si="0"/>
        <v>2026-01</v>
      </c>
      <c r="W38" t="str">
        <f t="shared" si="1"/>
        <v>4-7 days</v>
      </c>
      <c r="X38" t="str">
        <f t="shared" si="2"/>
        <v>Refund Issued</v>
      </c>
      <c r="Y38" t="str">
        <f t="shared" si="3"/>
        <v>High</v>
      </c>
    </row>
    <row r="39" spans="1:25" ht="27.6">
      <c r="A39" t="s">
        <v>203</v>
      </c>
      <c r="B39" t="s">
        <v>204</v>
      </c>
      <c r="C39" t="s">
        <v>205</v>
      </c>
      <c r="D39" s="2">
        <v>46078</v>
      </c>
      <c r="E39" t="s">
        <v>47</v>
      </c>
      <c r="F39" t="s">
        <v>118</v>
      </c>
      <c r="G39" s="3">
        <v>24.9</v>
      </c>
      <c r="H39" t="s">
        <v>58</v>
      </c>
      <c r="I39" t="s">
        <v>50</v>
      </c>
      <c r="J39" s="4" t="s">
        <v>206</v>
      </c>
      <c r="K39" t="s">
        <v>33</v>
      </c>
      <c r="L39" t="s">
        <v>30</v>
      </c>
      <c r="M39" t="s">
        <v>31</v>
      </c>
      <c r="N39" t="s">
        <v>32</v>
      </c>
      <c r="O39">
        <v>5</v>
      </c>
      <c r="P39">
        <v>8</v>
      </c>
      <c r="Q39" t="s">
        <v>29</v>
      </c>
      <c r="R39" t="s">
        <v>85</v>
      </c>
      <c r="S39" s="3">
        <v>24.9</v>
      </c>
      <c r="T39" t="s">
        <v>121</v>
      </c>
      <c r="U39" t="s">
        <v>63</v>
      </c>
      <c r="V39" t="str">
        <f t="shared" si="0"/>
        <v>2026-02</v>
      </c>
      <c r="W39" t="str">
        <f t="shared" si="1"/>
        <v>8-14 days</v>
      </c>
      <c r="X39" t="str">
        <f t="shared" si="2"/>
        <v>Refund Issued</v>
      </c>
      <c r="Y39" t="str">
        <f t="shared" si="3"/>
        <v>High</v>
      </c>
    </row>
    <row r="40" spans="1:25" ht="27.6">
      <c r="A40" t="s">
        <v>207</v>
      </c>
      <c r="B40" t="s">
        <v>208</v>
      </c>
      <c r="C40" t="s">
        <v>209</v>
      </c>
      <c r="D40" s="2">
        <v>46119</v>
      </c>
      <c r="E40" t="s">
        <v>24</v>
      </c>
      <c r="F40" t="s">
        <v>103</v>
      </c>
      <c r="G40" s="3">
        <v>49.73</v>
      </c>
      <c r="H40" t="s">
        <v>49</v>
      </c>
      <c r="I40" t="s">
        <v>27</v>
      </c>
      <c r="J40" s="4" t="s">
        <v>104</v>
      </c>
      <c r="K40" t="s">
        <v>29</v>
      </c>
      <c r="L40" t="s">
        <v>30</v>
      </c>
      <c r="M40" t="s">
        <v>31</v>
      </c>
      <c r="N40" t="s">
        <v>32</v>
      </c>
      <c r="O40">
        <v>5</v>
      </c>
      <c r="P40">
        <v>7</v>
      </c>
      <c r="Q40" t="s">
        <v>29</v>
      </c>
      <c r="R40" t="s">
        <v>34</v>
      </c>
      <c r="S40" s="3">
        <v>49.73</v>
      </c>
      <c r="T40" t="s">
        <v>35</v>
      </c>
      <c r="U40" t="s">
        <v>63</v>
      </c>
      <c r="V40" t="str">
        <f t="shared" si="0"/>
        <v>2026-04</v>
      </c>
      <c r="W40" t="str">
        <f t="shared" si="1"/>
        <v>4-7 days</v>
      </c>
      <c r="X40" t="str">
        <f t="shared" si="2"/>
        <v>Refund Issued</v>
      </c>
      <c r="Y40" t="str">
        <f t="shared" si="3"/>
        <v>Medium</v>
      </c>
    </row>
    <row r="41" spans="1:25" ht="27.6">
      <c r="A41" t="s">
        <v>210</v>
      </c>
      <c r="B41" t="s">
        <v>211</v>
      </c>
      <c r="C41" t="s">
        <v>212</v>
      </c>
      <c r="D41" s="2">
        <v>46110</v>
      </c>
      <c r="E41" t="s">
        <v>24</v>
      </c>
      <c r="F41" t="s">
        <v>82</v>
      </c>
      <c r="G41" s="3">
        <v>39.44</v>
      </c>
      <c r="H41" t="s">
        <v>41</v>
      </c>
      <c r="I41" t="s">
        <v>50</v>
      </c>
      <c r="J41" s="4" t="s">
        <v>213</v>
      </c>
      <c r="K41" t="s">
        <v>33</v>
      </c>
      <c r="L41" t="s">
        <v>30</v>
      </c>
      <c r="M41" t="s">
        <v>31</v>
      </c>
      <c r="N41" t="s">
        <v>32</v>
      </c>
      <c r="O41">
        <v>7</v>
      </c>
      <c r="P41">
        <v>5</v>
      </c>
      <c r="Q41" t="s">
        <v>33</v>
      </c>
      <c r="R41" t="s">
        <v>85</v>
      </c>
      <c r="S41" s="3">
        <v>39.44</v>
      </c>
      <c r="T41" t="s">
        <v>62</v>
      </c>
      <c r="U41" t="s">
        <v>36</v>
      </c>
      <c r="V41" t="str">
        <f t="shared" si="0"/>
        <v>2026-03</v>
      </c>
      <c r="W41" t="str">
        <f t="shared" si="1"/>
        <v>4-7 days</v>
      </c>
      <c r="X41" t="str">
        <f t="shared" si="2"/>
        <v>Refund Issued</v>
      </c>
      <c r="Y41" t="str">
        <f t="shared" si="3"/>
        <v>High</v>
      </c>
    </row>
    <row r="42" spans="1:25" ht="27.6">
      <c r="A42" t="s">
        <v>214</v>
      </c>
      <c r="B42" t="s">
        <v>215</v>
      </c>
      <c r="C42" t="s">
        <v>216</v>
      </c>
      <c r="D42" s="2">
        <v>46091</v>
      </c>
      <c r="E42" t="s">
        <v>24</v>
      </c>
      <c r="F42" t="s">
        <v>118</v>
      </c>
      <c r="G42" s="3">
        <v>97.41</v>
      </c>
      <c r="H42" t="s">
        <v>108</v>
      </c>
      <c r="I42" t="s">
        <v>27</v>
      </c>
      <c r="J42" s="4" t="s">
        <v>217</v>
      </c>
      <c r="K42" t="s">
        <v>29</v>
      </c>
      <c r="L42" t="s">
        <v>120</v>
      </c>
      <c r="M42" t="s">
        <v>96</v>
      </c>
      <c r="N42" t="s">
        <v>32</v>
      </c>
      <c r="O42">
        <v>5</v>
      </c>
      <c r="P42">
        <v>1</v>
      </c>
      <c r="Q42" t="s">
        <v>33</v>
      </c>
      <c r="R42" t="s">
        <v>85</v>
      </c>
      <c r="S42" s="3">
        <v>97.41</v>
      </c>
      <c r="T42" t="s">
        <v>121</v>
      </c>
      <c r="U42" t="s">
        <v>36</v>
      </c>
      <c r="V42" t="str">
        <f t="shared" si="0"/>
        <v>2026-03</v>
      </c>
      <c r="W42" t="str">
        <f t="shared" si="1"/>
        <v>0-3 days</v>
      </c>
      <c r="X42" t="str">
        <f t="shared" si="2"/>
        <v>Refund Issued</v>
      </c>
      <c r="Y42" t="str">
        <f t="shared" si="3"/>
        <v>High</v>
      </c>
    </row>
    <row r="43" spans="1:25" ht="27.6">
      <c r="A43" t="s">
        <v>218</v>
      </c>
      <c r="B43" t="s">
        <v>219</v>
      </c>
      <c r="C43" t="s">
        <v>220</v>
      </c>
      <c r="D43" s="2">
        <v>46113</v>
      </c>
      <c r="E43" t="s">
        <v>40</v>
      </c>
      <c r="F43" t="s">
        <v>82</v>
      </c>
      <c r="G43" s="3">
        <v>258.77</v>
      </c>
      <c r="H43" t="s">
        <v>41</v>
      </c>
      <c r="I43" t="s">
        <v>50</v>
      </c>
      <c r="J43" s="4" t="s">
        <v>114</v>
      </c>
      <c r="K43" t="s">
        <v>29</v>
      </c>
      <c r="L43" t="s">
        <v>30</v>
      </c>
      <c r="M43" t="s">
        <v>31</v>
      </c>
      <c r="N43" t="s">
        <v>32</v>
      </c>
      <c r="O43">
        <v>7</v>
      </c>
      <c r="P43">
        <v>4</v>
      </c>
      <c r="Q43" t="s">
        <v>33</v>
      </c>
      <c r="R43" t="s">
        <v>85</v>
      </c>
      <c r="S43" s="3">
        <v>0</v>
      </c>
      <c r="T43" t="s">
        <v>43</v>
      </c>
      <c r="U43" t="s">
        <v>36</v>
      </c>
      <c r="V43" t="str">
        <f t="shared" si="0"/>
        <v>2026-04</v>
      </c>
      <c r="W43" t="str">
        <f t="shared" si="1"/>
        <v>4-7 days</v>
      </c>
      <c r="X43" t="str">
        <f t="shared" si="2"/>
        <v>No Refund</v>
      </c>
      <c r="Y43" t="str">
        <f t="shared" si="3"/>
        <v>High</v>
      </c>
    </row>
    <row r="44" spans="1:25" ht="27.6">
      <c r="A44" t="s">
        <v>221</v>
      </c>
      <c r="B44" t="s">
        <v>222</v>
      </c>
      <c r="C44" t="s">
        <v>223</v>
      </c>
      <c r="D44" s="2">
        <v>46148</v>
      </c>
      <c r="E44" t="s">
        <v>47</v>
      </c>
      <c r="F44" t="s">
        <v>25</v>
      </c>
      <c r="G44" s="3">
        <v>24.44</v>
      </c>
      <c r="H44" t="s">
        <v>74</v>
      </c>
      <c r="I44" t="s">
        <v>27</v>
      </c>
      <c r="J44" s="4" t="s">
        <v>42</v>
      </c>
      <c r="K44" t="s">
        <v>33</v>
      </c>
      <c r="L44" t="s">
        <v>30</v>
      </c>
      <c r="M44" t="s">
        <v>31</v>
      </c>
      <c r="N44" t="s">
        <v>126</v>
      </c>
      <c r="O44">
        <v>5</v>
      </c>
      <c r="P44">
        <v>3</v>
      </c>
      <c r="Q44" t="s">
        <v>33</v>
      </c>
      <c r="R44" t="s">
        <v>34</v>
      </c>
      <c r="S44" s="3">
        <v>0</v>
      </c>
      <c r="T44" t="s">
        <v>43</v>
      </c>
      <c r="U44" t="s">
        <v>36</v>
      </c>
      <c r="V44" t="str">
        <f t="shared" si="0"/>
        <v>2026-05</v>
      </c>
      <c r="W44" t="str">
        <f t="shared" si="1"/>
        <v>0-3 days</v>
      </c>
      <c r="X44" t="str">
        <f t="shared" si="2"/>
        <v>No Refund</v>
      </c>
      <c r="Y44" t="str">
        <f t="shared" si="3"/>
        <v>High</v>
      </c>
    </row>
    <row r="45" spans="1:25" ht="27.6">
      <c r="A45" t="s">
        <v>224</v>
      </c>
      <c r="B45" t="s">
        <v>225</v>
      </c>
      <c r="C45" t="s">
        <v>226</v>
      </c>
      <c r="D45" s="2">
        <v>46101</v>
      </c>
      <c r="E45" t="s">
        <v>24</v>
      </c>
      <c r="F45" t="s">
        <v>25</v>
      </c>
      <c r="G45" s="3">
        <v>24.31</v>
      </c>
      <c r="H45" t="s">
        <v>89</v>
      </c>
      <c r="I45" t="s">
        <v>67</v>
      </c>
      <c r="J45" s="4" t="s">
        <v>227</v>
      </c>
      <c r="K45" t="s">
        <v>29</v>
      </c>
      <c r="L45" t="s">
        <v>30</v>
      </c>
      <c r="M45" t="s">
        <v>31</v>
      </c>
      <c r="N45" t="s">
        <v>32</v>
      </c>
      <c r="O45">
        <v>5</v>
      </c>
      <c r="P45">
        <v>5</v>
      </c>
      <c r="Q45" t="s">
        <v>33</v>
      </c>
      <c r="R45" t="s">
        <v>34</v>
      </c>
      <c r="S45" s="3">
        <v>24.31</v>
      </c>
      <c r="T45" t="s">
        <v>110</v>
      </c>
      <c r="U45" t="s">
        <v>36</v>
      </c>
      <c r="V45" t="str">
        <f t="shared" si="0"/>
        <v>2026-03</v>
      </c>
      <c r="W45" t="str">
        <f t="shared" si="1"/>
        <v>4-7 days</v>
      </c>
      <c r="X45" t="str">
        <f t="shared" si="2"/>
        <v>Refund Issued</v>
      </c>
      <c r="Y45" t="str">
        <f t="shared" si="3"/>
        <v>High</v>
      </c>
    </row>
    <row r="46" spans="1:25" ht="27.6">
      <c r="A46" t="s">
        <v>228</v>
      </c>
      <c r="B46" t="s">
        <v>229</v>
      </c>
      <c r="C46" t="s">
        <v>230</v>
      </c>
      <c r="D46" s="2">
        <v>46081</v>
      </c>
      <c r="E46" t="s">
        <v>24</v>
      </c>
      <c r="F46" t="s">
        <v>118</v>
      </c>
      <c r="G46" s="3">
        <v>57.24</v>
      </c>
      <c r="H46" t="s">
        <v>26</v>
      </c>
      <c r="I46" t="s">
        <v>67</v>
      </c>
      <c r="J46" s="4" t="s">
        <v>231</v>
      </c>
      <c r="K46" t="s">
        <v>29</v>
      </c>
      <c r="L46" t="s">
        <v>120</v>
      </c>
      <c r="M46" t="s">
        <v>96</v>
      </c>
      <c r="N46" t="s">
        <v>90</v>
      </c>
      <c r="O46">
        <v>5</v>
      </c>
      <c r="P46">
        <v>2</v>
      </c>
      <c r="Q46" t="s">
        <v>33</v>
      </c>
      <c r="R46" t="s">
        <v>85</v>
      </c>
      <c r="S46" s="3">
        <v>0</v>
      </c>
      <c r="T46" t="s">
        <v>121</v>
      </c>
      <c r="U46" t="s">
        <v>53</v>
      </c>
      <c r="V46" t="str">
        <f t="shared" si="0"/>
        <v>2026-02</v>
      </c>
      <c r="W46" t="str">
        <f t="shared" si="1"/>
        <v>0-3 days</v>
      </c>
      <c r="X46" t="str">
        <f t="shared" si="2"/>
        <v>No Refund</v>
      </c>
      <c r="Y46" t="str">
        <f t="shared" si="3"/>
        <v>High</v>
      </c>
    </row>
    <row r="47" spans="1:25" ht="27.6">
      <c r="A47" t="s">
        <v>232</v>
      </c>
      <c r="B47" t="s">
        <v>233</v>
      </c>
      <c r="C47" t="s">
        <v>234</v>
      </c>
      <c r="D47" s="2">
        <v>46145</v>
      </c>
      <c r="E47" t="s">
        <v>47</v>
      </c>
      <c r="F47" t="s">
        <v>25</v>
      </c>
      <c r="G47" s="3">
        <v>33.700000000000003</v>
      </c>
      <c r="H47" t="s">
        <v>108</v>
      </c>
      <c r="I47" t="s">
        <v>50</v>
      </c>
      <c r="J47" s="4" t="s">
        <v>42</v>
      </c>
      <c r="K47" t="s">
        <v>29</v>
      </c>
      <c r="L47" t="s">
        <v>30</v>
      </c>
      <c r="M47" t="s">
        <v>96</v>
      </c>
      <c r="N47" t="s">
        <v>32</v>
      </c>
      <c r="O47">
        <v>5</v>
      </c>
      <c r="P47">
        <v>4</v>
      </c>
      <c r="Q47" t="s">
        <v>33</v>
      </c>
      <c r="R47" t="s">
        <v>34</v>
      </c>
      <c r="S47" s="3">
        <v>33.700000000000003</v>
      </c>
      <c r="T47" t="s">
        <v>35</v>
      </c>
      <c r="U47" t="s">
        <v>53</v>
      </c>
      <c r="V47" t="str">
        <f t="shared" si="0"/>
        <v>2026-05</v>
      </c>
      <c r="W47" t="str">
        <f t="shared" si="1"/>
        <v>4-7 days</v>
      </c>
      <c r="X47" t="str">
        <f t="shared" si="2"/>
        <v>Refund Issued</v>
      </c>
      <c r="Y47" t="str">
        <f t="shared" si="3"/>
        <v>High</v>
      </c>
    </row>
    <row r="48" spans="1:25" ht="27.6">
      <c r="A48" t="s">
        <v>235</v>
      </c>
      <c r="B48" t="s">
        <v>236</v>
      </c>
      <c r="C48" t="s">
        <v>237</v>
      </c>
      <c r="D48" s="2">
        <v>46053</v>
      </c>
      <c r="E48" t="s">
        <v>47</v>
      </c>
      <c r="F48" t="s">
        <v>82</v>
      </c>
      <c r="G48" s="3">
        <v>58.4</v>
      </c>
      <c r="H48" t="s">
        <v>49</v>
      </c>
      <c r="I48" t="s">
        <v>50</v>
      </c>
      <c r="J48" s="4" t="s">
        <v>114</v>
      </c>
      <c r="K48" t="s">
        <v>29</v>
      </c>
      <c r="L48" t="s">
        <v>30</v>
      </c>
      <c r="M48" t="s">
        <v>31</v>
      </c>
      <c r="N48" t="s">
        <v>32</v>
      </c>
      <c r="O48">
        <v>7</v>
      </c>
      <c r="P48">
        <v>4</v>
      </c>
      <c r="Q48" t="s">
        <v>33</v>
      </c>
      <c r="R48" t="s">
        <v>85</v>
      </c>
      <c r="S48" s="3">
        <v>0</v>
      </c>
      <c r="T48" t="s">
        <v>69</v>
      </c>
      <c r="U48" t="s">
        <v>53</v>
      </c>
      <c r="V48" t="str">
        <f t="shared" si="0"/>
        <v>2026-01</v>
      </c>
      <c r="W48" t="str">
        <f t="shared" si="1"/>
        <v>4-7 days</v>
      </c>
      <c r="X48" t="str">
        <f t="shared" si="2"/>
        <v>No Refund</v>
      </c>
      <c r="Y48" t="str">
        <f t="shared" si="3"/>
        <v>High</v>
      </c>
    </row>
    <row r="49" spans="1:25" ht="27.6">
      <c r="A49" t="s">
        <v>238</v>
      </c>
      <c r="B49" t="s">
        <v>239</v>
      </c>
      <c r="C49" t="s">
        <v>240</v>
      </c>
      <c r="D49" s="2">
        <v>46077</v>
      </c>
      <c r="E49" t="s">
        <v>24</v>
      </c>
      <c r="F49" t="s">
        <v>25</v>
      </c>
      <c r="G49" s="3">
        <v>17.34</v>
      </c>
      <c r="H49" t="s">
        <v>74</v>
      </c>
      <c r="I49" t="s">
        <v>27</v>
      </c>
      <c r="J49" s="4" t="s">
        <v>42</v>
      </c>
      <c r="K49" t="s">
        <v>29</v>
      </c>
      <c r="L49" t="s">
        <v>30</v>
      </c>
      <c r="M49" t="s">
        <v>31</v>
      </c>
      <c r="N49" t="s">
        <v>32</v>
      </c>
      <c r="O49">
        <v>5</v>
      </c>
      <c r="P49">
        <v>9</v>
      </c>
      <c r="Q49" t="s">
        <v>29</v>
      </c>
      <c r="R49" t="s">
        <v>34</v>
      </c>
      <c r="S49" s="3">
        <v>13</v>
      </c>
      <c r="T49" t="s">
        <v>35</v>
      </c>
      <c r="U49" t="s">
        <v>63</v>
      </c>
      <c r="V49" t="str">
        <f t="shared" si="0"/>
        <v>2026-02</v>
      </c>
      <c r="W49" t="str">
        <f t="shared" si="1"/>
        <v>8-14 days</v>
      </c>
      <c r="X49" t="str">
        <f t="shared" si="2"/>
        <v>Refund Issued</v>
      </c>
      <c r="Y49" t="str">
        <f t="shared" si="3"/>
        <v>High</v>
      </c>
    </row>
    <row r="50" spans="1:25" ht="27.6">
      <c r="A50" t="s">
        <v>241</v>
      </c>
      <c r="B50" t="s">
        <v>242</v>
      </c>
      <c r="C50" t="s">
        <v>243</v>
      </c>
      <c r="D50" s="2">
        <v>46082</v>
      </c>
      <c r="E50" t="s">
        <v>94</v>
      </c>
      <c r="F50" t="s">
        <v>57</v>
      </c>
      <c r="G50" s="3">
        <v>69.28</v>
      </c>
      <c r="H50" t="s">
        <v>74</v>
      </c>
      <c r="I50" t="s">
        <v>27</v>
      </c>
      <c r="J50" s="4" t="s">
        <v>155</v>
      </c>
      <c r="K50" t="s">
        <v>29</v>
      </c>
      <c r="L50" t="s">
        <v>60</v>
      </c>
      <c r="M50" t="s">
        <v>31</v>
      </c>
      <c r="N50" t="s">
        <v>32</v>
      </c>
      <c r="O50">
        <v>10</v>
      </c>
      <c r="P50">
        <v>12</v>
      </c>
      <c r="Q50" t="s">
        <v>29</v>
      </c>
      <c r="R50" t="s">
        <v>61</v>
      </c>
      <c r="S50" s="3">
        <v>51.96</v>
      </c>
      <c r="T50" t="s">
        <v>62</v>
      </c>
      <c r="U50" t="s">
        <v>63</v>
      </c>
      <c r="V50" t="str">
        <f t="shared" si="0"/>
        <v>2026-03</v>
      </c>
      <c r="W50" t="str">
        <f t="shared" si="1"/>
        <v>8-14 days</v>
      </c>
      <c r="X50" t="str">
        <f t="shared" si="2"/>
        <v>Refund Issued</v>
      </c>
      <c r="Y50" t="str">
        <f t="shared" si="3"/>
        <v>Low</v>
      </c>
    </row>
    <row r="51" spans="1:25" ht="27.6">
      <c r="A51" t="s">
        <v>244</v>
      </c>
      <c r="B51" t="s">
        <v>245</v>
      </c>
      <c r="C51" t="s">
        <v>246</v>
      </c>
      <c r="D51" s="2">
        <v>46142</v>
      </c>
      <c r="E51" t="s">
        <v>40</v>
      </c>
      <c r="F51" t="s">
        <v>103</v>
      </c>
      <c r="G51" s="3">
        <v>147.27000000000001</v>
      </c>
      <c r="H51" t="s">
        <v>108</v>
      </c>
      <c r="I51" t="s">
        <v>27</v>
      </c>
      <c r="J51" s="4" t="s">
        <v>134</v>
      </c>
      <c r="K51" t="s">
        <v>29</v>
      </c>
      <c r="L51" t="s">
        <v>30</v>
      </c>
      <c r="M51" t="s">
        <v>31</v>
      </c>
      <c r="N51" t="s">
        <v>32</v>
      </c>
      <c r="O51">
        <v>5</v>
      </c>
      <c r="P51">
        <v>7</v>
      </c>
      <c r="Q51" t="s">
        <v>29</v>
      </c>
      <c r="R51" t="s">
        <v>34</v>
      </c>
      <c r="S51" s="3">
        <v>0</v>
      </c>
      <c r="T51" t="s">
        <v>247</v>
      </c>
      <c r="U51" t="s">
        <v>63</v>
      </c>
      <c r="V51" t="str">
        <f t="shared" si="0"/>
        <v>2026-04</v>
      </c>
      <c r="W51" t="str">
        <f t="shared" si="1"/>
        <v>4-7 days</v>
      </c>
      <c r="X51" t="str">
        <f t="shared" si="2"/>
        <v>No Refund</v>
      </c>
      <c r="Y51" t="str">
        <f t="shared" si="3"/>
        <v>Medium</v>
      </c>
    </row>
    <row r="52" spans="1:25" ht="27.6">
      <c r="A52" t="s">
        <v>248</v>
      </c>
      <c r="B52" t="s">
        <v>249</v>
      </c>
      <c r="C52" t="s">
        <v>250</v>
      </c>
      <c r="D52" s="2">
        <v>46170</v>
      </c>
      <c r="E52" t="s">
        <v>47</v>
      </c>
      <c r="F52" t="s">
        <v>25</v>
      </c>
      <c r="G52" s="3">
        <v>351.4</v>
      </c>
      <c r="H52" t="s">
        <v>89</v>
      </c>
      <c r="I52" t="s">
        <v>27</v>
      </c>
      <c r="J52" s="4" t="s">
        <v>42</v>
      </c>
      <c r="K52" t="s">
        <v>33</v>
      </c>
      <c r="L52" t="s">
        <v>30</v>
      </c>
      <c r="M52" t="s">
        <v>31</v>
      </c>
      <c r="N52" t="s">
        <v>32</v>
      </c>
      <c r="O52">
        <v>5</v>
      </c>
      <c r="P52">
        <v>5</v>
      </c>
      <c r="Q52" t="s">
        <v>33</v>
      </c>
      <c r="R52" t="s">
        <v>34</v>
      </c>
      <c r="S52" s="3">
        <v>0</v>
      </c>
      <c r="T52" t="s">
        <v>43</v>
      </c>
      <c r="U52" t="s">
        <v>36</v>
      </c>
      <c r="V52" t="str">
        <f t="shared" si="0"/>
        <v>2026-05</v>
      </c>
      <c r="W52" t="str">
        <f t="shared" si="1"/>
        <v>4-7 days</v>
      </c>
      <c r="X52" t="str">
        <f t="shared" si="2"/>
        <v>No Refund</v>
      </c>
      <c r="Y52" t="str">
        <f t="shared" si="3"/>
        <v>High</v>
      </c>
    </row>
    <row r="53" spans="1:25" ht="27.6">
      <c r="A53" t="s">
        <v>251</v>
      </c>
      <c r="B53" t="s">
        <v>252</v>
      </c>
      <c r="C53" t="s">
        <v>253</v>
      </c>
      <c r="D53" s="2">
        <v>46112</v>
      </c>
      <c r="E53" t="s">
        <v>24</v>
      </c>
      <c r="F53" t="s">
        <v>118</v>
      </c>
      <c r="G53" s="3">
        <v>20.350000000000001</v>
      </c>
      <c r="H53" t="s">
        <v>108</v>
      </c>
      <c r="I53" t="s">
        <v>50</v>
      </c>
      <c r="J53" s="4" t="s">
        <v>119</v>
      </c>
      <c r="K53" t="s">
        <v>33</v>
      </c>
      <c r="L53" t="s">
        <v>120</v>
      </c>
      <c r="M53" t="s">
        <v>96</v>
      </c>
      <c r="N53" t="s">
        <v>126</v>
      </c>
      <c r="O53">
        <v>5</v>
      </c>
      <c r="P53">
        <v>2</v>
      </c>
      <c r="Q53" t="s">
        <v>33</v>
      </c>
      <c r="R53" t="s">
        <v>85</v>
      </c>
      <c r="S53" s="3">
        <v>0</v>
      </c>
      <c r="T53" t="s">
        <v>121</v>
      </c>
      <c r="U53" t="s">
        <v>53</v>
      </c>
      <c r="V53" t="str">
        <f t="shared" si="0"/>
        <v>2026-03</v>
      </c>
      <c r="W53" t="str">
        <f t="shared" si="1"/>
        <v>0-3 days</v>
      </c>
      <c r="X53" t="str">
        <f t="shared" si="2"/>
        <v>No Refund</v>
      </c>
      <c r="Y53" t="str">
        <f t="shared" si="3"/>
        <v>High</v>
      </c>
    </row>
    <row r="54" spans="1:25" ht="27.6">
      <c r="A54" t="s">
        <v>254</v>
      </c>
      <c r="B54" t="s">
        <v>255</v>
      </c>
      <c r="C54" t="s">
        <v>256</v>
      </c>
      <c r="D54" s="2">
        <v>46087</v>
      </c>
      <c r="E54" t="s">
        <v>24</v>
      </c>
      <c r="F54" t="s">
        <v>48</v>
      </c>
      <c r="G54" s="3">
        <v>30.33</v>
      </c>
      <c r="H54" t="s">
        <v>26</v>
      </c>
      <c r="I54" t="s">
        <v>50</v>
      </c>
      <c r="J54" s="4" t="s">
        <v>51</v>
      </c>
      <c r="K54" t="s">
        <v>29</v>
      </c>
      <c r="L54" t="s">
        <v>30</v>
      </c>
      <c r="M54" t="s">
        <v>31</v>
      </c>
      <c r="N54" t="s">
        <v>32</v>
      </c>
      <c r="O54">
        <v>10</v>
      </c>
      <c r="P54">
        <v>9</v>
      </c>
      <c r="Q54" t="s">
        <v>33</v>
      </c>
      <c r="R54" t="s">
        <v>34</v>
      </c>
      <c r="S54" s="3">
        <v>22.75</v>
      </c>
      <c r="T54" t="s">
        <v>52</v>
      </c>
      <c r="U54" t="s">
        <v>63</v>
      </c>
      <c r="V54" t="str">
        <f t="shared" si="0"/>
        <v>2026-03</v>
      </c>
      <c r="W54" t="str">
        <f t="shared" si="1"/>
        <v>8-14 days</v>
      </c>
      <c r="X54" t="str">
        <f t="shared" si="2"/>
        <v>Refund Issued</v>
      </c>
      <c r="Y54" t="str">
        <f t="shared" si="3"/>
        <v>Low</v>
      </c>
    </row>
    <row r="55" spans="1:25" ht="27.6">
      <c r="A55" t="s">
        <v>257</v>
      </c>
      <c r="B55" t="s">
        <v>258</v>
      </c>
      <c r="C55" t="s">
        <v>259</v>
      </c>
      <c r="D55" s="2">
        <v>46163</v>
      </c>
      <c r="E55" t="s">
        <v>24</v>
      </c>
      <c r="F55" t="s">
        <v>118</v>
      </c>
      <c r="G55" s="3">
        <v>118.84</v>
      </c>
      <c r="H55" t="s">
        <v>26</v>
      </c>
      <c r="I55" t="s">
        <v>67</v>
      </c>
      <c r="J55" s="4" t="s">
        <v>119</v>
      </c>
      <c r="K55" t="s">
        <v>29</v>
      </c>
      <c r="L55" t="s">
        <v>120</v>
      </c>
      <c r="M55" t="s">
        <v>96</v>
      </c>
      <c r="N55" t="s">
        <v>32</v>
      </c>
      <c r="O55">
        <v>5</v>
      </c>
      <c r="P55">
        <v>4</v>
      </c>
      <c r="Q55" t="s">
        <v>33</v>
      </c>
      <c r="R55" t="s">
        <v>85</v>
      </c>
      <c r="S55" s="3">
        <v>118.84</v>
      </c>
      <c r="T55" t="s">
        <v>121</v>
      </c>
      <c r="U55" t="s">
        <v>53</v>
      </c>
      <c r="V55" t="str">
        <f t="shared" si="0"/>
        <v>2026-05</v>
      </c>
      <c r="W55" t="str">
        <f t="shared" si="1"/>
        <v>4-7 days</v>
      </c>
      <c r="X55" t="str">
        <f t="shared" si="2"/>
        <v>Refund Issued</v>
      </c>
      <c r="Y55" t="str">
        <f t="shared" si="3"/>
        <v>High</v>
      </c>
    </row>
    <row r="56" spans="1:25" ht="27.6">
      <c r="A56" t="s">
        <v>260</v>
      </c>
      <c r="B56" t="s">
        <v>261</v>
      </c>
      <c r="C56" t="s">
        <v>262</v>
      </c>
      <c r="D56" s="2">
        <v>46127</v>
      </c>
      <c r="E56" t="s">
        <v>24</v>
      </c>
      <c r="F56" t="s">
        <v>48</v>
      </c>
      <c r="G56" s="3">
        <v>123.72</v>
      </c>
      <c r="H56" t="s">
        <v>26</v>
      </c>
      <c r="I56" t="s">
        <v>50</v>
      </c>
      <c r="J56" s="4" t="s">
        <v>68</v>
      </c>
      <c r="K56" t="s">
        <v>29</v>
      </c>
      <c r="L56" t="s">
        <v>30</v>
      </c>
      <c r="M56" t="s">
        <v>31</v>
      </c>
      <c r="N56" t="s">
        <v>32</v>
      </c>
      <c r="O56">
        <v>10</v>
      </c>
      <c r="P56">
        <v>4</v>
      </c>
      <c r="Q56" t="s">
        <v>33</v>
      </c>
      <c r="R56" t="s">
        <v>34</v>
      </c>
      <c r="S56" s="3">
        <v>92.79</v>
      </c>
      <c r="T56" t="s">
        <v>62</v>
      </c>
      <c r="U56" t="s">
        <v>53</v>
      </c>
      <c r="V56" t="str">
        <f t="shared" si="0"/>
        <v>2026-04</v>
      </c>
      <c r="W56" t="str">
        <f t="shared" si="1"/>
        <v>4-7 days</v>
      </c>
      <c r="X56" t="str">
        <f t="shared" si="2"/>
        <v>Refund Issued</v>
      </c>
      <c r="Y56" t="str">
        <f t="shared" si="3"/>
        <v>Low</v>
      </c>
    </row>
    <row r="57" spans="1:25" ht="27.6">
      <c r="A57" t="s">
        <v>263</v>
      </c>
      <c r="B57" t="s">
        <v>264</v>
      </c>
      <c r="C57" t="s">
        <v>265</v>
      </c>
      <c r="D57" s="2">
        <v>46071</v>
      </c>
      <c r="E57" t="s">
        <v>94</v>
      </c>
      <c r="F57" t="s">
        <v>82</v>
      </c>
      <c r="G57" s="3">
        <v>8.5500000000000007</v>
      </c>
      <c r="H57" t="s">
        <v>108</v>
      </c>
      <c r="I57" t="s">
        <v>27</v>
      </c>
      <c r="J57" s="4" t="s">
        <v>266</v>
      </c>
      <c r="K57" t="s">
        <v>33</v>
      </c>
      <c r="L57" t="s">
        <v>30</v>
      </c>
      <c r="M57" t="s">
        <v>31</v>
      </c>
      <c r="N57" t="s">
        <v>90</v>
      </c>
      <c r="O57">
        <v>7</v>
      </c>
      <c r="P57">
        <v>13</v>
      </c>
      <c r="Q57" t="s">
        <v>29</v>
      </c>
      <c r="R57" t="s">
        <v>85</v>
      </c>
      <c r="S57" s="3">
        <v>0</v>
      </c>
      <c r="T57" t="s">
        <v>69</v>
      </c>
      <c r="U57" t="s">
        <v>63</v>
      </c>
      <c r="V57" t="str">
        <f t="shared" si="0"/>
        <v>2026-02</v>
      </c>
      <c r="W57" t="str">
        <f t="shared" si="1"/>
        <v>8-14 days</v>
      </c>
      <c r="X57" t="str">
        <f t="shared" si="2"/>
        <v>No Refund</v>
      </c>
      <c r="Y57" t="str">
        <f t="shared" si="3"/>
        <v>High</v>
      </c>
    </row>
    <row r="58" spans="1:25" ht="27.6">
      <c r="A58" t="s">
        <v>267</v>
      </c>
      <c r="B58" t="s">
        <v>268</v>
      </c>
      <c r="C58" t="s">
        <v>269</v>
      </c>
      <c r="D58" s="2">
        <v>46137</v>
      </c>
      <c r="E58" t="s">
        <v>47</v>
      </c>
      <c r="F58" t="s">
        <v>82</v>
      </c>
      <c r="G58" s="3">
        <v>47.74</v>
      </c>
      <c r="H58" t="s">
        <v>108</v>
      </c>
      <c r="I58" t="s">
        <v>67</v>
      </c>
      <c r="J58" s="4" t="s">
        <v>114</v>
      </c>
      <c r="K58" t="s">
        <v>33</v>
      </c>
      <c r="L58" t="s">
        <v>30</v>
      </c>
      <c r="M58" t="s">
        <v>31</v>
      </c>
      <c r="N58" t="s">
        <v>90</v>
      </c>
      <c r="O58">
        <v>7</v>
      </c>
      <c r="P58">
        <v>9</v>
      </c>
      <c r="Q58" t="s">
        <v>29</v>
      </c>
      <c r="R58" t="s">
        <v>85</v>
      </c>
      <c r="S58" s="3">
        <v>0</v>
      </c>
      <c r="T58" t="s">
        <v>62</v>
      </c>
      <c r="U58" t="s">
        <v>63</v>
      </c>
      <c r="V58" t="str">
        <f t="shared" si="0"/>
        <v>2026-04</v>
      </c>
      <c r="W58" t="str">
        <f t="shared" si="1"/>
        <v>8-14 days</v>
      </c>
      <c r="X58" t="str">
        <f t="shared" si="2"/>
        <v>No Refund</v>
      </c>
      <c r="Y58" t="str">
        <f t="shared" si="3"/>
        <v>High</v>
      </c>
    </row>
    <row r="59" spans="1:25" ht="27.6">
      <c r="A59" t="s">
        <v>270</v>
      </c>
      <c r="B59" t="s">
        <v>271</v>
      </c>
      <c r="C59" t="s">
        <v>272</v>
      </c>
      <c r="D59" s="2">
        <v>46144</v>
      </c>
      <c r="E59" t="s">
        <v>40</v>
      </c>
      <c r="F59" t="s">
        <v>57</v>
      </c>
      <c r="G59" s="3">
        <v>24.68</v>
      </c>
      <c r="H59" t="s">
        <v>49</v>
      </c>
      <c r="I59" t="s">
        <v>50</v>
      </c>
      <c r="J59" s="4" t="s">
        <v>155</v>
      </c>
      <c r="K59" t="s">
        <v>29</v>
      </c>
      <c r="L59" t="s">
        <v>60</v>
      </c>
      <c r="M59" t="s">
        <v>31</v>
      </c>
      <c r="N59" t="s">
        <v>32</v>
      </c>
      <c r="O59">
        <v>10</v>
      </c>
      <c r="P59">
        <v>13</v>
      </c>
      <c r="Q59" t="s">
        <v>29</v>
      </c>
      <c r="R59" t="s">
        <v>61</v>
      </c>
      <c r="S59" s="3">
        <v>12.34</v>
      </c>
      <c r="T59" t="s">
        <v>156</v>
      </c>
      <c r="U59" t="s">
        <v>63</v>
      </c>
      <c r="V59" t="str">
        <f t="shared" si="0"/>
        <v>2026-05</v>
      </c>
      <c r="W59" t="str">
        <f t="shared" si="1"/>
        <v>8-14 days</v>
      </c>
      <c r="X59" t="str">
        <f t="shared" si="2"/>
        <v>Refund Issued</v>
      </c>
      <c r="Y59" t="str">
        <f t="shared" si="3"/>
        <v>Low</v>
      </c>
    </row>
    <row r="60" spans="1:25" ht="27.6">
      <c r="A60" t="s">
        <v>273</v>
      </c>
      <c r="B60" t="s">
        <v>274</v>
      </c>
      <c r="C60" t="s">
        <v>275</v>
      </c>
      <c r="D60" s="2">
        <v>46139</v>
      </c>
      <c r="E60" t="s">
        <v>24</v>
      </c>
      <c r="F60" t="s">
        <v>25</v>
      </c>
      <c r="G60" s="3">
        <v>16.29</v>
      </c>
      <c r="H60" t="s">
        <v>108</v>
      </c>
      <c r="I60" t="s">
        <v>50</v>
      </c>
      <c r="J60" s="4" t="s">
        <v>42</v>
      </c>
      <c r="K60" t="s">
        <v>33</v>
      </c>
      <c r="L60" t="s">
        <v>30</v>
      </c>
      <c r="M60" t="s">
        <v>31</v>
      </c>
      <c r="N60" t="s">
        <v>32</v>
      </c>
      <c r="O60">
        <v>5</v>
      </c>
      <c r="P60">
        <v>10</v>
      </c>
      <c r="Q60" t="s">
        <v>29</v>
      </c>
      <c r="R60" t="s">
        <v>34</v>
      </c>
      <c r="S60" s="3">
        <v>0</v>
      </c>
      <c r="T60" t="s">
        <v>35</v>
      </c>
      <c r="U60" t="s">
        <v>63</v>
      </c>
      <c r="V60" t="str">
        <f t="shared" si="0"/>
        <v>2026-04</v>
      </c>
      <c r="W60" t="str">
        <f t="shared" si="1"/>
        <v>8-14 days</v>
      </c>
      <c r="X60" t="str">
        <f t="shared" si="2"/>
        <v>No Refund</v>
      </c>
      <c r="Y60" t="str">
        <f t="shared" si="3"/>
        <v>High</v>
      </c>
    </row>
    <row r="61" spans="1:25" ht="27.6">
      <c r="A61" t="s">
        <v>276</v>
      </c>
      <c r="B61" t="s">
        <v>277</v>
      </c>
      <c r="C61" t="s">
        <v>278</v>
      </c>
      <c r="D61" s="2">
        <v>46040</v>
      </c>
      <c r="E61" t="s">
        <v>24</v>
      </c>
      <c r="F61" t="s">
        <v>103</v>
      </c>
      <c r="G61" s="3">
        <v>27.08</v>
      </c>
      <c r="H61" t="s">
        <v>26</v>
      </c>
      <c r="I61" t="s">
        <v>27</v>
      </c>
      <c r="J61" s="4" t="s">
        <v>134</v>
      </c>
      <c r="K61" t="s">
        <v>29</v>
      </c>
      <c r="L61" t="s">
        <v>30</v>
      </c>
      <c r="M61" t="s">
        <v>31</v>
      </c>
      <c r="N61" t="s">
        <v>32</v>
      </c>
      <c r="O61">
        <v>5</v>
      </c>
      <c r="P61">
        <v>3</v>
      </c>
      <c r="Q61" t="s">
        <v>33</v>
      </c>
      <c r="R61" t="s">
        <v>34</v>
      </c>
      <c r="S61" s="3">
        <v>0</v>
      </c>
      <c r="T61" t="s">
        <v>35</v>
      </c>
      <c r="U61" t="s">
        <v>53</v>
      </c>
      <c r="V61" t="str">
        <f t="shared" si="0"/>
        <v>2026-01</v>
      </c>
      <c r="W61" t="str">
        <f t="shared" si="1"/>
        <v>0-3 days</v>
      </c>
      <c r="X61" t="str">
        <f t="shared" si="2"/>
        <v>No Refund</v>
      </c>
      <c r="Y61" t="str">
        <f t="shared" si="3"/>
        <v>Medium</v>
      </c>
    </row>
    <row r="62" spans="1:25" ht="27.6">
      <c r="A62" t="s">
        <v>279</v>
      </c>
      <c r="B62" t="s">
        <v>280</v>
      </c>
      <c r="C62" t="s">
        <v>281</v>
      </c>
      <c r="D62" s="2">
        <v>46037</v>
      </c>
      <c r="E62" t="s">
        <v>24</v>
      </c>
      <c r="F62" t="s">
        <v>82</v>
      </c>
      <c r="G62" s="3">
        <v>13.43</v>
      </c>
      <c r="H62" t="s">
        <v>89</v>
      </c>
      <c r="I62" t="s">
        <v>50</v>
      </c>
      <c r="J62" s="4" t="s">
        <v>114</v>
      </c>
      <c r="K62" t="s">
        <v>29</v>
      </c>
      <c r="L62" t="s">
        <v>30</v>
      </c>
      <c r="M62" t="s">
        <v>31</v>
      </c>
      <c r="N62" t="s">
        <v>32</v>
      </c>
      <c r="O62">
        <v>7</v>
      </c>
      <c r="P62">
        <v>11</v>
      </c>
      <c r="Q62" t="s">
        <v>29</v>
      </c>
      <c r="R62" t="s">
        <v>85</v>
      </c>
      <c r="S62" s="3">
        <v>13.43</v>
      </c>
      <c r="T62" t="s">
        <v>43</v>
      </c>
      <c r="U62" t="s">
        <v>63</v>
      </c>
      <c r="V62" t="str">
        <f t="shared" si="0"/>
        <v>2026-01</v>
      </c>
      <c r="W62" t="str">
        <f t="shared" si="1"/>
        <v>8-14 days</v>
      </c>
      <c r="X62" t="str">
        <f t="shared" si="2"/>
        <v>Refund Issued</v>
      </c>
      <c r="Y62" t="str">
        <f t="shared" si="3"/>
        <v>High</v>
      </c>
    </row>
    <row r="63" spans="1:25" ht="27.6">
      <c r="A63" t="s">
        <v>282</v>
      </c>
      <c r="B63" t="s">
        <v>283</v>
      </c>
      <c r="C63" t="s">
        <v>284</v>
      </c>
      <c r="D63" s="2">
        <v>46088</v>
      </c>
      <c r="E63" t="s">
        <v>47</v>
      </c>
      <c r="F63" t="s">
        <v>172</v>
      </c>
      <c r="G63" s="3">
        <v>120.03</v>
      </c>
      <c r="H63" t="s">
        <v>41</v>
      </c>
      <c r="I63" t="s">
        <v>50</v>
      </c>
      <c r="J63" s="4" t="s">
        <v>285</v>
      </c>
      <c r="K63" t="s">
        <v>33</v>
      </c>
      <c r="L63" t="s">
        <v>30</v>
      </c>
      <c r="M63" t="s">
        <v>31</v>
      </c>
      <c r="N63" t="s">
        <v>126</v>
      </c>
      <c r="O63">
        <v>7</v>
      </c>
      <c r="P63">
        <v>10</v>
      </c>
      <c r="Q63" t="s">
        <v>29</v>
      </c>
      <c r="R63" t="s">
        <v>174</v>
      </c>
      <c r="S63" s="3">
        <v>0</v>
      </c>
      <c r="T63" t="s">
        <v>286</v>
      </c>
      <c r="U63" t="s">
        <v>63</v>
      </c>
      <c r="V63" t="str">
        <f t="shared" si="0"/>
        <v>2026-03</v>
      </c>
      <c r="W63" t="str">
        <f t="shared" si="1"/>
        <v>8-14 days</v>
      </c>
      <c r="X63" t="str">
        <f t="shared" si="2"/>
        <v>No Refund</v>
      </c>
      <c r="Y63" t="str">
        <f t="shared" si="3"/>
        <v>Medium</v>
      </c>
    </row>
    <row r="64" spans="1:25" ht="27.6">
      <c r="A64" t="s">
        <v>287</v>
      </c>
      <c r="B64" t="s">
        <v>288</v>
      </c>
      <c r="C64" t="s">
        <v>289</v>
      </c>
      <c r="D64" s="2">
        <v>46087</v>
      </c>
      <c r="E64" t="s">
        <v>47</v>
      </c>
      <c r="F64" t="s">
        <v>118</v>
      </c>
      <c r="G64" s="3">
        <v>16</v>
      </c>
      <c r="H64" t="s">
        <v>41</v>
      </c>
      <c r="I64" t="s">
        <v>50</v>
      </c>
      <c r="J64" s="4" t="s">
        <v>290</v>
      </c>
      <c r="K64" t="s">
        <v>33</v>
      </c>
      <c r="L64" t="s">
        <v>30</v>
      </c>
      <c r="M64" t="s">
        <v>31</v>
      </c>
      <c r="N64" t="s">
        <v>32</v>
      </c>
      <c r="O64">
        <v>5</v>
      </c>
      <c r="P64">
        <v>6</v>
      </c>
      <c r="Q64" t="s">
        <v>29</v>
      </c>
      <c r="R64" t="s">
        <v>85</v>
      </c>
      <c r="S64" s="3">
        <v>16</v>
      </c>
      <c r="T64" t="s">
        <v>121</v>
      </c>
      <c r="U64" t="s">
        <v>63</v>
      </c>
      <c r="V64" t="str">
        <f t="shared" si="0"/>
        <v>2026-03</v>
      </c>
      <c r="W64" t="str">
        <f t="shared" si="1"/>
        <v>4-7 days</v>
      </c>
      <c r="X64" t="str">
        <f t="shared" si="2"/>
        <v>Refund Issued</v>
      </c>
      <c r="Y64" t="str">
        <f t="shared" si="3"/>
        <v>High</v>
      </c>
    </row>
    <row r="65" spans="1:25" ht="27.6">
      <c r="A65" t="s">
        <v>291</v>
      </c>
      <c r="B65" t="s">
        <v>292</v>
      </c>
      <c r="C65" t="s">
        <v>293</v>
      </c>
      <c r="D65" s="2">
        <v>46096</v>
      </c>
      <c r="E65" t="s">
        <v>40</v>
      </c>
      <c r="F65" t="s">
        <v>118</v>
      </c>
      <c r="G65" s="3">
        <v>71.08</v>
      </c>
      <c r="H65" t="s">
        <v>74</v>
      </c>
      <c r="I65" t="s">
        <v>50</v>
      </c>
      <c r="J65" s="4" t="s">
        <v>294</v>
      </c>
      <c r="K65" t="s">
        <v>29</v>
      </c>
      <c r="L65" t="s">
        <v>120</v>
      </c>
      <c r="M65" t="s">
        <v>96</v>
      </c>
      <c r="N65" t="s">
        <v>32</v>
      </c>
      <c r="O65">
        <v>5</v>
      </c>
      <c r="P65">
        <v>10</v>
      </c>
      <c r="Q65" t="s">
        <v>29</v>
      </c>
      <c r="R65" t="s">
        <v>85</v>
      </c>
      <c r="S65" s="3">
        <v>71.08</v>
      </c>
      <c r="T65" t="s">
        <v>121</v>
      </c>
      <c r="U65" t="s">
        <v>63</v>
      </c>
      <c r="V65" t="str">
        <f t="shared" si="0"/>
        <v>2026-03</v>
      </c>
      <c r="W65" t="str">
        <f t="shared" si="1"/>
        <v>8-14 days</v>
      </c>
      <c r="X65" t="str">
        <f t="shared" si="2"/>
        <v>Refund Issued</v>
      </c>
      <c r="Y65" t="str">
        <f t="shared" si="3"/>
        <v>High</v>
      </c>
    </row>
    <row r="66" spans="1:25" ht="27.6">
      <c r="A66" t="s">
        <v>295</v>
      </c>
      <c r="B66" t="s">
        <v>296</v>
      </c>
      <c r="C66" t="s">
        <v>297</v>
      </c>
      <c r="D66" s="2">
        <v>46033</v>
      </c>
      <c r="E66" t="s">
        <v>24</v>
      </c>
      <c r="F66" t="s">
        <v>82</v>
      </c>
      <c r="G66" s="3">
        <v>62.4</v>
      </c>
      <c r="H66" t="s">
        <v>26</v>
      </c>
      <c r="I66" t="s">
        <v>67</v>
      </c>
      <c r="J66" s="4" t="s">
        <v>114</v>
      </c>
      <c r="K66" t="s">
        <v>29</v>
      </c>
      <c r="L66" t="s">
        <v>30</v>
      </c>
      <c r="M66" t="s">
        <v>31</v>
      </c>
      <c r="N66" t="s">
        <v>32</v>
      </c>
      <c r="O66">
        <v>7</v>
      </c>
      <c r="P66">
        <v>6</v>
      </c>
      <c r="Q66" t="s">
        <v>33</v>
      </c>
      <c r="R66" t="s">
        <v>85</v>
      </c>
      <c r="S66" s="3">
        <v>0</v>
      </c>
      <c r="T66" t="s">
        <v>69</v>
      </c>
      <c r="U66" t="s">
        <v>36</v>
      </c>
      <c r="V66" t="str">
        <f t="shared" ref="V66:V129" si="4">TEXT(D66,"yyyy-mm")</f>
        <v>2026-01</v>
      </c>
      <c r="W66" t="str">
        <f t="shared" ref="W66:W129" si="5">IF(P66&lt;=3,"0-3 days",IF(P66&lt;=7,"4-7 days",IF(P66&lt;=14,"8-14 days","15+ days")))</f>
        <v>4-7 days</v>
      </c>
      <c r="X66" t="str">
        <f t="shared" ref="X66:X129" si="6">IF(S66&gt;0,"Refund Issued","No Refund")</f>
        <v>No Refund</v>
      </c>
      <c r="Y66" t="str">
        <f t="shared" ref="Y66:Y129" si="7">IF(OR(F66="Failed Payment",F66="Duplicate Debit",F66="Refund Delay"),"High",IF(OR(F66="Merchant Not Credited",F66="Wrong Amount Debited"),"Medium","Low"))</f>
        <v>High</v>
      </c>
    </row>
    <row r="67" spans="1:25" ht="27.6">
      <c r="A67" t="s">
        <v>298</v>
      </c>
      <c r="B67" t="s">
        <v>299</v>
      </c>
      <c r="C67" t="s">
        <v>300</v>
      </c>
      <c r="D67" s="2">
        <v>46146</v>
      </c>
      <c r="E67" t="s">
        <v>94</v>
      </c>
      <c r="F67" t="s">
        <v>118</v>
      </c>
      <c r="G67" s="3">
        <v>38.479999999999997</v>
      </c>
      <c r="H67" t="s">
        <v>49</v>
      </c>
      <c r="I67" t="s">
        <v>67</v>
      </c>
      <c r="J67" s="4" t="s">
        <v>119</v>
      </c>
      <c r="K67" t="s">
        <v>33</v>
      </c>
      <c r="L67" t="s">
        <v>30</v>
      </c>
      <c r="M67" t="s">
        <v>31</v>
      </c>
      <c r="N67" t="s">
        <v>32</v>
      </c>
      <c r="O67">
        <v>5</v>
      </c>
      <c r="P67">
        <v>10</v>
      </c>
      <c r="Q67" t="s">
        <v>29</v>
      </c>
      <c r="R67" t="s">
        <v>85</v>
      </c>
      <c r="S67" s="3">
        <v>0</v>
      </c>
      <c r="T67" t="s">
        <v>121</v>
      </c>
      <c r="U67" t="s">
        <v>63</v>
      </c>
      <c r="V67" t="str">
        <f t="shared" si="4"/>
        <v>2026-05</v>
      </c>
      <c r="W67" t="str">
        <f t="shared" si="5"/>
        <v>8-14 days</v>
      </c>
      <c r="X67" t="str">
        <f t="shared" si="6"/>
        <v>No Refund</v>
      </c>
      <c r="Y67" t="str">
        <f t="shared" si="7"/>
        <v>High</v>
      </c>
    </row>
    <row r="68" spans="1:25" ht="27.6">
      <c r="A68" t="s">
        <v>301</v>
      </c>
      <c r="B68" t="s">
        <v>302</v>
      </c>
      <c r="C68" t="s">
        <v>303</v>
      </c>
      <c r="D68" s="2">
        <v>46124</v>
      </c>
      <c r="E68" t="s">
        <v>24</v>
      </c>
      <c r="F68" t="s">
        <v>172</v>
      </c>
      <c r="G68" s="3">
        <v>33.07</v>
      </c>
      <c r="H68" t="s">
        <v>58</v>
      </c>
      <c r="I68" t="s">
        <v>27</v>
      </c>
      <c r="J68" s="4" t="s">
        <v>285</v>
      </c>
      <c r="K68" t="s">
        <v>29</v>
      </c>
      <c r="L68" t="s">
        <v>30</v>
      </c>
      <c r="M68" t="s">
        <v>31</v>
      </c>
      <c r="N68" t="s">
        <v>32</v>
      </c>
      <c r="O68">
        <v>7</v>
      </c>
      <c r="P68">
        <v>9</v>
      </c>
      <c r="Q68" t="s">
        <v>29</v>
      </c>
      <c r="R68" t="s">
        <v>174</v>
      </c>
      <c r="S68" s="3">
        <v>33.07</v>
      </c>
      <c r="T68" t="s">
        <v>110</v>
      </c>
      <c r="U68" t="s">
        <v>63</v>
      </c>
      <c r="V68" t="str">
        <f t="shared" si="4"/>
        <v>2026-04</v>
      </c>
      <c r="W68" t="str">
        <f t="shared" si="5"/>
        <v>8-14 days</v>
      </c>
      <c r="X68" t="str">
        <f t="shared" si="6"/>
        <v>Refund Issued</v>
      </c>
      <c r="Y68" t="str">
        <f t="shared" si="7"/>
        <v>Medium</v>
      </c>
    </row>
    <row r="69" spans="1:25" ht="27.6">
      <c r="A69" t="s">
        <v>304</v>
      </c>
      <c r="B69" t="s">
        <v>305</v>
      </c>
      <c r="C69" t="s">
        <v>306</v>
      </c>
      <c r="D69" s="2">
        <v>46039</v>
      </c>
      <c r="E69" t="s">
        <v>47</v>
      </c>
      <c r="F69" t="s">
        <v>82</v>
      </c>
      <c r="G69" s="3">
        <v>93.31</v>
      </c>
      <c r="H69" t="s">
        <v>26</v>
      </c>
      <c r="I69" t="s">
        <v>27</v>
      </c>
      <c r="J69" s="4" t="s">
        <v>114</v>
      </c>
      <c r="K69" t="s">
        <v>33</v>
      </c>
      <c r="L69" t="s">
        <v>30</v>
      </c>
      <c r="M69" t="s">
        <v>31</v>
      </c>
      <c r="N69" t="s">
        <v>84</v>
      </c>
      <c r="O69">
        <v>7</v>
      </c>
      <c r="P69">
        <v>8</v>
      </c>
      <c r="Q69" t="s">
        <v>29</v>
      </c>
      <c r="R69" t="s">
        <v>85</v>
      </c>
      <c r="S69" s="3">
        <v>0</v>
      </c>
      <c r="T69" t="s">
        <v>69</v>
      </c>
      <c r="U69" t="s">
        <v>63</v>
      </c>
      <c r="V69" t="str">
        <f t="shared" si="4"/>
        <v>2026-01</v>
      </c>
      <c r="W69" t="str">
        <f t="shared" si="5"/>
        <v>8-14 days</v>
      </c>
      <c r="X69" t="str">
        <f t="shared" si="6"/>
        <v>No Refund</v>
      </c>
      <c r="Y69" t="str">
        <f t="shared" si="7"/>
        <v>High</v>
      </c>
    </row>
    <row r="70" spans="1:25" ht="27.6">
      <c r="A70" t="s">
        <v>307</v>
      </c>
      <c r="B70" t="s">
        <v>308</v>
      </c>
      <c r="C70" t="s">
        <v>309</v>
      </c>
      <c r="D70" s="2">
        <v>46057</v>
      </c>
      <c r="E70" t="s">
        <v>24</v>
      </c>
      <c r="F70" t="s">
        <v>82</v>
      </c>
      <c r="G70" s="3">
        <v>46.62</v>
      </c>
      <c r="H70" t="s">
        <v>58</v>
      </c>
      <c r="I70" t="s">
        <v>27</v>
      </c>
      <c r="J70" s="4" t="s">
        <v>114</v>
      </c>
      <c r="K70" t="s">
        <v>29</v>
      </c>
      <c r="L70" t="s">
        <v>30</v>
      </c>
      <c r="M70" t="s">
        <v>31</v>
      </c>
      <c r="N70" t="s">
        <v>90</v>
      </c>
      <c r="O70">
        <v>7</v>
      </c>
      <c r="P70">
        <v>8</v>
      </c>
      <c r="Q70" t="s">
        <v>29</v>
      </c>
      <c r="R70" t="s">
        <v>85</v>
      </c>
      <c r="S70" s="3">
        <v>0</v>
      </c>
      <c r="T70" t="s">
        <v>43</v>
      </c>
      <c r="U70" t="s">
        <v>63</v>
      </c>
      <c r="V70" t="str">
        <f t="shared" si="4"/>
        <v>2026-02</v>
      </c>
      <c r="W70" t="str">
        <f t="shared" si="5"/>
        <v>8-14 days</v>
      </c>
      <c r="X70" t="str">
        <f t="shared" si="6"/>
        <v>No Refund</v>
      </c>
      <c r="Y70" t="str">
        <f t="shared" si="7"/>
        <v>High</v>
      </c>
    </row>
    <row r="71" spans="1:25" ht="27.6">
      <c r="A71" t="s">
        <v>310</v>
      </c>
      <c r="B71" t="s">
        <v>311</v>
      </c>
      <c r="C71" t="s">
        <v>312</v>
      </c>
      <c r="D71" s="2">
        <v>46136</v>
      </c>
      <c r="E71" t="s">
        <v>47</v>
      </c>
      <c r="F71" t="s">
        <v>118</v>
      </c>
      <c r="G71" s="3">
        <v>5.65</v>
      </c>
      <c r="H71" t="s">
        <v>58</v>
      </c>
      <c r="I71" t="s">
        <v>27</v>
      </c>
      <c r="J71" s="4" t="s">
        <v>119</v>
      </c>
      <c r="K71" t="s">
        <v>29</v>
      </c>
      <c r="L71" t="s">
        <v>120</v>
      </c>
      <c r="M71" t="s">
        <v>96</v>
      </c>
      <c r="N71" t="s">
        <v>32</v>
      </c>
      <c r="O71">
        <v>5</v>
      </c>
      <c r="P71">
        <v>1</v>
      </c>
      <c r="Q71" t="s">
        <v>33</v>
      </c>
      <c r="R71" t="s">
        <v>85</v>
      </c>
      <c r="S71" s="3">
        <v>5.65</v>
      </c>
      <c r="T71" t="s">
        <v>121</v>
      </c>
      <c r="U71" t="s">
        <v>53</v>
      </c>
      <c r="V71" t="str">
        <f t="shared" si="4"/>
        <v>2026-04</v>
      </c>
      <c r="W71" t="str">
        <f t="shared" si="5"/>
        <v>0-3 days</v>
      </c>
      <c r="X71" t="str">
        <f t="shared" si="6"/>
        <v>Refund Issued</v>
      </c>
      <c r="Y71" t="str">
        <f t="shared" si="7"/>
        <v>High</v>
      </c>
    </row>
    <row r="72" spans="1:25" ht="27.6">
      <c r="A72" t="s">
        <v>313</v>
      </c>
      <c r="B72" t="s">
        <v>314</v>
      </c>
      <c r="C72" t="s">
        <v>315</v>
      </c>
      <c r="D72" s="2">
        <v>46077</v>
      </c>
      <c r="E72" t="s">
        <v>40</v>
      </c>
      <c r="F72" t="s">
        <v>172</v>
      </c>
      <c r="G72" s="3">
        <v>26.37</v>
      </c>
      <c r="H72" t="s">
        <v>89</v>
      </c>
      <c r="I72" t="s">
        <v>27</v>
      </c>
      <c r="J72" s="4" t="s">
        <v>173</v>
      </c>
      <c r="K72" t="s">
        <v>33</v>
      </c>
      <c r="L72" t="s">
        <v>30</v>
      </c>
      <c r="M72" t="s">
        <v>31</v>
      </c>
      <c r="N72" t="s">
        <v>90</v>
      </c>
      <c r="O72">
        <v>7</v>
      </c>
      <c r="P72">
        <v>11</v>
      </c>
      <c r="Q72" t="s">
        <v>29</v>
      </c>
      <c r="R72" t="s">
        <v>174</v>
      </c>
      <c r="S72" s="3">
        <v>0</v>
      </c>
      <c r="T72" t="s">
        <v>110</v>
      </c>
      <c r="U72" t="s">
        <v>63</v>
      </c>
      <c r="V72" t="str">
        <f t="shared" si="4"/>
        <v>2026-02</v>
      </c>
      <c r="W72" t="str">
        <f t="shared" si="5"/>
        <v>8-14 days</v>
      </c>
      <c r="X72" t="str">
        <f t="shared" si="6"/>
        <v>No Refund</v>
      </c>
      <c r="Y72" t="str">
        <f t="shared" si="7"/>
        <v>Medium</v>
      </c>
    </row>
    <row r="73" spans="1:25" ht="27.6">
      <c r="A73" t="s">
        <v>316</v>
      </c>
      <c r="B73" t="s">
        <v>317</v>
      </c>
      <c r="C73" t="s">
        <v>318</v>
      </c>
      <c r="D73" s="2">
        <v>46060</v>
      </c>
      <c r="E73" t="s">
        <v>94</v>
      </c>
      <c r="F73" t="s">
        <v>172</v>
      </c>
      <c r="G73" s="3">
        <v>65.959999999999994</v>
      </c>
      <c r="H73" t="s">
        <v>49</v>
      </c>
      <c r="I73" t="s">
        <v>27</v>
      </c>
      <c r="J73" s="4" t="s">
        <v>173</v>
      </c>
      <c r="K73" t="s">
        <v>29</v>
      </c>
      <c r="L73" t="s">
        <v>30</v>
      </c>
      <c r="M73" t="s">
        <v>31</v>
      </c>
      <c r="N73" t="s">
        <v>32</v>
      </c>
      <c r="O73">
        <v>7</v>
      </c>
      <c r="P73">
        <v>10</v>
      </c>
      <c r="Q73" t="s">
        <v>29</v>
      </c>
      <c r="R73" t="s">
        <v>174</v>
      </c>
      <c r="S73" s="3">
        <v>49.47</v>
      </c>
      <c r="T73" t="s">
        <v>69</v>
      </c>
      <c r="U73" t="s">
        <v>63</v>
      </c>
      <c r="V73" t="str">
        <f t="shared" si="4"/>
        <v>2026-02</v>
      </c>
      <c r="W73" t="str">
        <f t="shared" si="5"/>
        <v>8-14 days</v>
      </c>
      <c r="X73" t="str">
        <f t="shared" si="6"/>
        <v>Refund Issued</v>
      </c>
      <c r="Y73" t="str">
        <f t="shared" si="7"/>
        <v>Medium</v>
      </c>
    </row>
    <row r="74" spans="1:25" ht="27.6">
      <c r="A74" t="s">
        <v>319</v>
      </c>
      <c r="B74" t="s">
        <v>320</v>
      </c>
      <c r="C74" t="s">
        <v>321</v>
      </c>
      <c r="D74" s="2">
        <v>46130</v>
      </c>
      <c r="E74" t="s">
        <v>47</v>
      </c>
      <c r="F74" t="s">
        <v>103</v>
      </c>
      <c r="G74" s="3">
        <v>34.6</v>
      </c>
      <c r="H74" t="s">
        <v>89</v>
      </c>
      <c r="I74" t="s">
        <v>50</v>
      </c>
      <c r="J74" s="4" t="s">
        <v>104</v>
      </c>
      <c r="K74" t="s">
        <v>33</v>
      </c>
      <c r="L74" t="s">
        <v>30</v>
      </c>
      <c r="M74" t="s">
        <v>31</v>
      </c>
      <c r="N74" t="s">
        <v>126</v>
      </c>
      <c r="O74">
        <v>5</v>
      </c>
      <c r="P74">
        <v>6</v>
      </c>
      <c r="Q74" t="s">
        <v>29</v>
      </c>
      <c r="R74" t="s">
        <v>34</v>
      </c>
      <c r="S74" s="3">
        <v>0</v>
      </c>
      <c r="T74" t="s">
        <v>35</v>
      </c>
      <c r="U74" t="s">
        <v>63</v>
      </c>
      <c r="V74" t="str">
        <f t="shared" si="4"/>
        <v>2026-04</v>
      </c>
      <c r="W74" t="str">
        <f t="shared" si="5"/>
        <v>4-7 days</v>
      </c>
      <c r="X74" t="str">
        <f t="shared" si="6"/>
        <v>No Refund</v>
      </c>
      <c r="Y74" t="str">
        <f t="shared" si="7"/>
        <v>Medium</v>
      </c>
    </row>
    <row r="75" spans="1:25" ht="27.6">
      <c r="A75" t="s">
        <v>322</v>
      </c>
      <c r="B75" t="s">
        <v>323</v>
      </c>
      <c r="C75" t="s">
        <v>324</v>
      </c>
      <c r="D75" s="2">
        <v>46030</v>
      </c>
      <c r="E75" t="s">
        <v>24</v>
      </c>
      <c r="F75" t="s">
        <v>82</v>
      </c>
      <c r="G75" s="3">
        <v>25.61</v>
      </c>
      <c r="H75" t="s">
        <v>108</v>
      </c>
      <c r="I75" t="s">
        <v>50</v>
      </c>
      <c r="J75" s="4" t="s">
        <v>325</v>
      </c>
      <c r="K75" t="s">
        <v>29</v>
      </c>
      <c r="L75" t="s">
        <v>30</v>
      </c>
      <c r="M75" t="s">
        <v>31</v>
      </c>
      <c r="N75" t="s">
        <v>32</v>
      </c>
      <c r="O75">
        <v>7</v>
      </c>
      <c r="P75">
        <v>5</v>
      </c>
      <c r="Q75" t="s">
        <v>33</v>
      </c>
      <c r="R75" t="s">
        <v>85</v>
      </c>
      <c r="S75" s="3">
        <v>12.8</v>
      </c>
      <c r="T75" t="s">
        <v>43</v>
      </c>
      <c r="U75" t="s">
        <v>36</v>
      </c>
      <c r="V75" t="str">
        <f t="shared" si="4"/>
        <v>2026-01</v>
      </c>
      <c r="W75" t="str">
        <f t="shared" si="5"/>
        <v>4-7 days</v>
      </c>
      <c r="X75" t="str">
        <f t="shared" si="6"/>
        <v>Refund Issued</v>
      </c>
      <c r="Y75" t="str">
        <f t="shared" si="7"/>
        <v>High</v>
      </c>
    </row>
    <row r="76" spans="1:25" ht="27.6">
      <c r="A76" t="s">
        <v>326</v>
      </c>
      <c r="B76" t="s">
        <v>327</v>
      </c>
      <c r="C76" t="s">
        <v>328</v>
      </c>
      <c r="D76" s="2">
        <v>46158</v>
      </c>
      <c r="E76" t="s">
        <v>24</v>
      </c>
      <c r="F76" t="s">
        <v>82</v>
      </c>
      <c r="G76" s="3">
        <v>24.73</v>
      </c>
      <c r="H76" t="s">
        <v>26</v>
      </c>
      <c r="I76" t="s">
        <v>67</v>
      </c>
      <c r="J76" s="4" t="s">
        <v>329</v>
      </c>
      <c r="K76" t="s">
        <v>29</v>
      </c>
      <c r="L76" t="s">
        <v>30</v>
      </c>
      <c r="M76" t="s">
        <v>31</v>
      </c>
      <c r="N76" t="s">
        <v>32</v>
      </c>
      <c r="O76">
        <v>7</v>
      </c>
      <c r="P76">
        <v>5</v>
      </c>
      <c r="Q76" t="s">
        <v>33</v>
      </c>
      <c r="R76" t="s">
        <v>85</v>
      </c>
      <c r="S76" s="3">
        <v>18.55</v>
      </c>
      <c r="T76" t="s">
        <v>62</v>
      </c>
      <c r="U76" t="s">
        <v>36</v>
      </c>
      <c r="V76" t="str">
        <f t="shared" si="4"/>
        <v>2026-05</v>
      </c>
      <c r="W76" t="str">
        <f t="shared" si="5"/>
        <v>4-7 days</v>
      </c>
      <c r="X76" t="str">
        <f t="shared" si="6"/>
        <v>Refund Issued</v>
      </c>
      <c r="Y76" t="str">
        <f t="shared" si="7"/>
        <v>High</v>
      </c>
    </row>
    <row r="77" spans="1:25" ht="27.6">
      <c r="A77" t="s">
        <v>330</v>
      </c>
      <c r="B77" t="s">
        <v>331</v>
      </c>
      <c r="C77" t="s">
        <v>332</v>
      </c>
      <c r="D77" s="2">
        <v>46047</v>
      </c>
      <c r="E77" t="s">
        <v>24</v>
      </c>
      <c r="F77" t="s">
        <v>118</v>
      </c>
      <c r="G77" s="3">
        <v>67.91</v>
      </c>
      <c r="H77" t="s">
        <v>26</v>
      </c>
      <c r="I77" t="s">
        <v>67</v>
      </c>
      <c r="J77" s="4" t="s">
        <v>333</v>
      </c>
      <c r="K77" t="s">
        <v>29</v>
      </c>
      <c r="L77" t="s">
        <v>120</v>
      </c>
      <c r="M77" t="s">
        <v>96</v>
      </c>
      <c r="N77" t="s">
        <v>32</v>
      </c>
      <c r="O77">
        <v>5</v>
      </c>
      <c r="P77">
        <v>1</v>
      </c>
      <c r="Q77" t="s">
        <v>33</v>
      </c>
      <c r="R77" t="s">
        <v>85</v>
      </c>
      <c r="S77" s="3">
        <v>67.91</v>
      </c>
      <c r="T77" t="s">
        <v>121</v>
      </c>
      <c r="U77" t="s">
        <v>36</v>
      </c>
      <c r="V77" t="str">
        <f t="shared" si="4"/>
        <v>2026-01</v>
      </c>
      <c r="W77" t="str">
        <f t="shared" si="5"/>
        <v>0-3 days</v>
      </c>
      <c r="X77" t="str">
        <f t="shared" si="6"/>
        <v>Refund Issued</v>
      </c>
      <c r="Y77" t="str">
        <f t="shared" si="7"/>
        <v>High</v>
      </c>
    </row>
    <row r="78" spans="1:25" ht="27.6">
      <c r="A78" t="s">
        <v>334</v>
      </c>
      <c r="B78" t="s">
        <v>335</v>
      </c>
      <c r="C78" t="s">
        <v>336</v>
      </c>
      <c r="D78" s="2">
        <v>46166</v>
      </c>
      <c r="E78" t="s">
        <v>47</v>
      </c>
      <c r="F78" t="s">
        <v>103</v>
      </c>
      <c r="G78" s="3">
        <v>14.45</v>
      </c>
      <c r="H78" t="s">
        <v>49</v>
      </c>
      <c r="I78" t="s">
        <v>27</v>
      </c>
      <c r="J78" s="4" t="s">
        <v>134</v>
      </c>
      <c r="K78" t="s">
        <v>33</v>
      </c>
      <c r="L78" t="s">
        <v>30</v>
      </c>
      <c r="M78" t="s">
        <v>31</v>
      </c>
      <c r="N78" t="s">
        <v>32</v>
      </c>
      <c r="O78">
        <v>5</v>
      </c>
      <c r="P78">
        <v>12</v>
      </c>
      <c r="Q78" t="s">
        <v>29</v>
      </c>
      <c r="R78" t="s">
        <v>34</v>
      </c>
      <c r="S78" s="3">
        <v>0</v>
      </c>
      <c r="T78" t="s">
        <v>35</v>
      </c>
      <c r="U78" t="s">
        <v>63</v>
      </c>
      <c r="V78" t="str">
        <f t="shared" si="4"/>
        <v>2026-05</v>
      </c>
      <c r="W78" t="str">
        <f t="shared" si="5"/>
        <v>8-14 days</v>
      </c>
      <c r="X78" t="str">
        <f t="shared" si="6"/>
        <v>No Refund</v>
      </c>
      <c r="Y78" t="str">
        <f t="shared" si="7"/>
        <v>Medium</v>
      </c>
    </row>
    <row r="79" spans="1:25" ht="27.6">
      <c r="A79" t="s">
        <v>337</v>
      </c>
      <c r="B79" t="s">
        <v>338</v>
      </c>
      <c r="C79" t="s">
        <v>339</v>
      </c>
      <c r="D79" s="2">
        <v>46146</v>
      </c>
      <c r="E79" t="s">
        <v>24</v>
      </c>
      <c r="F79" t="s">
        <v>25</v>
      </c>
      <c r="G79" s="3">
        <v>89.69</v>
      </c>
      <c r="H79" t="s">
        <v>49</v>
      </c>
      <c r="I79" t="s">
        <v>27</v>
      </c>
      <c r="J79" s="4" t="s">
        <v>42</v>
      </c>
      <c r="K79" t="s">
        <v>33</v>
      </c>
      <c r="L79" t="s">
        <v>30</v>
      </c>
      <c r="M79" t="s">
        <v>31</v>
      </c>
      <c r="N79" t="s">
        <v>126</v>
      </c>
      <c r="O79">
        <v>5</v>
      </c>
      <c r="P79">
        <v>5</v>
      </c>
      <c r="Q79" t="s">
        <v>33</v>
      </c>
      <c r="R79" t="s">
        <v>34</v>
      </c>
      <c r="S79" s="3">
        <v>0</v>
      </c>
      <c r="T79" t="s">
        <v>43</v>
      </c>
      <c r="U79" t="s">
        <v>53</v>
      </c>
      <c r="V79" t="str">
        <f t="shared" si="4"/>
        <v>2026-05</v>
      </c>
      <c r="W79" t="str">
        <f t="shared" si="5"/>
        <v>4-7 days</v>
      </c>
      <c r="X79" t="str">
        <f t="shared" si="6"/>
        <v>No Refund</v>
      </c>
      <c r="Y79" t="str">
        <f t="shared" si="7"/>
        <v>High</v>
      </c>
    </row>
    <row r="80" spans="1:25" ht="27.6">
      <c r="A80" t="s">
        <v>340</v>
      </c>
      <c r="B80" t="s">
        <v>341</v>
      </c>
      <c r="C80" t="s">
        <v>342</v>
      </c>
      <c r="D80" s="2">
        <v>46092</v>
      </c>
      <c r="E80" t="s">
        <v>40</v>
      </c>
      <c r="F80" t="s">
        <v>118</v>
      </c>
      <c r="G80" s="3">
        <v>140.28</v>
      </c>
      <c r="H80" t="s">
        <v>108</v>
      </c>
      <c r="I80" t="s">
        <v>27</v>
      </c>
      <c r="J80" s="4" t="s">
        <v>119</v>
      </c>
      <c r="K80" t="s">
        <v>33</v>
      </c>
      <c r="L80" t="s">
        <v>30</v>
      </c>
      <c r="M80" t="s">
        <v>31</v>
      </c>
      <c r="N80" t="s">
        <v>32</v>
      </c>
      <c r="O80">
        <v>5</v>
      </c>
      <c r="P80">
        <v>10</v>
      </c>
      <c r="Q80" t="s">
        <v>29</v>
      </c>
      <c r="R80" t="s">
        <v>85</v>
      </c>
      <c r="S80" s="3">
        <v>105.21</v>
      </c>
      <c r="T80" t="s">
        <v>121</v>
      </c>
      <c r="U80" t="s">
        <v>63</v>
      </c>
      <c r="V80" t="str">
        <f t="shared" si="4"/>
        <v>2026-03</v>
      </c>
      <c r="W80" t="str">
        <f t="shared" si="5"/>
        <v>8-14 days</v>
      </c>
      <c r="X80" t="str">
        <f t="shared" si="6"/>
        <v>Refund Issued</v>
      </c>
      <c r="Y80" t="str">
        <f t="shared" si="7"/>
        <v>High</v>
      </c>
    </row>
    <row r="81" spans="1:25" ht="27.6">
      <c r="A81" t="s">
        <v>343</v>
      </c>
      <c r="B81" t="s">
        <v>344</v>
      </c>
      <c r="C81" t="s">
        <v>345</v>
      </c>
      <c r="D81" s="2">
        <v>46102</v>
      </c>
      <c r="E81" t="s">
        <v>40</v>
      </c>
      <c r="F81" t="s">
        <v>57</v>
      </c>
      <c r="G81" s="3">
        <v>45.05</v>
      </c>
      <c r="H81" t="s">
        <v>26</v>
      </c>
      <c r="I81" t="s">
        <v>27</v>
      </c>
      <c r="J81" s="4" t="s">
        <v>155</v>
      </c>
      <c r="K81" t="s">
        <v>33</v>
      </c>
      <c r="L81" t="s">
        <v>60</v>
      </c>
      <c r="M81" t="s">
        <v>31</v>
      </c>
      <c r="N81" t="s">
        <v>32</v>
      </c>
      <c r="O81">
        <v>10</v>
      </c>
      <c r="P81">
        <v>13</v>
      </c>
      <c r="Q81" t="s">
        <v>29</v>
      </c>
      <c r="R81" t="s">
        <v>61</v>
      </c>
      <c r="S81" s="3">
        <v>45.05</v>
      </c>
      <c r="T81" t="s">
        <v>156</v>
      </c>
      <c r="U81" t="s">
        <v>63</v>
      </c>
      <c r="V81" t="str">
        <f t="shared" si="4"/>
        <v>2026-03</v>
      </c>
      <c r="W81" t="str">
        <f t="shared" si="5"/>
        <v>8-14 days</v>
      </c>
      <c r="X81" t="str">
        <f t="shared" si="6"/>
        <v>Refund Issued</v>
      </c>
      <c r="Y81" t="str">
        <f t="shared" si="7"/>
        <v>Low</v>
      </c>
    </row>
    <row r="82" spans="1:25" ht="27.6">
      <c r="A82" t="s">
        <v>346</v>
      </c>
      <c r="B82" t="s">
        <v>347</v>
      </c>
      <c r="C82" t="s">
        <v>348</v>
      </c>
      <c r="D82" s="2">
        <v>46136</v>
      </c>
      <c r="E82" t="s">
        <v>24</v>
      </c>
      <c r="F82" t="s">
        <v>118</v>
      </c>
      <c r="G82" s="3">
        <v>41.57</v>
      </c>
      <c r="H82" t="s">
        <v>26</v>
      </c>
      <c r="I82" t="s">
        <v>27</v>
      </c>
      <c r="J82" s="4" t="s">
        <v>349</v>
      </c>
      <c r="K82" t="s">
        <v>29</v>
      </c>
      <c r="L82" t="s">
        <v>120</v>
      </c>
      <c r="M82" t="s">
        <v>96</v>
      </c>
      <c r="N82" t="s">
        <v>32</v>
      </c>
      <c r="O82">
        <v>5</v>
      </c>
      <c r="P82">
        <v>1</v>
      </c>
      <c r="Q82" t="s">
        <v>33</v>
      </c>
      <c r="R82" t="s">
        <v>85</v>
      </c>
      <c r="S82" s="3">
        <v>41.57</v>
      </c>
      <c r="T82" t="s">
        <v>121</v>
      </c>
      <c r="U82" t="s">
        <v>36</v>
      </c>
      <c r="V82" t="str">
        <f t="shared" si="4"/>
        <v>2026-04</v>
      </c>
      <c r="W82" t="str">
        <f t="shared" si="5"/>
        <v>0-3 days</v>
      </c>
      <c r="X82" t="str">
        <f t="shared" si="6"/>
        <v>Refund Issued</v>
      </c>
      <c r="Y82" t="str">
        <f t="shared" si="7"/>
        <v>High</v>
      </c>
    </row>
    <row r="83" spans="1:25" ht="27.6">
      <c r="A83" t="s">
        <v>350</v>
      </c>
      <c r="B83" t="s">
        <v>351</v>
      </c>
      <c r="C83" t="s">
        <v>352</v>
      </c>
      <c r="D83" s="2">
        <v>46100</v>
      </c>
      <c r="E83" t="s">
        <v>94</v>
      </c>
      <c r="F83" t="s">
        <v>57</v>
      </c>
      <c r="G83" s="3">
        <v>69.55</v>
      </c>
      <c r="H83" t="s">
        <v>26</v>
      </c>
      <c r="I83" t="s">
        <v>27</v>
      </c>
      <c r="J83" s="4" t="s">
        <v>155</v>
      </c>
      <c r="K83" t="s">
        <v>33</v>
      </c>
      <c r="L83" t="s">
        <v>60</v>
      </c>
      <c r="M83" t="s">
        <v>31</v>
      </c>
      <c r="N83" t="s">
        <v>32</v>
      </c>
      <c r="O83">
        <v>10</v>
      </c>
      <c r="P83">
        <v>14</v>
      </c>
      <c r="Q83" t="s">
        <v>29</v>
      </c>
      <c r="R83" t="s">
        <v>61</v>
      </c>
      <c r="S83" s="3">
        <v>34.770000000000003</v>
      </c>
      <c r="T83" t="s">
        <v>156</v>
      </c>
      <c r="U83" t="s">
        <v>63</v>
      </c>
      <c r="V83" t="str">
        <f t="shared" si="4"/>
        <v>2026-03</v>
      </c>
      <c r="W83" t="str">
        <f t="shared" si="5"/>
        <v>8-14 days</v>
      </c>
      <c r="X83" t="str">
        <f t="shared" si="6"/>
        <v>Refund Issued</v>
      </c>
      <c r="Y83" t="str">
        <f t="shared" si="7"/>
        <v>Low</v>
      </c>
    </row>
    <row r="84" spans="1:25" ht="27.6">
      <c r="A84" t="s">
        <v>353</v>
      </c>
      <c r="B84" t="s">
        <v>354</v>
      </c>
      <c r="C84" t="s">
        <v>355</v>
      </c>
      <c r="D84" s="2">
        <v>46033</v>
      </c>
      <c r="E84" t="s">
        <v>47</v>
      </c>
      <c r="F84" t="s">
        <v>82</v>
      </c>
      <c r="G84" s="3">
        <v>16.510000000000002</v>
      </c>
      <c r="H84" t="s">
        <v>108</v>
      </c>
      <c r="I84" t="s">
        <v>50</v>
      </c>
      <c r="J84" s="4" t="s">
        <v>356</v>
      </c>
      <c r="K84" t="s">
        <v>29</v>
      </c>
      <c r="L84" t="s">
        <v>30</v>
      </c>
      <c r="M84" t="s">
        <v>31</v>
      </c>
      <c r="N84" t="s">
        <v>84</v>
      </c>
      <c r="O84">
        <v>7</v>
      </c>
      <c r="P84">
        <v>5</v>
      </c>
      <c r="Q84" t="s">
        <v>33</v>
      </c>
      <c r="R84" t="s">
        <v>85</v>
      </c>
      <c r="S84" s="3">
        <v>0</v>
      </c>
      <c r="T84" t="s">
        <v>69</v>
      </c>
      <c r="U84" t="s">
        <v>36</v>
      </c>
      <c r="V84" t="str">
        <f t="shared" si="4"/>
        <v>2026-01</v>
      </c>
      <c r="W84" t="str">
        <f t="shared" si="5"/>
        <v>4-7 days</v>
      </c>
      <c r="X84" t="str">
        <f t="shared" si="6"/>
        <v>No Refund</v>
      </c>
      <c r="Y84" t="str">
        <f t="shared" si="7"/>
        <v>High</v>
      </c>
    </row>
    <row r="85" spans="1:25" ht="27.6">
      <c r="A85" t="s">
        <v>357</v>
      </c>
      <c r="B85" t="s">
        <v>358</v>
      </c>
      <c r="C85" t="s">
        <v>359</v>
      </c>
      <c r="D85" s="2">
        <v>46050</v>
      </c>
      <c r="E85" t="s">
        <v>24</v>
      </c>
      <c r="F85" t="s">
        <v>172</v>
      </c>
      <c r="G85" s="3">
        <v>42.86</v>
      </c>
      <c r="H85" t="s">
        <v>41</v>
      </c>
      <c r="I85" t="s">
        <v>50</v>
      </c>
      <c r="J85" s="4" t="s">
        <v>173</v>
      </c>
      <c r="K85" t="s">
        <v>29</v>
      </c>
      <c r="L85" t="s">
        <v>30</v>
      </c>
      <c r="M85" t="s">
        <v>31</v>
      </c>
      <c r="N85" t="s">
        <v>32</v>
      </c>
      <c r="O85">
        <v>7</v>
      </c>
      <c r="P85">
        <v>10</v>
      </c>
      <c r="Q85" t="s">
        <v>29</v>
      </c>
      <c r="R85" t="s">
        <v>174</v>
      </c>
      <c r="S85" s="3">
        <v>0</v>
      </c>
      <c r="T85" t="s">
        <v>69</v>
      </c>
      <c r="U85" t="s">
        <v>63</v>
      </c>
      <c r="V85" t="str">
        <f t="shared" si="4"/>
        <v>2026-01</v>
      </c>
      <c r="W85" t="str">
        <f t="shared" si="5"/>
        <v>8-14 days</v>
      </c>
      <c r="X85" t="str">
        <f t="shared" si="6"/>
        <v>No Refund</v>
      </c>
      <c r="Y85" t="str">
        <f t="shared" si="7"/>
        <v>Medium</v>
      </c>
    </row>
    <row r="86" spans="1:25" ht="27.6">
      <c r="A86" t="s">
        <v>360</v>
      </c>
      <c r="B86" t="s">
        <v>361</v>
      </c>
      <c r="C86" t="s">
        <v>362</v>
      </c>
      <c r="D86" s="2">
        <v>46060</v>
      </c>
      <c r="E86" t="s">
        <v>24</v>
      </c>
      <c r="F86" t="s">
        <v>25</v>
      </c>
      <c r="G86" s="3">
        <v>13.33</v>
      </c>
      <c r="H86" t="s">
        <v>49</v>
      </c>
      <c r="I86" t="s">
        <v>50</v>
      </c>
      <c r="J86" s="4" t="s">
        <v>42</v>
      </c>
      <c r="K86" t="s">
        <v>29</v>
      </c>
      <c r="L86" t="s">
        <v>30</v>
      </c>
      <c r="M86" t="s">
        <v>96</v>
      </c>
      <c r="N86" t="s">
        <v>32</v>
      </c>
      <c r="O86">
        <v>5</v>
      </c>
      <c r="P86">
        <v>1</v>
      </c>
      <c r="Q86" t="s">
        <v>33</v>
      </c>
      <c r="R86" t="s">
        <v>34</v>
      </c>
      <c r="S86" s="3">
        <v>13.33</v>
      </c>
      <c r="T86" t="s">
        <v>35</v>
      </c>
      <c r="U86" t="s">
        <v>36</v>
      </c>
      <c r="V86" t="str">
        <f t="shared" si="4"/>
        <v>2026-02</v>
      </c>
      <c r="W86" t="str">
        <f t="shared" si="5"/>
        <v>0-3 days</v>
      </c>
      <c r="X86" t="str">
        <f t="shared" si="6"/>
        <v>Refund Issued</v>
      </c>
      <c r="Y86" t="str">
        <f t="shared" si="7"/>
        <v>High</v>
      </c>
    </row>
    <row r="87" spans="1:25" ht="27.6">
      <c r="A87" t="s">
        <v>363</v>
      </c>
      <c r="B87" t="s">
        <v>364</v>
      </c>
      <c r="C87" t="s">
        <v>365</v>
      </c>
      <c r="D87" s="2">
        <v>46135</v>
      </c>
      <c r="E87" t="s">
        <v>24</v>
      </c>
      <c r="F87" t="s">
        <v>82</v>
      </c>
      <c r="G87" s="3">
        <v>27.21</v>
      </c>
      <c r="H87" t="s">
        <v>26</v>
      </c>
      <c r="I87" t="s">
        <v>27</v>
      </c>
      <c r="J87" s="4" t="s">
        <v>114</v>
      </c>
      <c r="K87" t="s">
        <v>29</v>
      </c>
      <c r="L87" t="s">
        <v>30</v>
      </c>
      <c r="M87" t="s">
        <v>31</v>
      </c>
      <c r="N87" t="s">
        <v>32</v>
      </c>
      <c r="O87">
        <v>7</v>
      </c>
      <c r="P87">
        <v>6</v>
      </c>
      <c r="Q87" t="s">
        <v>33</v>
      </c>
      <c r="R87" t="s">
        <v>85</v>
      </c>
      <c r="S87" s="3">
        <v>20.41</v>
      </c>
      <c r="T87" t="s">
        <v>69</v>
      </c>
      <c r="U87" t="s">
        <v>53</v>
      </c>
      <c r="V87" t="str">
        <f t="shared" si="4"/>
        <v>2026-04</v>
      </c>
      <c r="W87" t="str">
        <f t="shared" si="5"/>
        <v>4-7 days</v>
      </c>
      <c r="X87" t="str">
        <f t="shared" si="6"/>
        <v>Refund Issued</v>
      </c>
      <c r="Y87" t="str">
        <f t="shared" si="7"/>
        <v>High</v>
      </c>
    </row>
    <row r="88" spans="1:25" ht="27.6">
      <c r="A88" t="s">
        <v>366</v>
      </c>
      <c r="B88" t="s">
        <v>367</v>
      </c>
      <c r="C88" t="s">
        <v>368</v>
      </c>
      <c r="D88" s="2">
        <v>46141</v>
      </c>
      <c r="E88" t="s">
        <v>47</v>
      </c>
      <c r="F88" t="s">
        <v>48</v>
      </c>
      <c r="G88" s="3">
        <v>162.80000000000001</v>
      </c>
      <c r="H88" t="s">
        <v>74</v>
      </c>
      <c r="I88" t="s">
        <v>27</v>
      </c>
      <c r="J88" s="4" t="s">
        <v>51</v>
      </c>
      <c r="K88" t="s">
        <v>29</v>
      </c>
      <c r="L88" t="s">
        <v>30</v>
      </c>
      <c r="M88" t="s">
        <v>31</v>
      </c>
      <c r="N88" t="s">
        <v>90</v>
      </c>
      <c r="O88">
        <v>10</v>
      </c>
      <c r="P88">
        <v>9</v>
      </c>
      <c r="Q88" t="s">
        <v>33</v>
      </c>
      <c r="R88" t="s">
        <v>34</v>
      </c>
      <c r="S88" s="3">
        <v>0</v>
      </c>
      <c r="T88" t="s">
        <v>69</v>
      </c>
      <c r="U88" t="s">
        <v>63</v>
      </c>
      <c r="V88" t="str">
        <f t="shared" si="4"/>
        <v>2026-04</v>
      </c>
      <c r="W88" t="str">
        <f t="shared" si="5"/>
        <v>8-14 days</v>
      </c>
      <c r="X88" t="str">
        <f t="shared" si="6"/>
        <v>No Refund</v>
      </c>
      <c r="Y88" t="str">
        <f t="shared" si="7"/>
        <v>Low</v>
      </c>
    </row>
    <row r="89" spans="1:25" ht="27.6">
      <c r="A89" t="s">
        <v>369</v>
      </c>
      <c r="B89" t="s">
        <v>370</v>
      </c>
      <c r="C89" t="s">
        <v>371</v>
      </c>
      <c r="D89" s="2">
        <v>46067</v>
      </c>
      <c r="E89" t="s">
        <v>24</v>
      </c>
      <c r="F89" t="s">
        <v>103</v>
      </c>
      <c r="G89" s="3">
        <v>52.02</v>
      </c>
      <c r="H89" t="s">
        <v>41</v>
      </c>
      <c r="I89" t="s">
        <v>27</v>
      </c>
      <c r="J89" s="4" t="s">
        <v>104</v>
      </c>
      <c r="K89" t="s">
        <v>33</v>
      </c>
      <c r="L89" t="s">
        <v>30</v>
      </c>
      <c r="M89" t="s">
        <v>31</v>
      </c>
      <c r="N89" t="s">
        <v>126</v>
      </c>
      <c r="O89">
        <v>5</v>
      </c>
      <c r="P89">
        <v>8</v>
      </c>
      <c r="Q89" t="s">
        <v>29</v>
      </c>
      <c r="R89" t="s">
        <v>34</v>
      </c>
      <c r="S89" s="3">
        <v>0</v>
      </c>
      <c r="T89" t="s">
        <v>35</v>
      </c>
      <c r="U89" t="s">
        <v>63</v>
      </c>
      <c r="V89" t="str">
        <f t="shared" si="4"/>
        <v>2026-02</v>
      </c>
      <c r="W89" t="str">
        <f t="shared" si="5"/>
        <v>8-14 days</v>
      </c>
      <c r="X89" t="str">
        <f t="shared" si="6"/>
        <v>No Refund</v>
      </c>
      <c r="Y89" t="str">
        <f t="shared" si="7"/>
        <v>Medium</v>
      </c>
    </row>
    <row r="90" spans="1:25" ht="27.6">
      <c r="A90" t="s">
        <v>372</v>
      </c>
      <c r="B90" t="s">
        <v>373</v>
      </c>
      <c r="C90" t="s">
        <v>374</v>
      </c>
      <c r="D90" s="2">
        <v>46047</v>
      </c>
      <c r="E90" t="s">
        <v>47</v>
      </c>
      <c r="F90" t="s">
        <v>82</v>
      </c>
      <c r="G90" s="3">
        <v>18.09</v>
      </c>
      <c r="H90" t="s">
        <v>58</v>
      </c>
      <c r="I90" t="s">
        <v>27</v>
      </c>
      <c r="J90" s="4" t="s">
        <v>375</v>
      </c>
      <c r="K90" t="s">
        <v>29</v>
      </c>
      <c r="L90" t="s">
        <v>30</v>
      </c>
      <c r="M90" t="s">
        <v>31</v>
      </c>
      <c r="N90" t="s">
        <v>84</v>
      </c>
      <c r="O90">
        <v>7</v>
      </c>
      <c r="P90">
        <v>4</v>
      </c>
      <c r="Q90" t="s">
        <v>33</v>
      </c>
      <c r="R90" t="s">
        <v>85</v>
      </c>
      <c r="S90" s="3">
        <v>0</v>
      </c>
      <c r="T90" t="s">
        <v>43</v>
      </c>
      <c r="U90" t="s">
        <v>53</v>
      </c>
      <c r="V90" t="str">
        <f t="shared" si="4"/>
        <v>2026-01</v>
      </c>
      <c r="W90" t="str">
        <f t="shared" si="5"/>
        <v>4-7 days</v>
      </c>
      <c r="X90" t="str">
        <f t="shared" si="6"/>
        <v>No Refund</v>
      </c>
      <c r="Y90" t="str">
        <f t="shared" si="7"/>
        <v>High</v>
      </c>
    </row>
    <row r="91" spans="1:25" ht="27.6">
      <c r="A91" t="s">
        <v>376</v>
      </c>
      <c r="B91" t="s">
        <v>377</v>
      </c>
      <c r="C91" t="s">
        <v>378</v>
      </c>
      <c r="D91" s="2">
        <v>46027</v>
      </c>
      <c r="E91" t="s">
        <v>24</v>
      </c>
      <c r="F91" t="s">
        <v>25</v>
      </c>
      <c r="G91" s="3">
        <v>39.409999999999997</v>
      </c>
      <c r="H91" t="s">
        <v>74</v>
      </c>
      <c r="I91" t="s">
        <v>27</v>
      </c>
      <c r="J91" s="4" t="s">
        <v>379</v>
      </c>
      <c r="K91" t="s">
        <v>29</v>
      </c>
      <c r="L91" t="s">
        <v>30</v>
      </c>
      <c r="M91" t="s">
        <v>31</v>
      </c>
      <c r="N91" t="s">
        <v>32</v>
      </c>
      <c r="O91">
        <v>5</v>
      </c>
      <c r="P91">
        <v>8</v>
      </c>
      <c r="Q91" t="s">
        <v>29</v>
      </c>
      <c r="R91" t="s">
        <v>34</v>
      </c>
      <c r="S91" s="3">
        <v>39.409999999999997</v>
      </c>
      <c r="T91" t="s">
        <v>110</v>
      </c>
      <c r="U91" t="s">
        <v>63</v>
      </c>
      <c r="V91" t="str">
        <f t="shared" si="4"/>
        <v>2026-01</v>
      </c>
      <c r="W91" t="str">
        <f t="shared" si="5"/>
        <v>8-14 days</v>
      </c>
      <c r="X91" t="str">
        <f t="shared" si="6"/>
        <v>Refund Issued</v>
      </c>
      <c r="Y91" t="str">
        <f t="shared" si="7"/>
        <v>High</v>
      </c>
    </row>
    <row r="92" spans="1:25" ht="27.6">
      <c r="A92" t="s">
        <v>380</v>
      </c>
      <c r="B92" t="s">
        <v>381</v>
      </c>
      <c r="C92" t="s">
        <v>382</v>
      </c>
      <c r="D92" s="2">
        <v>46056</v>
      </c>
      <c r="E92" t="s">
        <v>47</v>
      </c>
      <c r="F92" t="s">
        <v>25</v>
      </c>
      <c r="G92" s="3">
        <v>8.89</v>
      </c>
      <c r="H92" t="s">
        <v>89</v>
      </c>
      <c r="I92" t="s">
        <v>67</v>
      </c>
      <c r="J92" s="4" t="s">
        <v>42</v>
      </c>
      <c r="K92" t="s">
        <v>29</v>
      </c>
      <c r="L92" t="s">
        <v>30</v>
      </c>
      <c r="M92" t="s">
        <v>31</v>
      </c>
      <c r="N92" t="s">
        <v>32</v>
      </c>
      <c r="O92">
        <v>5</v>
      </c>
      <c r="P92">
        <v>8</v>
      </c>
      <c r="Q92" t="s">
        <v>29</v>
      </c>
      <c r="R92" t="s">
        <v>34</v>
      </c>
      <c r="S92" s="3">
        <v>0</v>
      </c>
      <c r="T92" t="s">
        <v>43</v>
      </c>
      <c r="U92" t="s">
        <v>63</v>
      </c>
      <c r="V92" t="str">
        <f t="shared" si="4"/>
        <v>2026-02</v>
      </c>
      <c r="W92" t="str">
        <f t="shared" si="5"/>
        <v>8-14 days</v>
      </c>
      <c r="X92" t="str">
        <f t="shared" si="6"/>
        <v>No Refund</v>
      </c>
      <c r="Y92" t="str">
        <f t="shared" si="7"/>
        <v>High</v>
      </c>
    </row>
    <row r="93" spans="1:25" ht="27.6">
      <c r="A93" t="s">
        <v>383</v>
      </c>
      <c r="B93" t="s">
        <v>384</v>
      </c>
      <c r="C93" t="s">
        <v>385</v>
      </c>
      <c r="D93" s="2">
        <v>46159</v>
      </c>
      <c r="E93" t="s">
        <v>24</v>
      </c>
      <c r="F93" t="s">
        <v>48</v>
      </c>
      <c r="G93" s="3">
        <v>10.1</v>
      </c>
      <c r="H93" t="s">
        <v>89</v>
      </c>
      <c r="I93" t="s">
        <v>67</v>
      </c>
      <c r="J93" s="4" t="s">
        <v>51</v>
      </c>
      <c r="K93" t="s">
        <v>29</v>
      </c>
      <c r="L93" t="s">
        <v>30</v>
      </c>
      <c r="M93" t="s">
        <v>31</v>
      </c>
      <c r="N93" t="s">
        <v>32</v>
      </c>
      <c r="O93">
        <v>10</v>
      </c>
      <c r="P93">
        <v>6</v>
      </c>
      <c r="Q93" t="s">
        <v>33</v>
      </c>
      <c r="R93" t="s">
        <v>34</v>
      </c>
      <c r="S93" s="3">
        <v>7.57</v>
      </c>
      <c r="T93" t="s">
        <v>52</v>
      </c>
      <c r="U93" t="s">
        <v>53</v>
      </c>
      <c r="V93" t="str">
        <f t="shared" si="4"/>
        <v>2026-05</v>
      </c>
      <c r="W93" t="str">
        <f t="shared" si="5"/>
        <v>4-7 days</v>
      </c>
      <c r="X93" t="str">
        <f t="shared" si="6"/>
        <v>Refund Issued</v>
      </c>
      <c r="Y93" t="str">
        <f t="shared" si="7"/>
        <v>Low</v>
      </c>
    </row>
    <row r="94" spans="1:25" ht="27.6">
      <c r="A94" t="s">
        <v>386</v>
      </c>
      <c r="B94" t="s">
        <v>387</v>
      </c>
      <c r="C94" t="s">
        <v>388</v>
      </c>
      <c r="D94" s="2">
        <v>46036</v>
      </c>
      <c r="E94" t="s">
        <v>40</v>
      </c>
      <c r="F94" t="s">
        <v>73</v>
      </c>
      <c r="G94" s="3">
        <v>44.2</v>
      </c>
      <c r="H94" t="s">
        <v>49</v>
      </c>
      <c r="I94" t="s">
        <v>50</v>
      </c>
      <c r="J94" s="4" t="s">
        <v>389</v>
      </c>
      <c r="K94" t="s">
        <v>29</v>
      </c>
      <c r="L94" t="s">
        <v>60</v>
      </c>
      <c r="M94" t="s">
        <v>31</v>
      </c>
      <c r="N94" t="s">
        <v>84</v>
      </c>
      <c r="O94">
        <v>10</v>
      </c>
      <c r="P94">
        <v>11</v>
      </c>
      <c r="Q94" t="s">
        <v>29</v>
      </c>
      <c r="R94" t="s">
        <v>61</v>
      </c>
      <c r="S94" s="3">
        <v>0</v>
      </c>
      <c r="T94" t="s">
        <v>156</v>
      </c>
      <c r="U94" t="s">
        <v>63</v>
      </c>
      <c r="V94" t="str">
        <f t="shared" si="4"/>
        <v>2026-01</v>
      </c>
      <c r="W94" t="str">
        <f t="shared" si="5"/>
        <v>8-14 days</v>
      </c>
      <c r="X94" t="str">
        <f t="shared" si="6"/>
        <v>No Refund</v>
      </c>
      <c r="Y94" t="str">
        <f t="shared" si="7"/>
        <v>Low</v>
      </c>
    </row>
    <row r="95" spans="1:25" ht="27.6">
      <c r="A95" t="s">
        <v>390</v>
      </c>
      <c r="B95" t="s">
        <v>391</v>
      </c>
      <c r="C95" t="s">
        <v>392</v>
      </c>
      <c r="D95" s="2">
        <v>46138</v>
      </c>
      <c r="E95" t="s">
        <v>94</v>
      </c>
      <c r="F95" t="s">
        <v>48</v>
      </c>
      <c r="G95" s="3">
        <v>32.93</v>
      </c>
      <c r="H95" t="s">
        <v>41</v>
      </c>
      <c r="I95" t="s">
        <v>27</v>
      </c>
      <c r="J95" s="4" t="s">
        <v>51</v>
      </c>
      <c r="K95" t="s">
        <v>33</v>
      </c>
      <c r="L95" t="s">
        <v>30</v>
      </c>
      <c r="M95" t="s">
        <v>31</v>
      </c>
      <c r="N95" t="s">
        <v>32</v>
      </c>
      <c r="O95">
        <v>10</v>
      </c>
      <c r="P95">
        <v>6</v>
      </c>
      <c r="Q95" t="s">
        <v>33</v>
      </c>
      <c r="R95" t="s">
        <v>34</v>
      </c>
      <c r="S95" s="3">
        <v>16.46</v>
      </c>
      <c r="T95" t="s">
        <v>52</v>
      </c>
      <c r="U95" t="s">
        <v>36</v>
      </c>
      <c r="V95" t="str">
        <f t="shared" si="4"/>
        <v>2026-04</v>
      </c>
      <c r="W95" t="str">
        <f t="shared" si="5"/>
        <v>4-7 days</v>
      </c>
      <c r="X95" t="str">
        <f t="shared" si="6"/>
        <v>Refund Issued</v>
      </c>
      <c r="Y95" t="str">
        <f t="shared" si="7"/>
        <v>Low</v>
      </c>
    </row>
    <row r="96" spans="1:25" ht="27.6">
      <c r="A96" t="s">
        <v>393</v>
      </c>
      <c r="B96" t="s">
        <v>394</v>
      </c>
      <c r="C96" t="s">
        <v>395</v>
      </c>
      <c r="D96" s="2">
        <v>46096</v>
      </c>
      <c r="E96" t="s">
        <v>94</v>
      </c>
      <c r="F96" t="s">
        <v>82</v>
      </c>
      <c r="G96" s="3">
        <v>299.5</v>
      </c>
      <c r="H96" t="s">
        <v>108</v>
      </c>
      <c r="I96" t="s">
        <v>27</v>
      </c>
      <c r="J96" s="4" t="s">
        <v>396</v>
      </c>
      <c r="K96" t="s">
        <v>29</v>
      </c>
      <c r="L96" t="s">
        <v>30</v>
      </c>
      <c r="M96" t="s">
        <v>31</v>
      </c>
      <c r="N96" t="s">
        <v>32</v>
      </c>
      <c r="O96">
        <v>7</v>
      </c>
      <c r="P96">
        <v>8</v>
      </c>
      <c r="Q96" t="s">
        <v>29</v>
      </c>
      <c r="R96" t="s">
        <v>85</v>
      </c>
      <c r="S96" s="3">
        <v>0</v>
      </c>
      <c r="T96" t="s">
        <v>43</v>
      </c>
      <c r="U96" t="s">
        <v>63</v>
      </c>
      <c r="V96" t="str">
        <f t="shared" si="4"/>
        <v>2026-03</v>
      </c>
      <c r="W96" t="str">
        <f t="shared" si="5"/>
        <v>8-14 days</v>
      </c>
      <c r="X96" t="str">
        <f t="shared" si="6"/>
        <v>No Refund</v>
      </c>
      <c r="Y96" t="str">
        <f t="shared" si="7"/>
        <v>High</v>
      </c>
    </row>
    <row r="97" spans="1:25" ht="27.6">
      <c r="A97" t="s">
        <v>397</v>
      </c>
      <c r="B97" t="s">
        <v>398</v>
      </c>
      <c r="C97" t="s">
        <v>399</v>
      </c>
      <c r="D97" s="2">
        <v>46096</v>
      </c>
      <c r="E97" t="s">
        <v>24</v>
      </c>
      <c r="F97" t="s">
        <v>25</v>
      </c>
      <c r="G97" s="3">
        <v>14.06</v>
      </c>
      <c r="H97" t="s">
        <v>89</v>
      </c>
      <c r="I97" t="s">
        <v>27</v>
      </c>
      <c r="J97" s="4" t="s">
        <v>400</v>
      </c>
      <c r="K97" t="s">
        <v>29</v>
      </c>
      <c r="L97" t="s">
        <v>30</v>
      </c>
      <c r="M97" t="s">
        <v>31</v>
      </c>
      <c r="N97" t="s">
        <v>32</v>
      </c>
      <c r="O97">
        <v>5</v>
      </c>
      <c r="P97">
        <v>6</v>
      </c>
      <c r="Q97" t="s">
        <v>29</v>
      </c>
      <c r="R97" t="s">
        <v>34</v>
      </c>
      <c r="S97" s="3">
        <v>14.06</v>
      </c>
      <c r="T97" t="s">
        <v>43</v>
      </c>
      <c r="U97" t="s">
        <v>63</v>
      </c>
      <c r="V97" t="str">
        <f t="shared" si="4"/>
        <v>2026-03</v>
      </c>
      <c r="W97" t="str">
        <f t="shared" si="5"/>
        <v>4-7 days</v>
      </c>
      <c r="X97" t="str">
        <f t="shared" si="6"/>
        <v>Refund Issued</v>
      </c>
      <c r="Y97" t="str">
        <f t="shared" si="7"/>
        <v>High</v>
      </c>
    </row>
    <row r="98" spans="1:25" ht="27.6">
      <c r="A98" t="s">
        <v>401</v>
      </c>
      <c r="B98" t="s">
        <v>402</v>
      </c>
      <c r="C98" t="s">
        <v>403</v>
      </c>
      <c r="D98" s="2">
        <v>46132</v>
      </c>
      <c r="E98" t="s">
        <v>24</v>
      </c>
      <c r="F98" t="s">
        <v>82</v>
      </c>
      <c r="G98" s="3">
        <v>45.91</v>
      </c>
      <c r="H98" t="s">
        <v>58</v>
      </c>
      <c r="I98" t="s">
        <v>27</v>
      </c>
      <c r="J98" s="4" t="s">
        <v>114</v>
      </c>
      <c r="K98" t="s">
        <v>33</v>
      </c>
      <c r="L98" t="s">
        <v>30</v>
      </c>
      <c r="M98" t="s">
        <v>31</v>
      </c>
      <c r="N98" t="s">
        <v>126</v>
      </c>
      <c r="O98">
        <v>7</v>
      </c>
      <c r="P98">
        <v>12</v>
      </c>
      <c r="Q98" t="s">
        <v>29</v>
      </c>
      <c r="R98" t="s">
        <v>85</v>
      </c>
      <c r="S98" s="3">
        <v>0</v>
      </c>
      <c r="T98" t="s">
        <v>43</v>
      </c>
      <c r="U98" t="s">
        <v>63</v>
      </c>
      <c r="V98" t="str">
        <f t="shared" si="4"/>
        <v>2026-04</v>
      </c>
      <c r="W98" t="str">
        <f t="shared" si="5"/>
        <v>8-14 days</v>
      </c>
      <c r="X98" t="str">
        <f t="shared" si="6"/>
        <v>No Refund</v>
      </c>
      <c r="Y98" t="str">
        <f t="shared" si="7"/>
        <v>High</v>
      </c>
    </row>
    <row r="99" spans="1:25" ht="27.6">
      <c r="A99" t="s">
        <v>404</v>
      </c>
      <c r="B99" t="s">
        <v>405</v>
      </c>
      <c r="C99" t="s">
        <v>406</v>
      </c>
      <c r="D99" s="2">
        <v>46034</v>
      </c>
      <c r="E99" t="s">
        <v>47</v>
      </c>
      <c r="F99" t="s">
        <v>48</v>
      </c>
      <c r="G99" s="3">
        <v>76.87</v>
      </c>
      <c r="H99" t="s">
        <v>58</v>
      </c>
      <c r="I99" t="s">
        <v>50</v>
      </c>
      <c r="J99" s="4" t="s">
        <v>68</v>
      </c>
      <c r="K99" t="s">
        <v>29</v>
      </c>
      <c r="L99" t="s">
        <v>30</v>
      </c>
      <c r="M99" t="s">
        <v>31</v>
      </c>
      <c r="N99" t="s">
        <v>32</v>
      </c>
      <c r="O99">
        <v>10</v>
      </c>
      <c r="P99">
        <v>4</v>
      </c>
      <c r="Q99" t="s">
        <v>33</v>
      </c>
      <c r="R99" t="s">
        <v>34</v>
      </c>
      <c r="S99" s="3">
        <v>38.44</v>
      </c>
      <c r="T99" t="s">
        <v>62</v>
      </c>
      <c r="U99" t="s">
        <v>36</v>
      </c>
      <c r="V99" t="str">
        <f t="shared" si="4"/>
        <v>2026-01</v>
      </c>
      <c r="W99" t="str">
        <f t="shared" si="5"/>
        <v>4-7 days</v>
      </c>
      <c r="X99" t="str">
        <f t="shared" si="6"/>
        <v>Refund Issued</v>
      </c>
      <c r="Y99" t="str">
        <f t="shared" si="7"/>
        <v>Low</v>
      </c>
    </row>
    <row r="100" spans="1:25" ht="27.6">
      <c r="A100" t="s">
        <v>407</v>
      </c>
      <c r="B100" t="s">
        <v>408</v>
      </c>
      <c r="C100" t="s">
        <v>409</v>
      </c>
      <c r="D100" s="2">
        <v>46141</v>
      </c>
      <c r="E100" t="s">
        <v>94</v>
      </c>
      <c r="F100" t="s">
        <v>82</v>
      </c>
      <c r="G100" s="3">
        <v>23.68</v>
      </c>
      <c r="H100" t="s">
        <v>58</v>
      </c>
      <c r="I100" t="s">
        <v>50</v>
      </c>
      <c r="J100" s="4" t="s">
        <v>410</v>
      </c>
      <c r="K100" t="s">
        <v>29</v>
      </c>
      <c r="L100" t="s">
        <v>30</v>
      </c>
      <c r="M100" t="s">
        <v>31</v>
      </c>
      <c r="N100" t="s">
        <v>90</v>
      </c>
      <c r="O100">
        <v>7</v>
      </c>
      <c r="P100">
        <v>7</v>
      </c>
      <c r="Q100" t="s">
        <v>33</v>
      </c>
      <c r="R100" t="s">
        <v>85</v>
      </c>
      <c r="S100" s="3">
        <v>0</v>
      </c>
      <c r="T100" t="s">
        <v>69</v>
      </c>
      <c r="U100" t="s">
        <v>36</v>
      </c>
      <c r="V100" t="str">
        <f t="shared" si="4"/>
        <v>2026-04</v>
      </c>
      <c r="W100" t="str">
        <f t="shared" si="5"/>
        <v>4-7 days</v>
      </c>
      <c r="X100" t="str">
        <f t="shared" si="6"/>
        <v>No Refund</v>
      </c>
      <c r="Y100" t="str">
        <f t="shared" si="7"/>
        <v>High</v>
      </c>
    </row>
    <row r="101" spans="1:25" ht="27.6">
      <c r="A101" t="s">
        <v>411</v>
      </c>
      <c r="B101" t="s">
        <v>412</v>
      </c>
      <c r="C101" t="s">
        <v>413</v>
      </c>
      <c r="D101" s="2">
        <v>46087</v>
      </c>
      <c r="E101" t="s">
        <v>24</v>
      </c>
      <c r="F101" t="s">
        <v>172</v>
      </c>
      <c r="G101" s="3">
        <v>5</v>
      </c>
      <c r="H101" t="s">
        <v>26</v>
      </c>
      <c r="I101" t="s">
        <v>67</v>
      </c>
      <c r="J101" s="4" t="s">
        <v>285</v>
      </c>
      <c r="K101" t="s">
        <v>29</v>
      </c>
      <c r="L101" t="s">
        <v>30</v>
      </c>
      <c r="M101" t="s">
        <v>31</v>
      </c>
      <c r="N101" t="s">
        <v>90</v>
      </c>
      <c r="O101">
        <v>7</v>
      </c>
      <c r="P101">
        <v>13</v>
      </c>
      <c r="Q101" t="s">
        <v>29</v>
      </c>
      <c r="R101" t="s">
        <v>174</v>
      </c>
      <c r="S101" s="3">
        <v>0</v>
      </c>
      <c r="T101" t="s">
        <v>69</v>
      </c>
      <c r="U101" t="s">
        <v>63</v>
      </c>
      <c r="V101" t="str">
        <f t="shared" si="4"/>
        <v>2026-03</v>
      </c>
      <c r="W101" t="str">
        <f t="shared" si="5"/>
        <v>8-14 days</v>
      </c>
      <c r="X101" t="str">
        <f t="shared" si="6"/>
        <v>No Refund</v>
      </c>
      <c r="Y101" t="str">
        <f t="shared" si="7"/>
        <v>Medium</v>
      </c>
    </row>
    <row r="102" spans="1:25" ht="27.6">
      <c r="A102" t="s">
        <v>414</v>
      </c>
      <c r="B102" t="s">
        <v>415</v>
      </c>
      <c r="C102" t="s">
        <v>416</v>
      </c>
      <c r="D102" s="2">
        <v>46109</v>
      </c>
      <c r="E102" t="s">
        <v>94</v>
      </c>
      <c r="F102" t="s">
        <v>82</v>
      </c>
      <c r="G102" s="3">
        <v>38.56</v>
      </c>
      <c r="H102" t="s">
        <v>89</v>
      </c>
      <c r="I102" t="s">
        <v>27</v>
      </c>
      <c r="J102" s="4" t="s">
        <v>417</v>
      </c>
      <c r="K102" t="s">
        <v>33</v>
      </c>
      <c r="L102" t="s">
        <v>30</v>
      </c>
      <c r="M102" t="s">
        <v>31</v>
      </c>
      <c r="N102" t="s">
        <v>126</v>
      </c>
      <c r="O102">
        <v>7</v>
      </c>
      <c r="P102">
        <v>9</v>
      </c>
      <c r="Q102" t="s">
        <v>29</v>
      </c>
      <c r="R102" t="s">
        <v>85</v>
      </c>
      <c r="S102" s="3">
        <v>0</v>
      </c>
      <c r="T102" t="s">
        <v>69</v>
      </c>
      <c r="U102" t="s">
        <v>63</v>
      </c>
      <c r="V102" t="str">
        <f t="shared" si="4"/>
        <v>2026-03</v>
      </c>
      <c r="W102" t="str">
        <f t="shared" si="5"/>
        <v>8-14 days</v>
      </c>
      <c r="X102" t="str">
        <f t="shared" si="6"/>
        <v>No Refund</v>
      </c>
      <c r="Y102" t="str">
        <f t="shared" si="7"/>
        <v>High</v>
      </c>
    </row>
    <row r="103" spans="1:25" ht="27.6">
      <c r="A103" t="s">
        <v>418</v>
      </c>
      <c r="B103" t="s">
        <v>419</v>
      </c>
      <c r="C103" t="s">
        <v>420</v>
      </c>
      <c r="D103" s="2">
        <v>46043</v>
      </c>
      <c r="E103" t="s">
        <v>24</v>
      </c>
      <c r="F103" t="s">
        <v>118</v>
      </c>
      <c r="G103" s="3">
        <v>30.59</v>
      </c>
      <c r="H103" t="s">
        <v>74</v>
      </c>
      <c r="I103" t="s">
        <v>50</v>
      </c>
      <c r="J103" s="4" t="s">
        <v>119</v>
      </c>
      <c r="K103" t="s">
        <v>29</v>
      </c>
      <c r="L103" t="s">
        <v>120</v>
      </c>
      <c r="M103" t="s">
        <v>96</v>
      </c>
      <c r="N103" t="s">
        <v>32</v>
      </c>
      <c r="O103">
        <v>5</v>
      </c>
      <c r="P103">
        <v>4</v>
      </c>
      <c r="Q103" t="s">
        <v>33</v>
      </c>
      <c r="R103" t="s">
        <v>85</v>
      </c>
      <c r="S103" s="3">
        <v>30.59</v>
      </c>
      <c r="T103" t="s">
        <v>121</v>
      </c>
      <c r="U103" t="s">
        <v>36</v>
      </c>
      <c r="V103" t="str">
        <f t="shared" si="4"/>
        <v>2026-01</v>
      </c>
      <c r="W103" t="str">
        <f t="shared" si="5"/>
        <v>4-7 days</v>
      </c>
      <c r="X103" t="str">
        <f t="shared" si="6"/>
        <v>Refund Issued</v>
      </c>
      <c r="Y103" t="str">
        <f t="shared" si="7"/>
        <v>High</v>
      </c>
    </row>
    <row r="104" spans="1:25" ht="27.6">
      <c r="A104" t="s">
        <v>421</v>
      </c>
      <c r="B104" t="s">
        <v>422</v>
      </c>
      <c r="C104" t="s">
        <v>423</v>
      </c>
      <c r="D104" s="2">
        <v>46037</v>
      </c>
      <c r="E104" t="s">
        <v>24</v>
      </c>
      <c r="F104" t="s">
        <v>172</v>
      </c>
      <c r="G104" s="3">
        <v>14.85</v>
      </c>
      <c r="H104" t="s">
        <v>58</v>
      </c>
      <c r="I104" t="s">
        <v>27</v>
      </c>
      <c r="J104" s="4" t="s">
        <v>285</v>
      </c>
      <c r="K104" t="s">
        <v>29</v>
      </c>
      <c r="L104" t="s">
        <v>30</v>
      </c>
      <c r="M104" t="s">
        <v>31</v>
      </c>
      <c r="N104" t="s">
        <v>32</v>
      </c>
      <c r="O104">
        <v>7</v>
      </c>
      <c r="P104">
        <v>6</v>
      </c>
      <c r="Q104" t="s">
        <v>33</v>
      </c>
      <c r="R104" t="s">
        <v>174</v>
      </c>
      <c r="S104" s="3">
        <v>14.85</v>
      </c>
      <c r="T104" t="s">
        <v>110</v>
      </c>
      <c r="U104" t="s">
        <v>36</v>
      </c>
      <c r="V104" t="str">
        <f t="shared" si="4"/>
        <v>2026-01</v>
      </c>
      <c r="W104" t="str">
        <f t="shared" si="5"/>
        <v>4-7 days</v>
      </c>
      <c r="X104" t="str">
        <f t="shared" si="6"/>
        <v>Refund Issued</v>
      </c>
      <c r="Y104" t="str">
        <f t="shared" si="7"/>
        <v>Medium</v>
      </c>
    </row>
    <row r="105" spans="1:25" ht="27.6">
      <c r="A105" t="s">
        <v>424</v>
      </c>
      <c r="B105" t="s">
        <v>425</v>
      </c>
      <c r="C105" t="s">
        <v>426</v>
      </c>
      <c r="D105" s="2">
        <v>46031</v>
      </c>
      <c r="E105" t="s">
        <v>47</v>
      </c>
      <c r="F105" t="s">
        <v>103</v>
      </c>
      <c r="G105" s="3">
        <v>114.68</v>
      </c>
      <c r="H105" t="s">
        <v>49</v>
      </c>
      <c r="I105" t="s">
        <v>27</v>
      </c>
      <c r="J105" s="4" t="s">
        <v>134</v>
      </c>
      <c r="K105" t="s">
        <v>29</v>
      </c>
      <c r="L105" t="s">
        <v>30</v>
      </c>
      <c r="M105" t="s">
        <v>31</v>
      </c>
      <c r="N105" t="s">
        <v>32</v>
      </c>
      <c r="O105">
        <v>5</v>
      </c>
      <c r="P105">
        <v>3</v>
      </c>
      <c r="Q105" t="s">
        <v>33</v>
      </c>
      <c r="R105" t="s">
        <v>34</v>
      </c>
      <c r="S105" s="3">
        <v>0</v>
      </c>
      <c r="T105" t="s">
        <v>247</v>
      </c>
      <c r="U105" t="s">
        <v>53</v>
      </c>
      <c r="V105" t="str">
        <f t="shared" si="4"/>
        <v>2026-01</v>
      </c>
      <c r="W105" t="str">
        <f t="shared" si="5"/>
        <v>0-3 days</v>
      </c>
      <c r="X105" t="str">
        <f t="shared" si="6"/>
        <v>No Refund</v>
      </c>
      <c r="Y105" t="str">
        <f t="shared" si="7"/>
        <v>Medium</v>
      </c>
    </row>
    <row r="106" spans="1:25" ht="27.6">
      <c r="A106" t="s">
        <v>427</v>
      </c>
      <c r="B106" t="s">
        <v>428</v>
      </c>
      <c r="C106" t="s">
        <v>429</v>
      </c>
      <c r="D106" s="2">
        <v>46070</v>
      </c>
      <c r="E106" t="s">
        <v>47</v>
      </c>
      <c r="F106" t="s">
        <v>82</v>
      </c>
      <c r="G106" s="3">
        <v>45.69</v>
      </c>
      <c r="H106" t="s">
        <v>41</v>
      </c>
      <c r="I106" t="s">
        <v>50</v>
      </c>
      <c r="J106" s="4" t="s">
        <v>114</v>
      </c>
      <c r="K106" t="s">
        <v>29</v>
      </c>
      <c r="L106" t="s">
        <v>30</v>
      </c>
      <c r="M106" t="s">
        <v>31</v>
      </c>
      <c r="N106" t="s">
        <v>32</v>
      </c>
      <c r="O106">
        <v>7</v>
      </c>
      <c r="P106">
        <v>4</v>
      </c>
      <c r="Q106" t="s">
        <v>33</v>
      </c>
      <c r="R106" t="s">
        <v>85</v>
      </c>
      <c r="S106" s="3">
        <v>22.84</v>
      </c>
      <c r="T106" t="s">
        <v>62</v>
      </c>
      <c r="U106" t="s">
        <v>36</v>
      </c>
      <c r="V106" t="str">
        <f t="shared" si="4"/>
        <v>2026-02</v>
      </c>
      <c r="W106" t="str">
        <f t="shared" si="5"/>
        <v>4-7 days</v>
      </c>
      <c r="X106" t="str">
        <f t="shared" si="6"/>
        <v>Refund Issued</v>
      </c>
      <c r="Y106" t="str">
        <f t="shared" si="7"/>
        <v>High</v>
      </c>
    </row>
    <row r="107" spans="1:25" ht="27.6">
      <c r="A107" t="s">
        <v>430</v>
      </c>
      <c r="B107" t="s">
        <v>431</v>
      </c>
      <c r="C107" t="s">
        <v>432</v>
      </c>
      <c r="D107" s="2">
        <v>46104</v>
      </c>
      <c r="E107" t="s">
        <v>40</v>
      </c>
      <c r="F107" t="s">
        <v>103</v>
      </c>
      <c r="G107" s="3">
        <v>44.82</v>
      </c>
      <c r="H107" t="s">
        <v>41</v>
      </c>
      <c r="I107" t="s">
        <v>67</v>
      </c>
      <c r="J107" s="4" t="s">
        <v>134</v>
      </c>
      <c r="K107" t="s">
        <v>33</v>
      </c>
      <c r="L107" t="s">
        <v>30</v>
      </c>
      <c r="M107" t="s">
        <v>31</v>
      </c>
      <c r="N107" t="s">
        <v>126</v>
      </c>
      <c r="O107">
        <v>5</v>
      </c>
      <c r="P107">
        <v>12</v>
      </c>
      <c r="Q107" t="s">
        <v>29</v>
      </c>
      <c r="R107" t="s">
        <v>34</v>
      </c>
      <c r="S107" s="3">
        <v>0</v>
      </c>
      <c r="T107" t="s">
        <v>35</v>
      </c>
      <c r="U107" t="s">
        <v>63</v>
      </c>
      <c r="V107" t="str">
        <f t="shared" si="4"/>
        <v>2026-03</v>
      </c>
      <c r="W107" t="str">
        <f t="shared" si="5"/>
        <v>8-14 days</v>
      </c>
      <c r="X107" t="str">
        <f t="shared" si="6"/>
        <v>No Refund</v>
      </c>
      <c r="Y107" t="str">
        <f t="shared" si="7"/>
        <v>Medium</v>
      </c>
    </row>
    <row r="108" spans="1:25" ht="27.6">
      <c r="A108" t="s">
        <v>433</v>
      </c>
      <c r="B108" t="s">
        <v>434</v>
      </c>
      <c r="C108" t="s">
        <v>435</v>
      </c>
      <c r="D108" s="2">
        <v>46058</v>
      </c>
      <c r="E108" t="s">
        <v>24</v>
      </c>
      <c r="F108" t="s">
        <v>82</v>
      </c>
      <c r="G108" s="3">
        <v>25.17</v>
      </c>
      <c r="H108" t="s">
        <v>108</v>
      </c>
      <c r="I108" t="s">
        <v>67</v>
      </c>
      <c r="J108" s="4" t="s">
        <v>436</v>
      </c>
      <c r="K108" t="s">
        <v>29</v>
      </c>
      <c r="L108" t="s">
        <v>30</v>
      </c>
      <c r="M108" t="s">
        <v>31</v>
      </c>
      <c r="N108" t="s">
        <v>32</v>
      </c>
      <c r="O108">
        <v>7</v>
      </c>
      <c r="P108">
        <v>6</v>
      </c>
      <c r="Q108" t="s">
        <v>33</v>
      </c>
      <c r="R108" t="s">
        <v>85</v>
      </c>
      <c r="S108" s="3">
        <v>0</v>
      </c>
      <c r="T108" t="s">
        <v>62</v>
      </c>
      <c r="U108" t="s">
        <v>36</v>
      </c>
      <c r="V108" t="str">
        <f t="shared" si="4"/>
        <v>2026-02</v>
      </c>
      <c r="W108" t="str">
        <f t="shared" si="5"/>
        <v>4-7 days</v>
      </c>
      <c r="X108" t="str">
        <f t="shared" si="6"/>
        <v>No Refund</v>
      </c>
      <c r="Y108" t="str">
        <f t="shared" si="7"/>
        <v>High</v>
      </c>
    </row>
    <row r="109" spans="1:25" ht="27.6">
      <c r="A109" t="s">
        <v>437</v>
      </c>
      <c r="B109" t="s">
        <v>438</v>
      </c>
      <c r="C109" t="s">
        <v>439</v>
      </c>
      <c r="D109" s="2">
        <v>46170</v>
      </c>
      <c r="E109" t="s">
        <v>24</v>
      </c>
      <c r="F109" t="s">
        <v>48</v>
      </c>
      <c r="G109" s="3">
        <v>58.99</v>
      </c>
      <c r="H109" t="s">
        <v>58</v>
      </c>
      <c r="I109" t="s">
        <v>50</v>
      </c>
      <c r="J109" s="4" t="s">
        <v>51</v>
      </c>
      <c r="K109" t="s">
        <v>29</v>
      </c>
      <c r="L109" t="s">
        <v>30</v>
      </c>
      <c r="M109" t="s">
        <v>31</v>
      </c>
      <c r="N109" t="s">
        <v>32</v>
      </c>
      <c r="O109">
        <v>10</v>
      </c>
      <c r="P109">
        <v>5</v>
      </c>
      <c r="Q109" t="s">
        <v>33</v>
      </c>
      <c r="R109" t="s">
        <v>34</v>
      </c>
      <c r="S109" s="3">
        <v>29.5</v>
      </c>
      <c r="T109" t="s">
        <v>62</v>
      </c>
      <c r="U109" t="s">
        <v>36</v>
      </c>
      <c r="V109" t="str">
        <f t="shared" si="4"/>
        <v>2026-05</v>
      </c>
      <c r="W109" t="str">
        <f t="shared" si="5"/>
        <v>4-7 days</v>
      </c>
      <c r="X109" t="str">
        <f t="shared" si="6"/>
        <v>Refund Issued</v>
      </c>
      <c r="Y109" t="str">
        <f t="shared" si="7"/>
        <v>Low</v>
      </c>
    </row>
    <row r="110" spans="1:25" ht="27.6">
      <c r="A110" t="s">
        <v>440</v>
      </c>
      <c r="B110" t="s">
        <v>441</v>
      </c>
      <c r="C110" t="s">
        <v>442</v>
      </c>
      <c r="D110" s="2">
        <v>46062</v>
      </c>
      <c r="E110" t="s">
        <v>24</v>
      </c>
      <c r="F110" t="s">
        <v>25</v>
      </c>
      <c r="G110" s="3">
        <v>91.7</v>
      </c>
      <c r="H110" t="s">
        <v>89</v>
      </c>
      <c r="I110" t="s">
        <v>67</v>
      </c>
      <c r="J110" s="4" t="s">
        <v>443</v>
      </c>
      <c r="K110" t="s">
        <v>33</v>
      </c>
      <c r="L110" t="s">
        <v>30</v>
      </c>
      <c r="M110" t="s">
        <v>31</v>
      </c>
      <c r="N110" t="s">
        <v>32</v>
      </c>
      <c r="O110">
        <v>5</v>
      </c>
      <c r="P110">
        <v>11</v>
      </c>
      <c r="Q110" t="s">
        <v>29</v>
      </c>
      <c r="R110" t="s">
        <v>34</v>
      </c>
      <c r="S110" s="3">
        <v>0</v>
      </c>
      <c r="T110" t="s">
        <v>43</v>
      </c>
      <c r="U110" t="s">
        <v>63</v>
      </c>
      <c r="V110" t="str">
        <f t="shared" si="4"/>
        <v>2026-02</v>
      </c>
      <c r="W110" t="str">
        <f t="shared" si="5"/>
        <v>8-14 days</v>
      </c>
      <c r="X110" t="str">
        <f t="shared" si="6"/>
        <v>No Refund</v>
      </c>
      <c r="Y110" t="str">
        <f t="shared" si="7"/>
        <v>High</v>
      </c>
    </row>
    <row r="111" spans="1:25" ht="27.6">
      <c r="A111" t="s">
        <v>444</v>
      </c>
      <c r="B111" t="s">
        <v>445</v>
      </c>
      <c r="C111" t="s">
        <v>446</v>
      </c>
      <c r="D111" s="2">
        <v>46066</v>
      </c>
      <c r="E111" t="s">
        <v>47</v>
      </c>
      <c r="F111" t="s">
        <v>172</v>
      </c>
      <c r="G111" s="3">
        <v>11.28</v>
      </c>
      <c r="H111" t="s">
        <v>89</v>
      </c>
      <c r="I111" t="s">
        <v>27</v>
      </c>
      <c r="J111" s="4" t="s">
        <v>173</v>
      </c>
      <c r="K111" t="s">
        <v>33</v>
      </c>
      <c r="L111" t="s">
        <v>30</v>
      </c>
      <c r="M111" t="s">
        <v>31</v>
      </c>
      <c r="N111" t="s">
        <v>84</v>
      </c>
      <c r="O111">
        <v>7</v>
      </c>
      <c r="P111">
        <v>18</v>
      </c>
      <c r="Q111" t="s">
        <v>29</v>
      </c>
      <c r="R111" t="s">
        <v>174</v>
      </c>
      <c r="S111" s="3">
        <v>0</v>
      </c>
      <c r="T111" t="s">
        <v>69</v>
      </c>
      <c r="U111" t="s">
        <v>63</v>
      </c>
      <c r="V111" t="str">
        <f t="shared" si="4"/>
        <v>2026-02</v>
      </c>
      <c r="W111" t="str">
        <f t="shared" si="5"/>
        <v>15+ days</v>
      </c>
      <c r="X111" t="str">
        <f t="shared" si="6"/>
        <v>No Refund</v>
      </c>
      <c r="Y111" t="str">
        <f t="shared" si="7"/>
        <v>Medium</v>
      </c>
    </row>
    <row r="112" spans="1:25" ht="27.6">
      <c r="A112" t="s">
        <v>447</v>
      </c>
      <c r="B112" t="s">
        <v>448</v>
      </c>
      <c r="C112" t="s">
        <v>449</v>
      </c>
      <c r="D112" s="2">
        <v>46170</v>
      </c>
      <c r="E112" t="s">
        <v>24</v>
      </c>
      <c r="F112" t="s">
        <v>118</v>
      </c>
      <c r="G112" s="3">
        <v>53.27</v>
      </c>
      <c r="H112" t="s">
        <v>26</v>
      </c>
      <c r="I112" t="s">
        <v>50</v>
      </c>
      <c r="J112" s="4" t="s">
        <v>119</v>
      </c>
      <c r="K112" t="s">
        <v>29</v>
      </c>
      <c r="L112" t="s">
        <v>120</v>
      </c>
      <c r="M112" t="s">
        <v>96</v>
      </c>
      <c r="N112" t="s">
        <v>32</v>
      </c>
      <c r="O112">
        <v>5</v>
      </c>
      <c r="P112">
        <v>1</v>
      </c>
      <c r="Q112" t="s">
        <v>33</v>
      </c>
      <c r="R112" t="s">
        <v>85</v>
      </c>
      <c r="S112" s="3">
        <v>53.27</v>
      </c>
      <c r="T112" t="s">
        <v>121</v>
      </c>
      <c r="U112" t="s">
        <v>36</v>
      </c>
      <c r="V112" t="str">
        <f t="shared" si="4"/>
        <v>2026-05</v>
      </c>
      <c r="W112" t="str">
        <f t="shared" si="5"/>
        <v>0-3 days</v>
      </c>
      <c r="X112" t="str">
        <f t="shared" si="6"/>
        <v>Refund Issued</v>
      </c>
      <c r="Y112" t="str">
        <f t="shared" si="7"/>
        <v>High</v>
      </c>
    </row>
    <row r="113" spans="1:25" ht="27.6">
      <c r="A113" t="s">
        <v>450</v>
      </c>
      <c r="B113" t="s">
        <v>451</v>
      </c>
      <c r="C113" t="s">
        <v>452</v>
      </c>
      <c r="D113" s="2">
        <v>46038</v>
      </c>
      <c r="E113" t="s">
        <v>24</v>
      </c>
      <c r="F113" t="s">
        <v>82</v>
      </c>
      <c r="G113" s="3">
        <v>37.39</v>
      </c>
      <c r="H113" t="s">
        <v>74</v>
      </c>
      <c r="I113" t="s">
        <v>27</v>
      </c>
      <c r="J113" s="4" t="s">
        <v>453</v>
      </c>
      <c r="K113" t="s">
        <v>29</v>
      </c>
      <c r="L113" t="s">
        <v>30</v>
      </c>
      <c r="M113" t="s">
        <v>31</v>
      </c>
      <c r="N113" t="s">
        <v>90</v>
      </c>
      <c r="O113">
        <v>7</v>
      </c>
      <c r="P113">
        <v>13</v>
      </c>
      <c r="Q113" t="s">
        <v>29</v>
      </c>
      <c r="R113" t="s">
        <v>85</v>
      </c>
      <c r="S113" s="3">
        <v>0</v>
      </c>
      <c r="T113" t="s">
        <v>62</v>
      </c>
      <c r="U113" t="s">
        <v>63</v>
      </c>
      <c r="V113" t="str">
        <f t="shared" si="4"/>
        <v>2026-01</v>
      </c>
      <c r="W113" t="str">
        <f t="shared" si="5"/>
        <v>8-14 days</v>
      </c>
      <c r="X113" t="str">
        <f t="shared" si="6"/>
        <v>No Refund</v>
      </c>
      <c r="Y113" t="str">
        <f t="shared" si="7"/>
        <v>High</v>
      </c>
    </row>
    <row r="114" spans="1:25" ht="27.6">
      <c r="A114" t="s">
        <v>454</v>
      </c>
      <c r="B114" t="s">
        <v>455</v>
      </c>
      <c r="C114" t="s">
        <v>456</v>
      </c>
      <c r="D114" s="2">
        <v>46117</v>
      </c>
      <c r="E114" t="s">
        <v>47</v>
      </c>
      <c r="F114" t="s">
        <v>25</v>
      </c>
      <c r="G114" s="3">
        <v>26.33</v>
      </c>
      <c r="H114" t="s">
        <v>108</v>
      </c>
      <c r="I114" t="s">
        <v>27</v>
      </c>
      <c r="J114" s="4" t="s">
        <v>457</v>
      </c>
      <c r="K114" t="s">
        <v>29</v>
      </c>
      <c r="L114" t="s">
        <v>30</v>
      </c>
      <c r="M114" t="s">
        <v>31</v>
      </c>
      <c r="N114" t="s">
        <v>32</v>
      </c>
      <c r="O114">
        <v>5</v>
      </c>
      <c r="P114">
        <v>11</v>
      </c>
      <c r="Q114" t="s">
        <v>29</v>
      </c>
      <c r="R114" t="s">
        <v>34</v>
      </c>
      <c r="S114" s="3">
        <v>0</v>
      </c>
      <c r="T114" t="s">
        <v>43</v>
      </c>
      <c r="U114" t="s">
        <v>63</v>
      </c>
      <c r="V114" t="str">
        <f t="shared" si="4"/>
        <v>2026-04</v>
      </c>
      <c r="W114" t="str">
        <f t="shared" si="5"/>
        <v>8-14 days</v>
      </c>
      <c r="X114" t="str">
        <f t="shared" si="6"/>
        <v>No Refund</v>
      </c>
      <c r="Y114" t="str">
        <f t="shared" si="7"/>
        <v>High</v>
      </c>
    </row>
    <row r="115" spans="1:25" ht="27.6">
      <c r="A115" t="s">
        <v>458</v>
      </c>
      <c r="B115" t="s">
        <v>459</v>
      </c>
      <c r="C115" t="s">
        <v>460</v>
      </c>
      <c r="D115" s="2">
        <v>46103</v>
      </c>
      <c r="E115" t="s">
        <v>24</v>
      </c>
      <c r="F115" t="s">
        <v>25</v>
      </c>
      <c r="G115" s="3">
        <v>121.48</v>
      </c>
      <c r="H115" t="s">
        <v>26</v>
      </c>
      <c r="I115" t="s">
        <v>67</v>
      </c>
      <c r="J115" s="4" t="s">
        <v>42</v>
      </c>
      <c r="K115" t="s">
        <v>29</v>
      </c>
      <c r="L115" t="s">
        <v>30</v>
      </c>
      <c r="M115" t="s">
        <v>31</v>
      </c>
      <c r="N115" t="s">
        <v>32</v>
      </c>
      <c r="O115">
        <v>5</v>
      </c>
      <c r="P115">
        <v>3</v>
      </c>
      <c r="Q115" t="s">
        <v>33</v>
      </c>
      <c r="R115" t="s">
        <v>34</v>
      </c>
      <c r="S115" s="3">
        <v>60.74</v>
      </c>
      <c r="T115" t="s">
        <v>110</v>
      </c>
      <c r="U115" t="s">
        <v>36</v>
      </c>
      <c r="V115" t="str">
        <f t="shared" si="4"/>
        <v>2026-03</v>
      </c>
      <c r="W115" t="str">
        <f t="shared" si="5"/>
        <v>0-3 days</v>
      </c>
      <c r="X115" t="str">
        <f t="shared" si="6"/>
        <v>Refund Issued</v>
      </c>
      <c r="Y115" t="str">
        <f t="shared" si="7"/>
        <v>High</v>
      </c>
    </row>
    <row r="116" spans="1:25" ht="27.6">
      <c r="A116" t="s">
        <v>461</v>
      </c>
      <c r="B116" t="s">
        <v>462</v>
      </c>
      <c r="C116" t="s">
        <v>463</v>
      </c>
      <c r="D116" s="2">
        <v>46160</v>
      </c>
      <c r="E116" t="s">
        <v>24</v>
      </c>
      <c r="F116" t="s">
        <v>25</v>
      </c>
      <c r="G116" s="3">
        <v>19.579999999999998</v>
      </c>
      <c r="H116" t="s">
        <v>41</v>
      </c>
      <c r="I116" t="s">
        <v>50</v>
      </c>
      <c r="J116" s="4" t="s">
        <v>42</v>
      </c>
      <c r="K116" t="s">
        <v>29</v>
      </c>
      <c r="L116" t="s">
        <v>30</v>
      </c>
      <c r="M116" t="s">
        <v>96</v>
      </c>
      <c r="N116" t="s">
        <v>32</v>
      </c>
      <c r="O116">
        <v>5</v>
      </c>
      <c r="P116">
        <v>9</v>
      </c>
      <c r="Q116" t="s">
        <v>29</v>
      </c>
      <c r="R116" t="s">
        <v>34</v>
      </c>
      <c r="S116" s="3">
        <v>19.579999999999998</v>
      </c>
      <c r="T116" t="s">
        <v>43</v>
      </c>
      <c r="U116" t="s">
        <v>63</v>
      </c>
      <c r="V116" t="str">
        <f t="shared" si="4"/>
        <v>2026-05</v>
      </c>
      <c r="W116" t="str">
        <f t="shared" si="5"/>
        <v>8-14 days</v>
      </c>
      <c r="X116" t="str">
        <f t="shared" si="6"/>
        <v>Refund Issued</v>
      </c>
      <c r="Y116" t="str">
        <f t="shared" si="7"/>
        <v>High</v>
      </c>
    </row>
    <row r="117" spans="1:25" ht="27.6">
      <c r="A117" t="s">
        <v>464</v>
      </c>
      <c r="B117" t="s">
        <v>465</v>
      </c>
      <c r="C117" t="s">
        <v>466</v>
      </c>
      <c r="D117" s="2">
        <v>46152</v>
      </c>
      <c r="E117" t="s">
        <v>47</v>
      </c>
      <c r="F117" t="s">
        <v>172</v>
      </c>
      <c r="G117" s="3">
        <v>142.46</v>
      </c>
      <c r="H117" t="s">
        <v>89</v>
      </c>
      <c r="I117" t="s">
        <v>27</v>
      </c>
      <c r="J117" s="4" t="s">
        <v>285</v>
      </c>
      <c r="K117" t="s">
        <v>33</v>
      </c>
      <c r="L117" t="s">
        <v>30</v>
      </c>
      <c r="M117" t="s">
        <v>31</v>
      </c>
      <c r="N117" t="s">
        <v>32</v>
      </c>
      <c r="O117">
        <v>7</v>
      </c>
      <c r="P117">
        <v>12</v>
      </c>
      <c r="Q117" t="s">
        <v>29</v>
      </c>
      <c r="R117" t="s">
        <v>174</v>
      </c>
      <c r="S117" s="3">
        <v>0</v>
      </c>
      <c r="T117" t="s">
        <v>286</v>
      </c>
      <c r="U117" t="s">
        <v>63</v>
      </c>
      <c r="V117" t="str">
        <f t="shared" si="4"/>
        <v>2026-05</v>
      </c>
      <c r="W117" t="str">
        <f t="shared" si="5"/>
        <v>8-14 days</v>
      </c>
      <c r="X117" t="str">
        <f t="shared" si="6"/>
        <v>No Refund</v>
      </c>
      <c r="Y117" t="str">
        <f t="shared" si="7"/>
        <v>Medium</v>
      </c>
    </row>
    <row r="118" spans="1:25" ht="27.6">
      <c r="A118" t="s">
        <v>467</v>
      </c>
      <c r="B118" t="s">
        <v>468</v>
      </c>
      <c r="C118" t="s">
        <v>469</v>
      </c>
      <c r="D118" s="2">
        <v>46153</v>
      </c>
      <c r="E118" t="s">
        <v>24</v>
      </c>
      <c r="F118" t="s">
        <v>25</v>
      </c>
      <c r="G118" s="3">
        <v>101.71</v>
      </c>
      <c r="H118" t="s">
        <v>74</v>
      </c>
      <c r="I118" t="s">
        <v>50</v>
      </c>
      <c r="J118" s="4" t="s">
        <v>42</v>
      </c>
      <c r="K118" t="s">
        <v>29</v>
      </c>
      <c r="L118" t="s">
        <v>30</v>
      </c>
      <c r="M118" t="s">
        <v>96</v>
      </c>
      <c r="N118" t="s">
        <v>32</v>
      </c>
      <c r="O118">
        <v>5</v>
      </c>
      <c r="P118">
        <v>8</v>
      </c>
      <c r="Q118" t="s">
        <v>29</v>
      </c>
      <c r="R118" t="s">
        <v>34</v>
      </c>
      <c r="S118" s="3">
        <v>101.71</v>
      </c>
      <c r="T118" t="s">
        <v>43</v>
      </c>
      <c r="U118" t="s">
        <v>63</v>
      </c>
      <c r="V118" t="str">
        <f t="shared" si="4"/>
        <v>2026-05</v>
      </c>
      <c r="W118" t="str">
        <f t="shared" si="5"/>
        <v>8-14 days</v>
      </c>
      <c r="X118" t="str">
        <f t="shared" si="6"/>
        <v>Refund Issued</v>
      </c>
      <c r="Y118" t="str">
        <f t="shared" si="7"/>
        <v>High</v>
      </c>
    </row>
    <row r="119" spans="1:25" ht="27.6">
      <c r="A119" t="s">
        <v>470</v>
      </c>
      <c r="B119" t="s">
        <v>471</v>
      </c>
      <c r="C119" t="s">
        <v>472</v>
      </c>
      <c r="D119" s="2">
        <v>46153</v>
      </c>
      <c r="E119" t="s">
        <v>47</v>
      </c>
      <c r="F119" t="s">
        <v>103</v>
      </c>
      <c r="G119" s="3">
        <v>8.2899999999999991</v>
      </c>
      <c r="H119" t="s">
        <v>41</v>
      </c>
      <c r="I119" t="s">
        <v>27</v>
      </c>
      <c r="J119" s="4" t="s">
        <v>104</v>
      </c>
      <c r="K119" t="s">
        <v>29</v>
      </c>
      <c r="L119" t="s">
        <v>30</v>
      </c>
      <c r="M119" t="s">
        <v>31</v>
      </c>
      <c r="N119" t="s">
        <v>32</v>
      </c>
      <c r="O119">
        <v>5</v>
      </c>
      <c r="P119">
        <v>4</v>
      </c>
      <c r="Q119" t="s">
        <v>33</v>
      </c>
      <c r="R119" t="s">
        <v>34</v>
      </c>
      <c r="S119" s="3">
        <v>0</v>
      </c>
      <c r="T119" t="s">
        <v>247</v>
      </c>
      <c r="U119" t="s">
        <v>53</v>
      </c>
      <c r="V119" t="str">
        <f t="shared" si="4"/>
        <v>2026-05</v>
      </c>
      <c r="W119" t="str">
        <f t="shared" si="5"/>
        <v>4-7 days</v>
      </c>
      <c r="X119" t="str">
        <f t="shared" si="6"/>
        <v>No Refund</v>
      </c>
      <c r="Y119" t="str">
        <f t="shared" si="7"/>
        <v>Medium</v>
      </c>
    </row>
    <row r="120" spans="1:25" ht="27.6">
      <c r="A120" t="s">
        <v>473</v>
      </c>
      <c r="B120" t="s">
        <v>474</v>
      </c>
      <c r="C120" t="s">
        <v>475</v>
      </c>
      <c r="D120" s="2">
        <v>46171</v>
      </c>
      <c r="E120" t="s">
        <v>47</v>
      </c>
      <c r="F120" t="s">
        <v>103</v>
      </c>
      <c r="G120" s="3">
        <v>46.84</v>
      </c>
      <c r="H120" t="s">
        <v>58</v>
      </c>
      <c r="I120" t="s">
        <v>50</v>
      </c>
      <c r="J120" s="4" t="s">
        <v>134</v>
      </c>
      <c r="K120" t="s">
        <v>33</v>
      </c>
      <c r="L120" t="s">
        <v>30</v>
      </c>
      <c r="M120" t="s">
        <v>31</v>
      </c>
      <c r="N120" t="s">
        <v>32</v>
      </c>
      <c r="O120">
        <v>5</v>
      </c>
      <c r="P120">
        <v>11</v>
      </c>
      <c r="Q120" t="s">
        <v>29</v>
      </c>
      <c r="R120" t="s">
        <v>34</v>
      </c>
      <c r="S120" s="3">
        <v>0</v>
      </c>
      <c r="T120" t="s">
        <v>247</v>
      </c>
      <c r="U120" t="s">
        <v>63</v>
      </c>
      <c r="V120" t="str">
        <f t="shared" si="4"/>
        <v>2026-05</v>
      </c>
      <c r="W120" t="str">
        <f t="shared" si="5"/>
        <v>8-14 days</v>
      </c>
      <c r="X120" t="str">
        <f t="shared" si="6"/>
        <v>No Refund</v>
      </c>
      <c r="Y120" t="str">
        <f t="shared" si="7"/>
        <v>Medium</v>
      </c>
    </row>
    <row r="121" spans="1:25" ht="27.6">
      <c r="A121" t="s">
        <v>476</v>
      </c>
      <c r="B121" t="s">
        <v>477</v>
      </c>
      <c r="C121" t="s">
        <v>478</v>
      </c>
      <c r="D121" s="2">
        <v>46135</v>
      </c>
      <c r="E121" t="s">
        <v>24</v>
      </c>
      <c r="F121" t="s">
        <v>25</v>
      </c>
      <c r="G121" s="3">
        <v>64.790000000000006</v>
      </c>
      <c r="H121" t="s">
        <v>49</v>
      </c>
      <c r="I121" t="s">
        <v>50</v>
      </c>
      <c r="J121" s="4" t="s">
        <v>479</v>
      </c>
      <c r="K121" t="s">
        <v>29</v>
      </c>
      <c r="L121" t="s">
        <v>30</v>
      </c>
      <c r="M121" t="s">
        <v>96</v>
      </c>
      <c r="N121" t="s">
        <v>32</v>
      </c>
      <c r="O121">
        <v>5</v>
      </c>
      <c r="P121">
        <v>9</v>
      </c>
      <c r="Q121" t="s">
        <v>29</v>
      </c>
      <c r="R121" t="s">
        <v>34</v>
      </c>
      <c r="S121" s="3">
        <v>64.790000000000006</v>
      </c>
      <c r="T121" t="s">
        <v>35</v>
      </c>
      <c r="U121" t="s">
        <v>63</v>
      </c>
      <c r="V121" t="str">
        <f t="shared" si="4"/>
        <v>2026-04</v>
      </c>
      <c r="W121" t="str">
        <f t="shared" si="5"/>
        <v>8-14 days</v>
      </c>
      <c r="X121" t="str">
        <f t="shared" si="6"/>
        <v>Refund Issued</v>
      </c>
      <c r="Y121" t="str">
        <f t="shared" si="7"/>
        <v>High</v>
      </c>
    </row>
    <row r="122" spans="1:25" ht="27.6">
      <c r="A122" t="s">
        <v>480</v>
      </c>
      <c r="B122" t="s">
        <v>481</v>
      </c>
      <c r="C122" t="s">
        <v>482</v>
      </c>
      <c r="D122" s="2">
        <v>46166</v>
      </c>
      <c r="E122" t="s">
        <v>24</v>
      </c>
      <c r="F122" t="s">
        <v>172</v>
      </c>
      <c r="G122" s="3">
        <v>42.7</v>
      </c>
      <c r="H122" t="s">
        <v>74</v>
      </c>
      <c r="I122" t="s">
        <v>27</v>
      </c>
      <c r="J122" s="4" t="s">
        <v>285</v>
      </c>
      <c r="K122" t="s">
        <v>29</v>
      </c>
      <c r="L122" t="s">
        <v>30</v>
      </c>
      <c r="M122" t="s">
        <v>31</v>
      </c>
      <c r="N122" t="s">
        <v>32</v>
      </c>
      <c r="O122">
        <v>7</v>
      </c>
      <c r="P122">
        <v>4</v>
      </c>
      <c r="Q122" t="s">
        <v>33</v>
      </c>
      <c r="R122" t="s">
        <v>174</v>
      </c>
      <c r="S122" s="3">
        <v>0</v>
      </c>
      <c r="T122" t="s">
        <v>110</v>
      </c>
      <c r="U122" t="s">
        <v>36</v>
      </c>
      <c r="V122" t="str">
        <f t="shared" si="4"/>
        <v>2026-05</v>
      </c>
      <c r="W122" t="str">
        <f t="shared" si="5"/>
        <v>4-7 days</v>
      </c>
      <c r="X122" t="str">
        <f t="shared" si="6"/>
        <v>No Refund</v>
      </c>
      <c r="Y122" t="str">
        <f t="shared" si="7"/>
        <v>Medium</v>
      </c>
    </row>
    <row r="123" spans="1:25" ht="27.6">
      <c r="A123" t="s">
        <v>483</v>
      </c>
      <c r="B123" t="s">
        <v>484</v>
      </c>
      <c r="C123" t="s">
        <v>485</v>
      </c>
      <c r="D123" s="2">
        <v>46094</v>
      </c>
      <c r="E123" t="s">
        <v>47</v>
      </c>
      <c r="F123" t="s">
        <v>118</v>
      </c>
      <c r="G123" s="3">
        <v>107.96</v>
      </c>
      <c r="H123" t="s">
        <v>41</v>
      </c>
      <c r="I123" t="s">
        <v>50</v>
      </c>
      <c r="J123" s="4" t="s">
        <v>119</v>
      </c>
      <c r="K123" t="s">
        <v>29</v>
      </c>
      <c r="L123" t="s">
        <v>120</v>
      </c>
      <c r="M123" t="s">
        <v>96</v>
      </c>
      <c r="N123" t="s">
        <v>32</v>
      </c>
      <c r="O123">
        <v>5</v>
      </c>
      <c r="P123">
        <v>7</v>
      </c>
      <c r="Q123" t="s">
        <v>29</v>
      </c>
      <c r="R123" t="s">
        <v>85</v>
      </c>
      <c r="S123" s="3">
        <v>107.96</v>
      </c>
      <c r="T123" t="s">
        <v>121</v>
      </c>
      <c r="U123" t="s">
        <v>63</v>
      </c>
      <c r="V123" t="str">
        <f t="shared" si="4"/>
        <v>2026-03</v>
      </c>
      <c r="W123" t="str">
        <f t="shared" si="5"/>
        <v>4-7 days</v>
      </c>
      <c r="X123" t="str">
        <f t="shared" si="6"/>
        <v>Refund Issued</v>
      </c>
      <c r="Y123" t="str">
        <f t="shared" si="7"/>
        <v>High</v>
      </c>
    </row>
    <row r="124" spans="1:25" ht="27.6">
      <c r="A124" t="s">
        <v>486</v>
      </c>
      <c r="B124" t="s">
        <v>487</v>
      </c>
      <c r="C124" t="s">
        <v>488</v>
      </c>
      <c r="D124" s="2">
        <v>46093</v>
      </c>
      <c r="E124" t="s">
        <v>24</v>
      </c>
      <c r="F124" t="s">
        <v>172</v>
      </c>
      <c r="G124" s="3">
        <v>74.010000000000005</v>
      </c>
      <c r="H124" t="s">
        <v>108</v>
      </c>
      <c r="I124" t="s">
        <v>67</v>
      </c>
      <c r="J124" s="4" t="s">
        <v>285</v>
      </c>
      <c r="K124" t="s">
        <v>33</v>
      </c>
      <c r="L124" t="s">
        <v>30</v>
      </c>
      <c r="M124" t="s">
        <v>31</v>
      </c>
      <c r="N124" t="s">
        <v>32</v>
      </c>
      <c r="O124">
        <v>7</v>
      </c>
      <c r="P124">
        <v>10</v>
      </c>
      <c r="Q124" t="s">
        <v>29</v>
      </c>
      <c r="R124" t="s">
        <v>174</v>
      </c>
      <c r="S124" s="3">
        <v>55.51</v>
      </c>
      <c r="T124" t="s">
        <v>69</v>
      </c>
      <c r="U124" t="s">
        <v>63</v>
      </c>
      <c r="V124" t="str">
        <f t="shared" si="4"/>
        <v>2026-03</v>
      </c>
      <c r="W124" t="str">
        <f t="shared" si="5"/>
        <v>8-14 days</v>
      </c>
      <c r="X124" t="str">
        <f t="shared" si="6"/>
        <v>Refund Issued</v>
      </c>
      <c r="Y124" t="str">
        <f t="shared" si="7"/>
        <v>Medium</v>
      </c>
    </row>
    <row r="125" spans="1:25" ht="27.6">
      <c r="A125" t="s">
        <v>489</v>
      </c>
      <c r="B125" t="s">
        <v>490</v>
      </c>
      <c r="C125" t="s">
        <v>491</v>
      </c>
      <c r="D125" s="2">
        <v>46074</v>
      </c>
      <c r="E125" t="s">
        <v>40</v>
      </c>
      <c r="F125" t="s">
        <v>118</v>
      </c>
      <c r="G125" s="3">
        <v>45.79</v>
      </c>
      <c r="H125" t="s">
        <v>26</v>
      </c>
      <c r="I125" t="s">
        <v>50</v>
      </c>
      <c r="J125" s="4" t="s">
        <v>492</v>
      </c>
      <c r="K125" t="s">
        <v>29</v>
      </c>
      <c r="L125" t="s">
        <v>120</v>
      </c>
      <c r="M125" t="s">
        <v>96</v>
      </c>
      <c r="N125" t="s">
        <v>32</v>
      </c>
      <c r="O125">
        <v>5</v>
      </c>
      <c r="P125">
        <v>5</v>
      </c>
      <c r="Q125" t="s">
        <v>33</v>
      </c>
      <c r="R125" t="s">
        <v>85</v>
      </c>
      <c r="S125" s="3">
        <v>45.79</v>
      </c>
      <c r="T125" t="s">
        <v>121</v>
      </c>
      <c r="U125" t="s">
        <v>53</v>
      </c>
      <c r="V125" t="str">
        <f t="shared" si="4"/>
        <v>2026-02</v>
      </c>
      <c r="W125" t="str">
        <f t="shared" si="5"/>
        <v>4-7 days</v>
      </c>
      <c r="X125" t="str">
        <f t="shared" si="6"/>
        <v>Refund Issued</v>
      </c>
      <c r="Y125" t="str">
        <f t="shared" si="7"/>
        <v>High</v>
      </c>
    </row>
    <row r="126" spans="1:25" ht="27.6">
      <c r="A126" t="s">
        <v>493</v>
      </c>
      <c r="B126" t="s">
        <v>494</v>
      </c>
      <c r="C126" t="s">
        <v>495</v>
      </c>
      <c r="D126" s="2">
        <v>46128</v>
      </c>
      <c r="E126" t="s">
        <v>24</v>
      </c>
      <c r="F126" t="s">
        <v>82</v>
      </c>
      <c r="G126" s="3">
        <v>54.94</v>
      </c>
      <c r="H126" t="s">
        <v>89</v>
      </c>
      <c r="I126" t="s">
        <v>67</v>
      </c>
      <c r="J126" s="4" t="s">
        <v>496</v>
      </c>
      <c r="K126" t="s">
        <v>29</v>
      </c>
      <c r="L126" t="s">
        <v>30</v>
      </c>
      <c r="M126" t="s">
        <v>31</v>
      </c>
      <c r="N126" t="s">
        <v>32</v>
      </c>
      <c r="O126">
        <v>7</v>
      </c>
      <c r="P126">
        <v>11</v>
      </c>
      <c r="Q126" t="s">
        <v>29</v>
      </c>
      <c r="R126" t="s">
        <v>85</v>
      </c>
      <c r="S126" s="3">
        <v>41.2</v>
      </c>
      <c r="T126" t="s">
        <v>62</v>
      </c>
      <c r="U126" t="s">
        <v>63</v>
      </c>
      <c r="V126" t="str">
        <f t="shared" si="4"/>
        <v>2026-04</v>
      </c>
      <c r="W126" t="str">
        <f t="shared" si="5"/>
        <v>8-14 days</v>
      </c>
      <c r="X126" t="str">
        <f t="shared" si="6"/>
        <v>Refund Issued</v>
      </c>
      <c r="Y126" t="str">
        <f t="shared" si="7"/>
        <v>High</v>
      </c>
    </row>
    <row r="127" spans="1:25" ht="27.6">
      <c r="A127" t="s">
        <v>497</v>
      </c>
      <c r="B127" t="s">
        <v>498</v>
      </c>
      <c r="C127" t="s">
        <v>499</v>
      </c>
      <c r="D127" s="2">
        <v>46038</v>
      </c>
      <c r="E127" t="s">
        <v>94</v>
      </c>
      <c r="F127" t="s">
        <v>25</v>
      </c>
      <c r="G127" s="3">
        <v>51.04</v>
      </c>
      <c r="H127" t="s">
        <v>58</v>
      </c>
      <c r="I127" t="s">
        <v>67</v>
      </c>
      <c r="J127" s="4" t="s">
        <v>42</v>
      </c>
      <c r="K127" t="s">
        <v>29</v>
      </c>
      <c r="L127" t="s">
        <v>30</v>
      </c>
      <c r="M127" t="s">
        <v>31</v>
      </c>
      <c r="N127" t="s">
        <v>32</v>
      </c>
      <c r="O127">
        <v>5</v>
      </c>
      <c r="P127">
        <v>3</v>
      </c>
      <c r="Q127" t="s">
        <v>33</v>
      </c>
      <c r="R127" t="s">
        <v>34</v>
      </c>
      <c r="S127" s="3">
        <v>0</v>
      </c>
      <c r="T127" t="s">
        <v>110</v>
      </c>
      <c r="U127" t="s">
        <v>53</v>
      </c>
      <c r="V127" t="str">
        <f t="shared" si="4"/>
        <v>2026-01</v>
      </c>
      <c r="W127" t="str">
        <f t="shared" si="5"/>
        <v>0-3 days</v>
      </c>
      <c r="X127" t="str">
        <f t="shared" si="6"/>
        <v>No Refund</v>
      </c>
      <c r="Y127" t="str">
        <f t="shared" si="7"/>
        <v>High</v>
      </c>
    </row>
    <row r="128" spans="1:25" ht="27.6">
      <c r="A128" t="s">
        <v>500</v>
      </c>
      <c r="B128" t="s">
        <v>501</v>
      </c>
      <c r="C128" t="s">
        <v>502</v>
      </c>
      <c r="D128" s="2">
        <v>46097</v>
      </c>
      <c r="E128" t="s">
        <v>94</v>
      </c>
      <c r="F128" t="s">
        <v>25</v>
      </c>
      <c r="G128" s="3">
        <v>45.2</v>
      </c>
      <c r="H128" t="s">
        <v>41</v>
      </c>
      <c r="I128" t="s">
        <v>27</v>
      </c>
      <c r="J128" s="4" t="s">
        <v>503</v>
      </c>
      <c r="K128" t="s">
        <v>33</v>
      </c>
      <c r="L128" t="s">
        <v>30</v>
      </c>
      <c r="M128" t="s">
        <v>31</v>
      </c>
      <c r="N128" t="s">
        <v>32</v>
      </c>
      <c r="O128">
        <v>5</v>
      </c>
      <c r="P128">
        <v>2</v>
      </c>
      <c r="Q128" t="s">
        <v>33</v>
      </c>
      <c r="R128" t="s">
        <v>34</v>
      </c>
      <c r="S128" s="3">
        <v>33.9</v>
      </c>
      <c r="T128" t="s">
        <v>35</v>
      </c>
      <c r="U128" t="s">
        <v>53</v>
      </c>
      <c r="V128" t="str">
        <f t="shared" si="4"/>
        <v>2026-03</v>
      </c>
      <c r="W128" t="str">
        <f t="shared" si="5"/>
        <v>0-3 days</v>
      </c>
      <c r="X128" t="str">
        <f t="shared" si="6"/>
        <v>Refund Issued</v>
      </c>
      <c r="Y128" t="str">
        <f t="shared" si="7"/>
        <v>High</v>
      </c>
    </row>
    <row r="129" spans="1:25" ht="27.6">
      <c r="A129" t="s">
        <v>504</v>
      </c>
      <c r="B129" t="s">
        <v>505</v>
      </c>
      <c r="C129" t="s">
        <v>506</v>
      </c>
      <c r="D129" s="2">
        <v>46140</v>
      </c>
      <c r="E129" t="s">
        <v>40</v>
      </c>
      <c r="F129" t="s">
        <v>103</v>
      </c>
      <c r="G129" s="3">
        <v>13.89</v>
      </c>
      <c r="H129" t="s">
        <v>41</v>
      </c>
      <c r="I129" t="s">
        <v>50</v>
      </c>
      <c r="J129" s="4" t="s">
        <v>104</v>
      </c>
      <c r="K129" t="s">
        <v>33</v>
      </c>
      <c r="L129" t="s">
        <v>30</v>
      </c>
      <c r="M129" t="s">
        <v>31</v>
      </c>
      <c r="N129" t="s">
        <v>32</v>
      </c>
      <c r="O129">
        <v>5</v>
      </c>
      <c r="P129">
        <v>8</v>
      </c>
      <c r="Q129" t="s">
        <v>29</v>
      </c>
      <c r="R129" t="s">
        <v>34</v>
      </c>
      <c r="S129" s="3">
        <v>0</v>
      </c>
      <c r="T129" t="s">
        <v>35</v>
      </c>
      <c r="U129" t="s">
        <v>63</v>
      </c>
      <c r="V129" t="str">
        <f t="shared" si="4"/>
        <v>2026-04</v>
      </c>
      <c r="W129" t="str">
        <f t="shared" si="5"/>
        <v>8-14 days</v>
      </c>
      <c r="X129" t="str">
        <f t="shared" si="6"/>
        <v>No Refund</v>
      </c>
      <c r="Y129" t="str">
        <f t="shared" si="7"/>
        <v>Medium</v>
      </c>
    </row>
    <row r="130" spans="1:25" ht="27.6">
      <c r="A130" t="s">
        <v>507</v>
      </c>
      <c r="B130" t="s">
        <v>508</v>
      </c>
      <c r="C130" t="s">
        <v>509</v>
      </c>
      <c r="D130" s="2">
        <v>46106</v>
      </c>
      <c r="E130" t="s">
        <v>24</v>
      </c>
      <c r="F130" t="s">
        <v>172</v>
      </c>
      <c r="G130" s="3">
        <v>23.69</v>
      </c>
      <c r="H130" t="s">
        <v>41</v>
      </c>
      <c r="I130" t="s">
        <v>67</v>
      </c>
      <c r="J130" s="4" t="s">
        <v>173</v>
      </c>
      <c r="K130" t="s">
        <v>29</v>
      </c>
      <c r="L130" t="s">
        <v>30</v>
      </c>
      <c r="M130" t="s">
        <v>31</v>
      </c>
      <c r="N130" t="s">
        <v>90</v>
      </c>
      <c r="O130">
        <v>7</v>
      </c>
      <c r="P130">
        <v>8</v>
      </c>
      <c r="Q130" t="s">
        <v>29</v>
      </c>
      <c r="R130" t="s">
        <v>174</v>
      </c>
      <c r="S130" s="3">
        <v>0</v>
      </c>
      <c r="T130" t="s">
        <v>286</v>
      </c>
      <c r="U130" t="s">
        <v>63</v>
      </c>
      <c r="V130" t="str">
        <f t="shared" ref="V130:V193" si="8">TEXT(D130,"yyyy-mm")</f>
        <v>2026-03</v>
      </c>
      <c r="W130" t="str">
        <f t="shared" ref="W130:W193" si="9">IF(P130&lt;=3,"0-3 days",IF(P130&lt;=7,"4-7 days",IF(P130&lt;=14,"8-14 days","15+ days")))</f>
        <v>8-14 days</v>
      </c>
      <c r="X130" t="str">
        <f t="shared" ref="X130:X193" si="10">IF(S130&gt;0,"Refund Issued","No Refund")</f>
        <v>No Refund</v>
      </c>
      <c r="Y130" t="str">
        <f t="shared" ref="Y130:Y193" si="11">IF(OR(F130="Failed Payment",F130="Duplicate Debit",F130="Refund Delay"),"High",IF(OR(F130="Merchant Not Credited",F130="Wrong Amount Debited"),"Medium","Low"))</f>
        <v>Medium</v>
      </c>
    </row>
    <row r="131" spans="1:25" ht="27.6">
      <c r="A131" t="s">
        <v>510</v>
      </c>
      <c r="B131" t="s">
        <v>511</v>
      </c>
      <c r="C131" t="s">
        <v>512</v>
      </c>
      <c r="D131" s="2">
        <v>46115</v>
      </c>
      <c r="E131" t="s">
        <v>40</v>
      </c>
      <c r="F131" t="s">
        <v>25</v>
      </c>
      <c r="G131" s="3">
        <v>18.12</v>
      </c>
      <c r="H131" t="s">
        <v>108</v>
      </c>
      <c r="I131" t="s">
        <v>50</v>
      </c>
      <c r="J131" s="4" t="s">
        <v>42</v>
      </c>
      <c r="K131" t="s">
        <v>33</v>
      </c>
      <c r="L131" t="s">
        <v>30</v>
      </c>
      <c r="M131" t="s">
        <v>31</v>
      </c>
      <c r="N131" t="s">
        <v>32</v>
      </c>
      <c r="O131">
        <v>5</v>
      </c>
      <c r="P131">
        <v>14</v>
      </c>
      <c r="Q131" t="s">
        <v>29</v>
      </c>
      <c r="R131" t="s">
        <v>34</v>
      </c>
      <c r="S131" s="3">
        <v>0</v>
      </c>
      <c r="T131" t="s">
        <v>35</v>
      </c>
      <c r="U131" t="s">
        <v>63</v>
      </c>
      <c r="V131" t="str">
        <f t="shared" si="8"/>
        <v>2026-04</v>
      </c>
      <c r="W131" t="str">
        <f t="shared" si="9"/>
        <v>8-14 days</v>
      </c>
      <c r="X131" t="str">
        <f t="shared" si="10"/>
        <v>No Refund</v>
      </c>
      <c r="Y131" t="str">
        <f t="shared" si="11"/>
        <v>High</v>
      </c>
    </row>
    <row r="132" spans="1:25" ht="27.6">
      <c r="A132" t="s">
        <v>513</v>
      </c>
      <c r="B132" t="s">
        <v>514</v>
      </c>
      <c r="C132" t="s">
        <v>515</v>
      </c>
      <c r="D132" s="2">
        <v>46079</v>
      </c>
      <c r="E132" t="s">
        <v>24</v>
      </c>
      <c r="F132" t="s">
        <v>25</v>
      </c>
      <c r="G132" s="3">
        <v>52.67</v>
      </c>
      <c r="H132" t="s">
        <v>89</v>
      </c>
      <c r="I132" t="s">
        <v>67</v>
      </c>
      <c r="J132" s="4" t="s">
        <v>516</v>
      </c>
      <c r="K132" t="s">
        <v>33</v>
      </c>
      <c r="L132" t="s">
        <v>30</v>
      </c>
      <c r="M132" t="s">
        <v>31</v>
      </c>
      <c r="N132" t="s">
        <v>32</v>
      </c>
      <c r="O132">
        <v>5</v>
      </c>
      <c r="P132">
        <v>11</v>
      </c>
      <c r="Q132" t="s">
        <v>29</v>
      </c>
      <c r="R132" t="s">
        <v>34</v>
      </c>
      <c r="S132" s="3">
        <v>0</v>
      </c>
      <c r="T132" t="s">
        <v>35</v>
      </c>
      <c r="U132" t="s">
        <v>63</v>
      </c>
      <c r="V132" t="str">
        <f t="shared" si="8"/>
        <v>2026-02</v>
      </c>
      <c r="W132" t="str">
        <f t="shared" si="9"/>
        <v>8-14 days</v>
      </c>
      <c r="X132" t="str">
        <f t="shared" si="10"/>
        <v>No Refund</v>
      </c>
      <c r="Y132" t="str">
        <f t="shared" si="11"/>
        <v>High</v>
      </c>
    </row>
    <row r="133" spans="1:25" ht="27.6">
      <c r="A133" t="s">
        <v>517</v>
      </c>
      <c r="B133" t="s">
        <v>518</v>
      </c>
      <c r="C133" t="s">
        <v>519</v>
      </c>
      <c r="D133" s="2">
        <v>46158</v>
      </c>
      <c r="E133" t="s">
        <v>40</v>
      </c>
      <c r="F133" t="s">
        <v>25</v>
      </c>
      <c r="G133" s="3">
        <v>44.69</v>
      </c>
      <c r="H133" t="s">
        <v>89</v>
      </c>
      <c r="I133" t="s">
        <v>67</v>
      </c>
      <c r="J133" s="4" t="s">
        <v>520</v>
      </c>
      <c r="K133" t="s">
        <v>29</v>
      </c>
      <c r="L133" t="s">
        <v>30</v>
      </c>
      <c r="M133" t="s">
        <v>31</v>
      </c>
      <c r="N133" t="s">
        <v>32</v>
      </c>
      <c r="O133">
        <v>5</v>
      </c>
      <c r="P133">
        <v>1</v>
      </c>
      <c r="Q133" t="s">
        <v>33</v>
      </c>
      <c r="R133" t="s">
        <v>34</v>
      </c>
      <c r="S133" s="3">
        <v>44.69</v>
      </c>
      <c r="T133" t="s">
        <v>35</v>
      </c>
      <c r="U133" t="s">
        <v>36</v>
      </c>
      <c r="V133" t="str">
        <f t="shared" si="8"/>
        <v>2026-05</v>
      </c>
      <c r="W133" t="str">
        <f t="shared" si="9"/>
        <v>0-3 days</v>
      </c>
      <c r="X133" t="str">
        <f t="shared" si="10"/>
        <v>Refund Issued</v>
      </c>
      <c r="Y133" t="str">
        <f t="shared" si="11"/>
        <v>High</v>
      </c>
    </row>
    <row r="134" spans="1:25" ht="27.6">
      <c r="A134" t="s">
        <v>521</v>
      </c>
      <c r="B134" t="s">
        <v>522</v>
      </c>
      <c r="C134" t="s">
        <v>523</v>
      </c>
      <c r="D134" s="2">
        <v>46172</v>
      </c>
      <c r="E134" t="s">
        <v>47</v>
      </c>
      <c r="F134" t="s">
        <v>73</v>
      </c>
      <c r="G134" s="3">
        <v>37.18</v>
      </c>
      <c r="H134" t="s">
        <v>74</v>
      </c>
      <c r="I134" t="s">
        <v>50</v>
      </c>
      <c r="J134" s="4" t="s">
        <v>75</v>
      </c>
      <c r="K134" t="s">
        <v>29</v>
      </c>
      <c r="L134" t="s">
        <v>60</v>
      </c>
      <c r="M134" t="s">
        <v>31</v>
      </c>
      <c r="N134" t="s">
        <v>32</v>
      </c>
      <c r="O134">
        <v>10</v>
      </c>
      <c r="P134">
        <v>6</v>
      </c>
      <c r="Q134" t="s">
        <v>33</v>
      </c>
      <c r="R134" t="s">
        <v>61</v>
      </c>
      <c r="S134" s="3">
        <v>27.88</v>
      </c>
      <c r="T134" t="s">
        <v>156</v>
      </c>
      <c r="U134" t="s">
        <v>63</v>
      </c>
      <c r="V134" t="str">
        <f t="shared" si="8"/>
        <v>2026-05</v>
      </c>
      <c r="W134" t="str">
        <f t="shared" si="9"/>
        <v>4-7 days</v>
      </c>
      <c r="X134" t="str">
        <f t="shared" si="10"/>
        <v>Refund Issued</v>
      </c>
      <c r="Y134" t="str">
        <f t="shared" si="11"/>
        <v>Low</v>
      </c>
    </row>
    <row r="135" spans="1:25" ht="27.6">
      <c r="A135" t="s">
        <v>524</v>
      </c>
      <c r="B135" t="s">
        <v>525</v>
      </c>
      <c r="C135" t="s">
        <v>526</v>
      </c>
      <c r="D135" s="2">
        <v>46041</v>
      </c>
      <c r="E135" t="s">
        <v>24</v>
      </c>
      <c r="F135" t="s">
        <v>82</v>
      </c>
      <c r="G135" s="3">
        <v>22.76</v>
      </c>
      <c r="H135" t="s">
        <v>49</v>
      </c>
      <c r="I135" t="s">
        <v>50</v>
      </c>
      <c r="J135" s="4" t="s">
        <v>527</v>
      </c>
      <c r="K135" t="s">
        <v>33</v>
      </c>
      <c r="L135" t="s">
        <v>30</v>
      </c>
      <c r="M135" t="s">
        <v>31</v>
      </c>
      <c r="N135" t="s">
        <v>32</v>
      </c>
      <c r="O135">
        <v>7</v>
      </c>
      <c r="P135">
        <v>7</v>
      </c>
      <c r="Q135" t="s">
        <v>33</v>
      </c>
      <c r="R135" t="s">
        <v>85</v>
      </c>
      <c r="S135" s="3">
        <v>0</v>
      </c>
      <c r="T135" t="s">
        <v>69</v>
      </c>
      <c r="U135" t="s">
        <v>36</v>
      </c>
      <c r="V135" t="str">
        <f t="shared" si="8"/>
        <v>2026-01</v>
      </c>
      <c r="W135" t="str">
        <f t="shared" si="9"/>
        <v>4-7 days</v>
      </c>
      <c r="X135" t="str">
        <f t="shared" si="10"/>
        <v>No Refund</v>
      </c>
      <c r="Y135" t="str">
        <f t="shared" si="11"/>
        <v>High</v>
      </c>
    </row>
    <row r="136" spans="1:25" ht="27.6">
      <c r="A136" t="s">
        <v>528</v>
      </c>
      <c r="B136" t="s">
        <v>529</v>
      </c>
      <c r="C136" t="s">
        <v>530</v>
      </c>
      <c r="D136" s="2">
        <v>46161</v>
      </c>
      <c r="E136" t="s">
        <v>24</v>
      </c>
      <c r="F136" t="s">
        <v>73</v>
      </c>
      <c r="G136" s="3">
        <v>33.83</v>
      </c>
      <c r="H136" t="s">
        <v>74</v>
      </c>
      <c r="I136" t="s">
        <v>67</v>
      </c>
      <c r="J136" s="4" t="s">
        <v>75</v>
      </c>
      <c r="K136" t="s">
        <v>33</v>
      </c>
      <c r="L136" t="s">
        <v>60</v>
      </c>
      <c r="M136" t="s">
        <v>31</v>
      </c>
      <c r="N136" t="s">
        <v>32</v>
      </c>
      <c r="O136">
        <v>10</v>
      </c>
      <c r="P136">
        <v>9</v>
      </c>
      <c r="Q136" t="s">
        <v>33</v>
      </c>
      <c r="R136" t="s">
        <v>61</v>
      </c>
      <c r="S136" s="3">
        <v>16.91</v>
      </c>
      <c r="T136" t="s">
        <v>52</v>
      </c>
      <c r="U136" t="s">
        <v>63</v>
      </c>
      <c r="V136" t="str">
        <f t="shared" si="8"/>
        <v>2026-05</v>
      </c>
      <c r="W136" t="str">
        <f t="shared" si="9"/>
        <v>8-14 days</v>
      </c>
      <c r="X136" t="str">
        <f t="shared" si="10"/>
        <v>Refund Issued</v>
      </c>
      <c r="Y136" t="str">
        <f t="shared" si="11"/>
        <v>Low</v>
      </c>
    </row>
    <row r="137" spans="1:25" ht="27.6">
      <c r="A137" t="s">
        <v>531</v>
      </c>
      <c r="B137" t="s">
        <v>532</v>
      </c>
      <c r="C137" t="s">
        <v>533</v>
      </c>
      <c r="D137" s="2">
        <v>46062</v>
      </c>
      <c r="E137" t="s">
        <v>24</v>
      </c>
      <c r="F137" t="s">
        <v>48</v>
      </c>
      <c r="G137" s="3">
        <v>58.55</v>
      </c>
      <c r="H137" t="s">
        <v>49</v>
      </c>
      <c r="I137" t="s">
        <v>50</v>
      </c>
      <c r="J137" s="4" t="s">
        <v>68</v>
      </c>
      <c r="K137" t="s">
        <v>29</v>
      </c>
      <c r="L137" t="s">
        <v>30</v>
      </c>
      <c r="M137" t="s">
        <v>31</v>
      </c>
      <c r="N137" t="s">
        <v>32</v>
      </c>
      <c r="O137">
        <v>10</v>
      </c>
      <c r="P137">
        <v>7</v>
      </c>
      <c r="Q137" t="s">
        <v>33</v>
      </c>
      <c r="R137" t="s">
        <v>34</v>
      </c>
      <c r="S137" s="3">
        <v>58.55</v>
      </c>
      <c r="T137" t="s">
        <v>69</v>
      </c>
      <c r="U137" t="s">
        <v>53</v>
      </c>
      <c r="V137" t="str">
        <f t="shared" si="8"/>
        <v>2026-02</v>
      </c>
      <c r="W137" t="str">
        <f t="shared" si="9"/>
        <v>4-7 days</v>
      </c>
      <c r="X137" t="str">
        <f t="shared" si="10"/>
        <v>Refund Issued</v>
      </c>
      <c r="Y137" t="str">
        <f t="shared" si="11"/>
        <v>Low</v>
      </c>
    </row>
    <row r="138" spans="1:25" ht="27.6">
      <c r="A138" t="s">
        <v>534</v>
      </c>
      <c r="B138" t="s">
        <v>535</v>
      </c>
      <c r="C138" t="s">
        <v>536</v>
      </c>
      <c r="D138" s="2">
        <v>46034</v>
      </c>
      <c r="E138" t="s">
        <v>24</v>
      </c>
      <c r="F138" t="s">
        <v>118</v>
      </c>
      <c r="G138" s="3">
        <v>10.98</v>
      </c>
      <c r="H138" t="s">
        <v>41</v>
      </c>
      <c r="I138" t="s">
        <v>27</v>
      </c>
      <c r="J138" s="4" t="s">
        <v>119</v>
      </c>
      <c r="K138" t="s">
        <v>33</v>
      </c>
      <c r="L138" t="s">
        <v>30</v>
      </c>
      <c r="M138" t="s">
        <v>31</v>
      </c>
      <c r="N138" t="s">
        <v>32</v>
      </c>
      <c r="O138">
        <v>5</v>
      </c>
      <c r="P138">
        <v>5</v>
      </c>
      <c r="Q138" t="s">
        <v>33</v>
      </c>
      <c r="R138" t="s">
        <v>85</v>
      </c>
      <c r="S138" s="3">
        <v>0</v>
      </c>
      <c r="T138" t="s">
        <v>121</v>
      </c>
      <c r="U138" t="s">
        <v>53</v>
      </c>
      <c r="V138" t="str">
        <f t="shared" si="8"/>
        <v>2026-01</v>
      </c>
      <c r="W138" t="str">
        <f t="shared" si="9"/>
        <v>4-7 days</v>
      </c>
      <c r="X138" t="str">
        <f t="shared" si="10"/>
        <v>No Refund</v>
      </c>
      <c r="Y138" t="str">
        <f t="shared" si="11"/>
        <v>High</v>
      </c>
    </row>
    <row r="139" spans="1:25" ht="27.6">
      <c r="A139" t="s">
        <v>537</v>
      </c>
      <c r="B139" t="s">
        <v>538</v>
      </c>
      <c r="C139" t="s">
        <v>539</v>
      </c>
      <c r="D139" s="2">
        <v>46156</v>
      </c>
      <c r="E139" t="s">
        <v>24</v>
      </c>
      <c r="F139" t="s">
        <v>118</v>
      </c>
      <c r="G139" s="3">
        <v>55.74</v>
      </c>
      <c r="H139" t="s">
        <v>108</v>
      </c>
      <c r="I139" t="s">
        <v>27</v>
      </c>
      <c r="J139" s="4" t="s">
        <v>119</v>
      </c>
      <c r="K139" t="s">
        <v>29</v>
      </c>
      <c r="L139" t="s">
        <v>120</v>
      </c>
      <c r="M139" t="s">
        <v>96</v>
      </c>
      <c r="N139" t="s">
        <v>32</v>
      </c>
      <c r="O139">
        <v>5</v>
      </c>
      <c r="P139">
        <v>1</v>
      </c>
      <c r="Q139" t="s">
        <v>33</v>
      </c>
      <c r="R139" t="s">
        <v>85</v>
      </c>
      <c r="S139" s="3">
        <v>55.74</v>
      </c>
      <c r="T139" t="s">
        <v>121</v>
      </c>
      <c r="U139" t="s">
        <v>36</v>
      </c>
      <c r="V139" t="str">
        <f t="shared" si="8"/>
        <v>2026-05</v>
      </c>
      <c r="W139" t="str">
        <f t="shared" si="9"/>
        <v>0-3 days</v>
      </c>
      <c r="X139" t="str">
        <f t="shared" si="10"/>
        <v>Refund Issued</v>
      </c>
      <c r="Y139" t="str">
        <f t="shared" si="11"/>
        <v>High</v>
      </c>
    </row>
    <row r="140" spans="1:25" ht="27.6">
      <c r="A140" t="s">
        <v>540</v>
      </c>
      <c r="B140" t="s">
        <v>541</v>
      </c>
      <c r="C140" t="s">
        <v>542</v>
      </c>
      <c r="D140" s="2">
        <v>46061</v>
      </c>
      <c r="E140" t="s">
        <v>24</v>
      </c>
      <c r="F140" t="s">
        <v>25</v>
      </c>
      <c r="G140" s="3">
        <v>43.5</v>
      </c>
      <c r="H140" t="s">
        <v>74</v>
      </c>
      <c r="I140" t="s">
        <v>27</v>
      </c>
      <c r="J140" s="4" t="s">
        <v>543</v>
      </c>
      <c r="K140" t="s">
        <v>33</v>
      </c>
      <c r="L140" t="s">
        <v>30</v>
      </c>
      <c r="M140" t="s">
        <v>31</v>
      </c>
      <c r="N140" t="s">
        <v>126</v>
      </c>
      <c r="O140">
        <v>5</v>
      </c>
      <c r="P140">
        <v>9</v>
      </c>
      <c r="Q140" t="s">
        <v>29</v>
      </c>
      <c r="R140" t="s">
        <v>34</v>
      </c>
      <c r="S140" s="3">
        <v>0</v>
      </c>
      <c r="T140" t="s">
        <v>43</v>
      </c>
      <c r="U140" t="s">
        <v>63</v>
      </c>
      <c r="V140" t="str">
        <f t="shared" si="8"/>
        <v>2026-02</v>
      </c>
      <c r="W140" t="str">
        <f t="shared" si="9"/>
        <v>8-14 days</v>
      </c>
      <c r="X140" t="str">
        <f t="shared" si="10"/>
        <v>No Refund</v>
      </c>
      <c r="Y140" t="str">
        <f t="shared" si="11"/>
        <v>High</v>
      </c>
    </row>
    <row r="141" spans="1:25" ht="27.6">
      <c r="A141" t="s">
        <v>544</v>
      </c>
      <c r="B141" t="s">
        <v>545</v>
      </c>
      <c r="C141" t="s">
        <v>546</v>
      </c>
      <c r="D141" s="2">
        <v>46088</v>
      </c>
      <c r="E141" t="s">
        <v>24</v>
      </c>
      <c r="F141" t="s">
        <v>172</v>
      </c>
      <c r="G141" s="3">
        <v>21.82</v>
      </c>
      <c r="H141" t="s">
        <v>58</v>
      </c>
      <c r="I141" t="s">
        <v>50</v>
      </c>
      <c r="J141" s="4" t="s">
        <v>285</v>
      </c>
      <c r="K141" t="s">
        <v>29</v>
      </c>
      <c r="L141" t="s">
        <v>30</v>
      </c>
      <c r="M141" t="s">
        <v>31</v>
      </c>
      <c r="N141" t="s">
        <v>32</v>
      </c>
      <c r="O141">
        <v>7</v>
      </c>
      <c r="P141">
        <v>6</v>
      </c>
      <c r="Q141" t="s">
        <v>33</v>
      </c>
      <c r="R141" t="s">
        <v>174</v>
      </c>
      <c r="S141" s="3">
        <v>0</v>
      </c>
      <c r="T141" t="s">
        <v>69</v>
      </c>
      <c r="U141" t="s">
        <v>53</v>
      </c>
      <c r="V141" t="str">
        <f t="shared" si="8"/>
        <v>2026-03</v>
      </c>
      <c r="W141" t="str">
        <f t="shared" si="9"/>
        <v>4-7 days</v>
      </c>
      <c r="X141" t="str">
        <f t="shared" si="10"/>
        <v>No Refund</v>
      </c>
      <c r="Y141" t="str">
        <f t="shared" si="11"/>
        <v>Medium</v>
      </c>
    </row>
    <row r="142" spans="1:25" ht="27.6">
      <c r="A142" t="s">
        <v>547</v>
      </c>
      <c r="B142" t="s">
        <v>548</v>
      </c>
      <c r="C142" t="s">
        <v>549</v>
      </c>
      <c r="D142" s="2">
        <v>46100</v>
      </c>
      <c r="E142" t="s">
        <v>94</v>
      </c>
      <c r="F142" t="s">
        <v>25</v>
      </c>
      <c r="G142" s="3">
        <v>38.840000000000003</v>
      </c>
      <c r="H142" t="s">
        <v>89</v>
      </c>
      <c r="I142" t="s">
        <v>50</v>
      </c>
      <c r="J142" s="4" t="s">
        <v>42</v>
      </c>
      <c r="K142" t="s">
        <v>29</v>
      </c>
      <c r="L142" t="s">
        <v>30</v>
      </c>
      <c r="M142" t="s">
        <v>96</v>
      </c>
      <c r="N142" t="s">
        <v>32</v>
      </c>
      <c r="O142">
        <v>5</v>
      </c>
      <c r="P142">
        <v>1</v>
      </c>
      <c r="Q142" t="s">
        <v>33</v>
      </c>
      <c r="R142" t="s">
        <v>34</v>
      </c>
      <c r="S142" s="3">
        <v>38.840000000000003</v>
      </c>
      <c r="T142" t="s">
        <v>110</v>
      </c>
      <c r="U142" t="s">
        <v>36</v>
      </c>
      <c r="V142" t="str">
        <f t="shared" si="8"/>
        <v>2026-03</v>
      </c>
      <c r="W142" t="str">
        <f t="shared" si="9"/>
        <v>0-3 days</v>
      </c>
      <c r="X142" t="str">
        <f t="shared" si="10"/>
        <v>Refund Issued</v>
      </c>
      <c r="Y142" t="str">
        <f t="shared" si="11"/>
        <v>High</v>
      </c>
    </row>
    <row r="143" spans="1:25" ht="27.6">
      <c r="A143" t="s">
        <v>550</v>
      </c>
      <c r="B143" t="s">
        <v>511</v>
      </c>
      <c r="C143" t="s">
        <v>551</v>
      </c>
      <c r="D143" s="2">
        <v>46154</v>
      </c>
      <c r="E143" t="s">
        <v>94</v>
      </c>
      <c r="F143" t="s">
        <v>82</v>
      </c>
      <c r="G143" s="3">
        <v>198.49</v>
      </c>
      <c r="H143" t="s">
        <v>49</v>
      </c>
      <c r="I143" t="s">
        <v>67</v>
      </c>
      <c r="J143" s="4" t="s">
        <v>114</v>
      </c>
      <c r="K143" t="s">
        <v>33</v>
      </c>
      <c r="L143" t="s">
        <v>30</v>
      </c>
      <c r="M143" t="s">
        <v>31</v>
      </c>
      <c r="N143" t="s">
        <v>32</v>
      </c>
      <c r="O143">
        <v>7</v>
      </c>
      <c r="P143">
        <v>7</v>
      </c>
      <c r="Q143" t="s">
        <v>33</v>
      </c>
      <c r="R143" t="s">
        <v>85</v>
      </c>
      <c r="S143" s="3">
        <v>99.25</v>
      </c>
      <c r="T143" t="s">
        <v>69</v>
      </c>
      <c r="U143" t="s">
        <v>53</v>
      </c>
      <c r="V143" t="str">
        <f t="shared" si="8"/>
        <v>2026-05</v>
      </c>
      <c r="W143" t="str">
        <f t="shared" si="9"/>
        <v>4-7 days</v>
      </c>
      <c r="X143" t="str">
        <f t="shared" si="10"/>
        <v>Refund Issued</v>
      </c>
      <c r="Y143" t="str">
        <f t="shared" si="11"/>
        <v>High</v>
      </c>
    </row>
    <row r="144" spans="1:25" ht="27.6">
      <c r="A144" t="s">
        <v>552</v>
      </c>
      <c r="B144" t="s">
        <v>553</v>
      </c>
      <c r="C144" t="s">
        <v>554</v>
      </c>
      <c r="D144" s="2">
        <v>46172</v>
      </c>
      <c r="E144" t="s">
        <v>47</v>
      </c>
      <c r="F144" t="s">
        <v>82</v>
      </c>
      <c r="G144" s="3">
        <v>18.989999999999998</v>
      </c>
      <c r="H144" t="s">
        <v>108</v>
      </c>
      <c r="I144" t="s">
        <v>50</v>
      </c>
      <c r="J144" s="4" t="s">
        <v>555</v>
      </c>
      <c r="K144" t="s">
        <v>29</v>
      </c>
      <c r="L144" t="s">
        <v>30</v>
      </c>
      <c r="M144" t="s">
        <v>31</v>
      </c>
      <c r="N144" t="s">
        <v>32</v>
      </c>
      <c r="O144">
        <v>7</v>
      </c>
      <c r="P144">
        <v>3</v>
      </c>
      <c r="Q144" t="s">
        <v>33</v>
      </c>
      <c r="R144" t="s">
        <v>85</v>
      </c>
      <c r="S144" s="3">
        <v>0</v>
      </c>
      <c r="T144" t="s">
        <v>62</v>
      </c>
      <c r="U144" t="s">
        <v>36</v>
      </c>
      <c r="V144" t="str">
        <f t="shared" si="8"/>
        <v>2026-05</v>
      </c>
      <c r="W144" t="str">
        <f t="shared" si="9"/>
        <v>0-3 days</v>
      </c>
      <c r="X144" t="str">
        <f t="shared" si="10"/>
        <v>No Refund</v>
      </c>
      <c r="Y144" t="str">
        <f t="shared" si="11"/>
        <v>High</v>
      </c>
    </row>
    <row r="145" spans="1:25" ht="27.6">
      <c r="A145" t="s">
        <v>556</v>
      </c>
      <c r="B145" t="s">
        <v>557</v>
      </c>
      <c r="C145" t="s">
        <v>558</v>
      </c>
      <c r="D145" s="2">
        <v>46113</v>
      </c>
      <c r="E145" t="s">
        <v>24</v>
      </c>
      <c r="F145" t="s">
        <v>103</v>
      </c>
      <c r="G145" s="3">
        <v>32.950000000000003</v>
      </c>
      <c r="H145" t="s">
        <v>89</v>
      </c>
      <c r="I145" t="s">
        <v>67</v>
      </c>
      <c r="J145" s="4" t="s">
        <v>134</v>
      </c>
      <c r="K145" t="s">
        <v>33</v>
      </c>
      <c r="L145" t="s">
        <v>30</v>
      </c>
      <c r="M145" t="s">
        <v>31</v>
      </c>
      <c r="N145" t="s">
        <v>84</v>
      </c>
      <c r="O145">
        <v>5</v>
      </c>
      <c r="P145">
        <v>5</v>
      </c>
      <c r="Q145" t="s">
        <v>33</v>
      </c>
      <c r="R145" t="s">
        <v>34</v>
      </c>
      <c r="S145" s="3">
        <v>0</v>
      </c>
      <c r="T145" t="s">
        <v>35</v>
      </c>
      <c r="U145" t="s">
        <v>53</v>
      </c>
      <c r="V145" t="str">
        <f t="shared" si="8"/>
        <v>2026-04</v>
      </c>
      <c r="W145" t="str">
        <f t="shared" si="9"/>
        <v>4-7 days</v>
      </c>
      <c r="X145" t="str">
        <f t="shared" si="10"/>
        <v>No Refund</v>
      </c>
      <c r="Y145" t="str">
        <f t="shared" si="11"/>
        <v>Medium</v>
      </c>
    </row>
    <row r="146" spans="1:25" ht="27.6">
      <c r="A146" t="s">
        <v>559</v>
      </c>
      <c r="B146" t="s">
        <v>560</v>
      </c>
      <c r="C146" t="s">
        <v>561</v>
      </c>
      <c r="D146" s="2">
        <v>46082</v>
      </c>
      <c r="E146" t="s">
        <v>24</v>
      </c>
      <c r="F146" t="s">
        <v>25</v>
      </c>
      <c r="G146" s="3">
        <v>19.03</v>
      </c>
      <c r="H146" t="s">
        <v>26</v>
      </c>
      <c r="I146" t="s">
        <v>50</v>
      </c>
      <c r="J146" s="4" t="s">
        <v>42</v>
      </c>
      <c r="K146" t="s">
        <v>29</v>
      </c>
      <c r="L146" t="s">
        <v>30</v>
      </c>
      <c r="M146" t="s">
        <v>96</v>
      </c>
      <c r="N146" t="s">
        <v>32</v>
      </c>
      <c r="O146">
        <v>5</v>
      </c>
      <c r="P146">
        <v>9</v>
      </c>
      <c r="Q146" t="s">
        <v>29</v>
      </c>
      <c r="R146" t="s">
        <v>34</v>
      </c>
      <c r="S146" s="3">
        <v>19.03</v>
      </c>
      <c r="T146" t="s">
        <v>35</v>
      </c>
      <c r="U146" t="s">
        <v>63</v>
      </c>
      <c r="V146" t="str">
        <f t="shared" si="8"/>
        <v>2026-03</v>
      </c>
      <c r="W146" t="str">
        <f t="shared" si="9"/>
        <v>8-14 days</v>
      </c>
      <c r="X146" t="str">
        <f t="shared" si="10"/>
        <v>Refund Issued</v>
      </c>
      <c r="Y146" t="str">
        <f t="shared" si="11"/>
        <v>High</v>
      </c>
    </row>
    <row r="147" spans="1:25" ht="27.6">
      <c r="A147" t="s">
        <v>562</v>
      </c>
      <c r="B147" t="s">
        <v>563</v>
      </c>
      <c r="C147" t="s">
        <v>564</v>
      </c>
      <c r="D147" s="2">
        <v>46158</v>
      </c>
      <c r="E147" t="s">
        <v>40</v>
      </c>
      <c r="F147" t="s">
        <v>172</v>
      </c>
      <c r="G147" s="3">
        <v>21.65</v>
      </c>
      <c r="H147" t="s">
        <v>58</v>
      </c>
      <c r="I147" t="s">
        <v>50</v>
      </c>
      <c r="J147" s="4" t="s">
        <v>173</v>
      </c>
      <c r="K147" t="s">
        <v>33</v>
      </c>
      <c r="L147" t="s">
        <v>30</v>
      </c>
      <c r="M147" t="s">
        <v>31</v>
      </c>
      <c r="N147" t="s">
        <v>32</v>
      </c>
      <c r="O147">
        <v>7</v>
      </c>
      <c r="P147">
        <v>8</v>
      </c>
      <c r="Q147" t="s">
        <v>29</v>
      </c>
      <c r="R147" t="s">
        <v>174</v>
      </c>
      <c r="S147" s="3">
        <v>10.82</v>
      </c>
      <c r="T147" t="s">
        <v>69</v>
      </c>
      <c r="U147" t="s">
        <v>63</v>
      </c>
      <c r="V147" t="str">
        <f t="shared" si="8"/>
        <v>2026-05</v>
      </c>
      <c r="W147" t="str">
        <f t="shared" si="9"/>
        <v>8-14 days</v>
      </c>
      <c r="X147" t="str">
        <f t="shared" si="10"/>
        <v>Refund Issued</v>
      </c>
      <c r="Y147" t="str">
        <f t="shared" si="11"/>
        <v>Medium</v>
      </c>
    </row>
    <row r="148" spans="1:25" ht="27.6">
      <c r="A148" t="s">
        <v>565</v>
      </c>
      <c r="B148" t="s">
        <v>566</v>
      </c>
      <c r="C148" t="s">
        <v>567</v>
      </c>
      <c r="D148" s="2">
        <v>46157</v>
      </c>
      <c r="E148" t="s">
        <v>24</v>
      </c>
      <c r="F148" t="s">
        <v>82</v>
      </c>
      <c r="G148" s="3">
        <v>64.52</v>
      </c>
      <c r="H148" t="s">
        <v>108</v>
      </c>
      <c r="I148" t="s">
        <v>27</v>
      </c>
      <c r="J148" s="4" t="s">
        <v>114</v>
      </c>
      <c r="K148" t="s">
        <v>33</v>
      </c>
      <c r="L148" t="s">
        <v>30</v>
      </c>
      <c r="M148" t="s">
        <v>31</v>
      </c>
      <c r="N148" t="s">
        <v>126</v>
      </c>
      <c r="O148">
        <v>7</v>
      </c>
      <c r="P148">
        <v>6</v>
      </c>
      <c r="Q148" t="s">
        <v>33</v>
      </c>
      <c r="R148" t="s">
        <v>85</v>
      </c>
      <c r="S148" s="3">
        <v>0</v>
      </c>
      <c r="T148" t="s">
        <v>62</v>
      </c>
      <c r="U148" t="s">
        <v>53</v>
      </c>
      <c r="V148" t="str">
        <f t="shared" si="8"/>
        <v>2026-05</v>
      </c>
      <c r="W148" t="str">
        <f t="shared" si="9"/>
        <v>4-7 days</v>
      </c>
      <c r="X148" t="str">
        <f t="shared" si="10"/>
        <v>No Refund</v>
      </c>
      <c r="Y148" t="str">
        <f t="shared" si="11"/>
        <v>High</v>
      </c>
    </row>
    <row r="149" spans="1:25" ht="27.6">
      <c r="A149" t="s">
        <v>568</v>
      </c>
      <c r="B149" t="s">
        <v>569</v>
      </c>
      <c r="C149" t="s">
        <v>570</v>
      </c>
      <c r="D149" s="2">
        <v>46119</v>
      </c>
      <c r="E149" t="s">
        <v>47</v>
      </c>
      <c r="F149" t="s">
        <v>25</v>
      </c>
      <c r="G149" s="3">
        <v>40.43</v>
      </c>
      <c r="H149" t="s">
        <v>49</v>
      </c>
      <c r="I149" t="s">
        <v>27</v>
      </c>
      <c r="J149" s="4" t="s">
        <v>571</v>
      </c>
      <c r="K149" t="s">
        <v>33</v>
      </c>
      <c r="L149" t="s">
        <v>30</v>
      </c>
      <c r="M149" t="s">
        <v>31</v>
      </c>
      <c r="N149" t="s">
        <v>84</v>
      </c>
      <c r="O149">
        <v>5</v>
      </c>
      <c r="P149">
        <v>13</v>
      </c>
      <c r="Q149" t="s">
        <v>29</v>
      </c>
      <c r="R149" t="s">
        <v>34</v>
      </c>
      <c r="S149" s="3">
        <v>0</v>
      </c>
      <c r="T149" t="s">
        <v>110</v>
      </c>
      <c r="U149" t="s">
        <v>63</v>
      </c>
      <c r="V149" t="str">
        <f t="shared" si="8"/>
        <v>2026-04</v>
      </c>
      <c r="W149" t="str">
        <f t="shared" si="9"/>
        <v>8-14 days</v>
      </c>
      <c r="X149" t="str">
        <f t="shared" si="10"/>
        <v>No Refund</v>
      </c>
      <c r="Y149" t="str">
        <f t="shared" si="11"/>
        <v>High</v>
      </c>
    </row>
    <row r="150" spans="1:25" ht="27.6">
      <c r="A150" t="s">
        <v>572</v>
      </c>
      <c r="B150" t="s">
        <v>573</v>
      </c>
      <c r="C150" t="s">
        <v>574</v>
      </c>
      <c r="D150" s="2">
        <v>46168</v>
      </c>
      <c r="E150" t="s">
        <v>47</v>
      </c>
      <c r="F150" t="s">
        <v>25</v>
      </c>
      <c r="G150" s="3">
        <v>153.55000000000001</v>
      </c>
      <c r="H150" t="s">
        <v>26</v>
      </c>
      <c r="I150" t="s">
        <v>27</v>
      </c>
      <c r="J150" s="4" t="s">
        <v>42</v>
      </c>
      <c r="K150" t="s">
        <v>33</v>
      </c>
      <c r="L150" t="s">
        <v>30</v>
      </c>
      <c r="M150" t="s">
        <v>31</v>
      </c>
      <c r="N150" t="s">
        <v>32</v>
      </c>
      <c r="O150">
        <v>5</v>
      </c>
      <c r="P150">
        <v>12</v>
      </c>
      <c r="Q150" t="s">
        <v>29</v>
      </c>
      <c r="R150" t="s">
        <v>34</v>
      </c>
      <c r="S150" s="3">
        <v>0</v>
      </c>
      <c r="T150" t="s">
        <v>110</v>
      </c>
      <c r="U150" t="s">
        <v>63</v>
      </c>
      <c r="V150" t="str">
        <f t="shared" si="8"/>
        <v>2026-05</v>
      </c>
      <c r="W150" t="str">
        <f t="shared" si="9"/>
        <v>8-14 days</v>
      </c>
      <c r="X150" t="str">
        <f t="shared" si="10"/>
        <v>No Refund</v>
      </c>
      <c r="Y150" t="str">
        <f t="shared" si="11"/>
        <v>High</v>
      </c>
    </row>
    <row r="151" spans="1:25" ht="27.6">
      <c r="A151" t="s">
        <v>575</v>
      </c>
      <c r="B151" t="s">
        <v>576</v>
      </c>
      <c r="C151" t="s">
        <v>577</v>
      </c>
      <c r="D151" s="2">
        <v>46064</v>
      </c>
      <c r="E151" t="s">
        <v>47</v>
      </c>
      <c r="F151" t="s">
        <v>172</v>
      </c>
      <c r="G151" s="3">
        <v>195.93</v>
      </c>
      <c r="H151" t="s">
        <v>89</v>
      </c>
      <c r="I151" t="s">
        <v>27</v>
      </c>
      <c r="J151" s="4" t="s">
        <v>173</v>
      </c>
      <c r="K151" t="s">
        <v>33</v>
      </c>
      <c r="L151" t="s">
        <v>30</v>
      </c>
      <c r="M151" t="s">
        <v>31</v>
      </c>
      <c r="N151" t="s">
        <v>126</v>
      </c>
      <c r="O151">
        <v>7</v>
      </c>
      <c r="P151">
        <v>10</v>
      </c>
      <c r="Q151" t="s">
        <v>29</v>
      </c>
      <c r="R151" t="s">
        <v>174</v>
      </c>
      <c r="S151" s="3">
        <v>0</v>
      </c>
      <c r="T151" t="s">
        <v>69</v>
      </c>
      <c r="U151" t="s">
        <v>63</v>
      </c>
      <c r="V151" t="str">
        <f t="shared" si="8"/>
        <v>2026-02</v>
      </c>
      <c r="W151" t="str">
        <f t="shared" si="9"/>
        <v>8-14 days</v>
      </c>
      <c r="X151" t="str">
        <f t="shared" si="10"/>
        <v>No Refund</v>
      </c>
      <c r="Y151" t="str">
        <f t="shared" si="11"/>
        <v>Medium</v>
      </c>
    </row>
    <row r="152" spans="1:25" ht="27.6">
      <c r="A152" t="s">
        <v>578</v>
      </c>
      <c r="B152" t="s">
        <v>579</v>
      </c>
      <c r="C152" t="s">
        <v>580</v>
      </c>
      <c r="D152" s="2">
        <v>46111</v>
      </c>
      <c r="E152" t="s">
        <v>24</v>
      </c>
      <c r="F152" t="s">
        <v>82</v>
      </c>
      <c r="G152" s="3">
        <v>85.54</v>
      </c>
      <c r="H152" t="s">
        <v>49</v>
      </c>
      <c r="I152" t="s">
        <v>50</v>
      </c>
      <c r="J152" s="4" t="s">
        <v>114</v>
      </c>
      <c r="K152" t="s">
        <v>29</v>
      </c>
      <c r="L152" t="s">
        <v>30</v>
      </c>
      <c r="M152" t="s">
        <v>31</v>
      </c>
      <c r="N152" t="s">
        <v>90</v>
      </c>
      <c r="O152">
        <v>7</v>
      </c>
      <c r="P152">
        <v>8</v>
      </c>
      <c r="Q152" t="s">
        <v>29</v>
      </c>
      <c r="R152" t="s">
        <v>85</v>
      </c>
      <c r="S152" s="3">
        <v>0</v>
      </c>
      <c r="T152" t="s">
        <v>69</v>
      </c>
      <c r="U152" t="s">
        <v>63</v>
      </c>
      <c r="V152" t="str">
        <f t="shared" si="8"/>
        <v>2026-03</v>
      </c>
      <c r="W152" t="str">
        <f t="shared" si="9"/>
        <v>8-14 days</v>
      </c>
      <c r="X152" t="str">
        <f t="shared" si="10"/>
        <v>No Refund</v>
      </c>
      <c r="Y152" t="str">
        <f t="shared" si="11"/>
        <v>High</v>
      </c>
    </row>
    <row r="153" spans="1:25" ht="27.6">
      <c r="A153" t="s">
        <v>581</v>
      </c>
      <c r="B153" t="s">
        <v>582</v>
      </c>
      <c r="C153" t="s">
        <v>583</v>
      </c>
      <c r="D153" s="2">
        <v>46119</v>
      </c>
      <c r="E153" t="s">
        <v>47</v>
      </c>
      <c r="F153" t="s">
        <v>103</v>
      </c>
      <c r="G153" s="3">
        <v>52.26</v>
      </c>
      <c r="H153" t="s">
        <v>89</v>
      </c>
      <c r="I153" t="s">
        <v>27</v>
      </c>
      <c r="J153" s="4" t="s">
        <v>134</v>
      </c>
      <c r="K153" t="s">
        <v>29</v>
      </c>
      <c r="L153" t="s">
        <v>30</v>
      </c>
      <c r="M153" t="s">
        <v>31</v>
      </c>
      <c r="N153" t="s">
        <v>32</v>
      </c>
      <c r="O153">
        <v>5</v>
      </c>
      <c r="P153">
        <v>6</v>
      </c>
      <c r="Q153" t="s">
        <v>29</v>
      </c>
      <c r="R153" t="s">
        <v>34</v>
      </c>
      <c r="S153" s="3">
        <v>52.26</v>
      </c>
      <c r="T153" t="s">
        <v>35</v>
      </c>
      <c r="U153" t="s">
        <v>63</v>
      </c>
      <c r="V153" t="str">
        <f t="shared" si="8"/>
        <v>2026-04</v>
      </c>
      <c r="W153" t="str">
        <f t="shared" si="9"/>
        <v>4-7 days</v>
      </c>
      <c r="X153" t="str">
        <f t="shared" si="10"/>
        <v>Refund Issued</v>
      </c>
      <c r="Y153" t="str">
        <f t="shared" si="11"/>
        <v>Medium</v>
      </c>
    </row>
    <row r="154" spans="1:25" ht="27.6">
      <c r="A154" t="s">
        <v>584</v>
      </c>
      <c r="B154" t="s">
        <v>585</v>
      </c>
      <c r="C154" t="s">
        <v>586</v>
      </c>
      <c r="D154" s="2">
        <v>46115</v>
      </c>
      <c r="E154" t="s">
        <v>24</v>
      </c>
      <c r="F154" t="s">
        <v>25</v>
      </c>
      <c r="G154" s="3">
        <v>26.13</v>
      </c>
      <c r="H154" t="s">
        <v>41</v>
      </c>
      <c r="I154" t="s">
        <v>27</v>
      </c>
      <c r="J154" s="4" t="s">
        <v>42</v>
      </c>
      <c r="K154" t="s">
        <v>29</v>
      </c>
      <c r="L154" t="s">
        <v>30</v>
      </c>
      <c r="M154" t="s">
        <v>31</v>
      </c>
      <c r="N154" t="s">
        <v>32</v>
      </c>
      <c r="O154">
        <v>5</v>
      </c>
      <c r="P154">
        <v>2</v>
      </c>
      <c r="Q154" t="s">
        <v>33</v>
      </c>
      <c r="R154" t="s">
        <v>34</v>
      </c>
      <c r="S154" s="3">
        <v>19.600000000000001</v>
      </c>
      <c r="T154" t="s">
        <v>43</v>
      </c>
      <c r="U154" t="s">
        <v>53</v>
      </c>
      <c r="V154" t="str">
        <f t="shared" si="8"/>
        <v>2026-04</v>
      </c>
      <c r="W154" t="str">
        <f t="shared" si="9"/>
        <v>0-3 days</v>
      </c>
      <c r="X154" t="str">
        <f t="shared" si="10"/>
        <v>Refund Issued</v>
      </c>
      <c r="Y154" t="str">
        <f t="shared" si="11"/>
        <v>High</v>
      </c>
    </row>
    <row r="155" spans="1:25" ht="27.6">
      <c r="A155" t="s">
        <v>587</v>
      </c>
      <c r="B155" t="s">
        <v>588</v>
      </c>
      <c r="C155" t="s">
        <v>589</v>
      </c>
      <c r="D155" s="2">
        <v>46097</v>
      </c>
      <c r="E155" t="s">
        <v>24</v>
      </c>
      <c r="F155" t="s">
        <v>57</v>
      </c>
      <c r="G155" s="3">
        <v>85.15</v>
      </c>
      <c r="H155" t="s">
        <v>74</v>
      </c>
      <c r="I155" t="s">
        <v>50</v>
      </c>
      <c r="J155" s="4" t="s">
        <v>155</v>
      </c>
      <c r="K155" t="s">
        <v>29</v>
      </c>
      <c r="L155" t="s">
        <v>60</v>
      </c>
      <c r="M155" t="s">
        <v>31</v>
      </c>
      <c r="N155" t="s">
        <v>32</v>
      </c>
      <c r="O155">
        <v>10</v>
      </c>
      <c r="P155">
        <v>12</v>
      </c>
      <c r="Q155" t="s">
        <v>29</v>
      </c>
      <c r="R155" t="s">
        <v>61</v>
      </c>
      <c r="S155" s="3">
        <v>63.86</v>
      </c>
      <c r="T155" t="s">
        <v>52</v>
      </c>
      <c r="U155" t="s">
        <v>63</v>
      </c>
      <c r="V155" t="str">
        <f t="shared" si="8"/>
        <v>2026-03</v>
      </c>
      <c r="W155" t="str">
        <f t="shared" si="9"/>
        <v>8-14 days</v>
      </c>
      <c r="X155" t="str">
        <f t="shared" si="10"/>
        <v>Refund Issued</v>
      </c>
      <c r="Y155" t="str">
        <f t="shared" si="11"/>
        <v>Low</v>
      </c>
    </row>
    <row r="156" spans="1:25" ht="27.6">
      <c r="A156" t="s">
        <v>590</v>
      </c>
      <c r="B156" t="s">
        <v>591</v>
      </c>
      <c r="C156" t="s">
        <v>592</v>
      </c>
      <c r="D156" s="2">
        <v>46065</v>
      </c>
      <c r="E156" t="s">
        <v>47</v>
      </c>
      <c r="F156" t="s">
        <v>82</v>
      </c>
      <c r="G156" s="3">
        <v>39.450000000000003</v>
      </c>
      <c r="H156" t="s">
        <v>41</v>
      </c>
      <c r="I156" t="s">
        <v>67</v>
      </c>
      <c r="J156" s="4" t="s">
        <v>593</v>
      </c>
      <c r="K156" t="s">
        <v>33</v>
      </c>
      <c r="L156" t="s">
        <v>30</v>
      </c>
      <c r="M156" t="s">
        <v>31</v>
      </c>
      <c r="N156" t="s">
        <v>32</v>
      </c>
      <c r="O156">
        <v>7</v>
      </c>
      <c r="P156">
        <v>7</v>
      </c>
      <c r="Q156" t="s">
        <v>33</v>
      </c>
      <c r="R156" t="s">
        <v>85</v>
      </c>
      <c r="S156" s="3">
        <v>29.59</v>
      </c>
      <c r="T156" t="s">
        <v>69</v>
      </c>
      <c r="U156" t="s">
        <v>36</v>
      </c>
      <c r="V156" t="str">
        <f t="shared" si="8"/>
        <v>2026-02</v>
      </c>
      <c r="W156" t="str">
        <f t="shared" si="9"/>
        <v>4-7 days</v>
      </c>
      <c r="X156" t="str">
        <f t="shared" si="10"/>
        <v>Refund Issued</v>
      </c>
      <c r="Y156" t="str">
        <f t="shared" si="11"/>
        <v>High</v>
      </c>
    </row>
    <row r="157" spans="1:25" ht="27.6">
      <c r="A157" t="s">
        <v>594</v>
      </c>
      <c r="B157" t="s">
        <v>595</v>
      </c>
      <c r="C157" t="s">
        <v>596</v>
      </c>
      <c r="D157" s="2">
        <v>46108</v>
      </c>
      <c r="E157" t="s">
        <v>47</v>
      </c>
      <c r="F157" t="s">
        <v>57</v>
      </c>
      <c r="G157" s="3">
        <v>69.62</v>
      </c>
      <c r="H157" t="s">
        <v>41</v>
      </c>
      <c r="I157" t="s">
        <v>27</v>
      </c>
      <c r="J157" s="4" t="s">
        <v>155</v>
      </c>
      <c r="K157" t="s">
        <v>33</v>
      </c>
      <c r="L157" t="s">
        <v>60</v>
      </c>
      <c r="M157" t="s">
        <v>31</v>
      </c>
      <c r="N157" t="s">
        <v>32</v>
      </c>
      <c r="O157">
        <v>10</v>
      </c>
      <c r="P157">
        <v>12</v>
      </c>
      <c r="Q157" t="s">
        <v>29</v>
      </c>
      <c r="R157" t="s">
        <v>61</v>
      </c>
      <c r="S157" s="3">
        <v>52.22</v>
      </c>
      <c r="T157" t="s">
        <v>156</v>
      </c>
      <c r="U157" t="s">
        <v>63</v>
      </c>
      <c r="V157" t="str">
        <f t="shared" si="8"/>
        <v>2026-03</v>
      </c>
      <c r="W157" t="str">
        <f t="shared" si="9"/>
        <v>8-14 days</v>
      </c>
      <c r="X157" t="str">
        <f t="shared" si="10"/>
        <v>Refund Issued</v>
      </c>
      <c r="Y157" t="str">
        <f t="shared" si="11"/>
        <v>Low</v>
      </c>
    </row>
    <row r="158" spans="1:25" ht="27.6">
      <c r="A158" t="s">
        <v>597</v>
      </c>
      <c r="B158" t="s">
        <v>598</v>
      </c>
      <c r="C158" t="s">
        <v>599</v>
      </c>
      <c r="D158" s="2">
        <v>46148</v>
      </c>
      <c r="E158" t="s">
        <v>94</v>
      </c>
      <c r="F158" t="s">
        <v>57</v>
      </c>
      <c r="G158" s="3">
        <v>28.42</v>
      </c>
      <c r="H158" t="s">
        <v>49</v>
      </c>
      <c r="I158" t="s">
        <v>27</v>
      </c>
      <c r="J158" s="4" t="s">
        <v>59</v>
      </c>
      <c r="K158" t="s">
        <v>29</v>
      </c>
      <c r="L158" t="s">
        <v>60</v>
      </c>
      <c r="M158" t="s">
        <v>31</v>
      </c>
      <c r="N158" t="s">
        <v>32</v>
      </c>
      <c r="O158">
        <v>10</v>
      </c>
      <c r="P158">
        <v>14</v>
      </c>
      <c r="Q158" t="s">
        <v>29</v>
      </c>
      <c r="R158" t="s">
        <v>61</v>
      </c>
      <c r="S158" s="3">
        <v>28.42</v>
      </c>
      <c r="T158" t="s">
        <v>62</v>
      </c>
      <c r="U158" t="s">
        <v>63</v>
      </c>
      <c r="V158" t="str">
        <f t="shared" si="8"/>
        <v>2026-05</v>
      </c>
      <c r="W158" t="str">
        <f t="shared" si="9"/>
        <v>8-14 days</v>
      </c>
      <c r="X158" t="str">
        <f t="shared" si="10"/>
        <v>Refund Issued</v>
      </c>
      <c r="Y158" t="str">
        <f t="shared" si="11"/>
        <v>Low</v>
      </c>
    </row>
    <row r="159" spans="1:25" ht="27.6">
      <c r="A159" t="s">
        <v>600</v>
      </c>
      <c r="B159" t="s">
        <v>601</v>
      </c>
      <c r="C159" t="s">
        <v>602</v>
      </c>
      <c r="D159" s="2">
        <v>46097</v>
      </c>
      <c r="E159" t="s">
        <v>40</v>
      </c>
      <c r="F159" t="s">
        <v>25</v>
      </c>
      <c r="G159" s="3">
        <v>54.22</v>
      </c>
      <c r="H159" t="s">
        <v>41</v>
      </c>
      <c r="I159" t="s">
        <v>27</v>
      </c>
      <c r="J159" s="4" t="s">
        <v>42</v>
      </c>
      <c r="K159" t="s">
        <v>29</v>
      </c>
      <c r="L159" t="s">
        <v>30</v>
      </c>
      <c r="M159" t="s">
        <v>31</v>
      </c>
      <c r="N159" t="s">
        <v>32</v>
      </c>
      <c r="O159">
        <v>5</v>
      </c>
      <c r="P159">
        <v>15</v>
      </c>
      <c r="Q159" t="s">
        <v>29</v>
      </c>
      <c r="R159" t="s">
        <v>34</v>
      </c>
      <c r="S159" s="3">
        <v>40.659999999999997</v>
      </c>
      <c r="T159" t="s">
        <v>35</v>
      </c>
      <c r="U159" t="s">
        <v>63</v>
      </c>
      <c r="V159" t="str">
        <f t="shared" si="8"/>
        <v>2026-03</v>
      </c>
      <c r="W159" t="str">
        <f t="shared" si="9"/>
        <v>15+ days</v>
      </c>
      <c r="X159" t="str">
        <f t="shared" si="10"/>
        <v>Refund Issued</v>
      </c>
      <c r="Y159" t="str">
        <f t="shared" si="11"/>
        <v>High</v>
      </c>
    </row>
    <row r="160" spans="1:25" ht="27.6">
      <c r="A160" t="s">
        <v>603</v>
      </c>
      <c r="B160" t="s">
        <v>604</v>
      </c>
      <c r="C160" t="s">
        <v>605</v>
      </c>
      <c r="D160" s="2">
        <v>46152</v>
      </c>
      <c r="E160" t="s">
        <v>94</v>
      </c>
      <c r="F160" t="s">
        <v>73</v>
      </c>
      <c r="G160" s="3">
        <v>35.74</v>
      </c>
      <c r="H160" t="s">
        <v>41</v>
      </c>
      <c r="I160" t="s">
        <v>50</v>
      </c>
      <c r="J160" s="4" t="s">
        <v>389</v>
      </c>
      <c r="K160" t="s">
        <v>33</v>
      </c>
      <c r="L160" t="s">
        <v>60</v>
      </c>
      <c r="M160" t="s">
        <v>31</v>
      </c>
      <c r="N160" t="s">
        <v>32</v>
      </c>
      <c r="O160">
        <v>10</v>
      </c>
      <c r="P160">
        <v>13</v>
      </c>
      <c r="Q160" t="s">
        <v>29</v>
      </c>
      <c r="R160" t="s">
        <v>61</v>
      </c>
      <c r="S160" s="3">
        <v>17.87</v>
      </c>
      <c r="T160" t="s">
        <v>62</v>
      </c>
      <c r="U160" t="s">
        <v>63</v>
      </c>
      <c r="V160" t="str">
        <f t="shared" si="8"/>
        <v>2026-05</v>
      </c>
      <c r="W160" t="str">
        <f t="shared" si="9"/>
        <v>8-14 days</v>
      </c>
      <c r="X160" t="str">
        <f t="shared" si="10"/>
        <v>Refund Issued</v>
      </c>
      <c r="Y160" t="str">
        <f t="shared" si="11"/>
        <v>Low</v>
      </c>
    </row>
    <row r="161" spans="1:25" ht="27.6">
      <c r="A161" t="s">
        <v>606</v>
      </c>
      <c r="B161" t="s">
        <v>607</v>
      </c>
      <c r="C161" t="s">
        <v>608</v>
      </c>
      <c r="D161" s="2">
        <v>46133</v>
      </c>
      <c r="E161" t="s">
        <v>24</v>
      </c>
      <c r="F161" t="s">
        <v>25</v>
      </c>
      <c r="G161" s="3">
        <v>8.16</v>
      </c>
      <c r="H161" t="s">
        <v>89</v>
      </c>
      <c r="I161" t="s">
        <v>50</v>
      </c>
      <c r="J161" s="4" t="s">
        <v>609</v>
      </c>
      <c r="K161" t="s">
        <v>29</v>
      </c>
      <c r="L161" t="s">
        <v>30</v>
      </c>
      <c r="M161" t="s">
        <v>96</v>
      </c>
      <c r="N161" t="s">
        <v>32</v>
      </c>
      <c r="O161">
        <v>5</v>
      </c>
      <c r="P161">
        <v>5</v>
      </c>
      <c r="Q161" t="s">
        <v>33</v>
      </c>
      <c r="R161" t="s">
        <v>34</v>
      </c>
      <c r="S161" s="3">
        <v>8.16</v>
      </c>
      <c r="T161" t="s">
        <v>43</v>
      </c>
      <c r="U161" t="s">
        <v>36</v>
      </c>
      <c r="V161" t="str">
        <f t="shared" si="8"/>
        <v>2026-04</v>
      </c>
      <c r="W161" t="str">
        <f t="shared" si="9"/>
        <v>4-7 days</v>
      </c>
      <c r="X161" t="str">
        <f t="shared" si="10"/>
        <v>Refund Issued</v>
      </c>
      <c r="Y161" t="str">
        <f t="shared" si="11"/>
        <v>High</v>
      </c>
    </row>
    <row r="162" spans="1:25" ht="27.6">
      <c r="A162" t="s">
        <v>610</v>
      </c>
      <c r="B162" t="s">
        <v>611</v>
      </c>
      <c r="C162" t="s">
        <v>612</v>
      </c>
      <c r="D162" s="2">
        <v>46146</v>
      </c>
      <c r="E162" t="s">
        <v>24</v>
      </c>
      <c r="F162" t="s">
        <v>82</v>
      </c>
      <c r="G162" s="3">
        <v>24.44</v>
      </c>
      <c r="H162" t="s">
        <v>74</v>
      </c>
      <c r="I162" t="s">
        <v>50</v>
      </c>
      <c r="J162" s="4" t="s">
        <v>114</v>
      </c>
      <c r="K162" t="s">
        <v>29</v>
      </c>
      <c r="L162" t="s">
        <v>30</v>
      </c>
      <c r="M162" t="s">
        <v>31</v>
      </c>
      <c r="N162" t="s">
        <v>32</v>
      </c>
      <c r="O162">
        <v>7</v>
      </c>
      <c r="P162">
        <v>1</v>
      </c>
      <c r="Q162" t="s">
        <v>33</v>
      </c>
      <c r="R162" t="s">
        <v>85</v>
      </c>
      <c r="S162" s="3">
        <v>24.44</v>
      </c>
      <c r="T162" t="s">
        <v>43</v>
      </c>
      <c r="U162" t="s">
        <v>53</v>
      </c>
      <c r="V162" t="str">
        <f t="shared" si="8"/>
        <v>2026-05</v>
      </c>
      <c r="W162" t="str">
        <f t="shared" si="9"/>
        <v>0-3 days</v>
      </c>
      <c r="X162" t="str">
        <f t="shared" si="10"/>
        <v>Refund Issued</v>
      </c>
      <c r="Y162" t="str">
        <f t="shared" si="11"/>
        <v>High</v>
      </c>
    </row>
    <row r="163" spans="1:25" ht="27.6">
      <c r="A163" t="s">
        <v>613</v>
      </c>
      <c r="B163" t="s">
        <v>614</v>
      </c>
      <c r="C163" t="s">
        <v>615</v>
      </c>
      <c r="D163" s="2">
        <v>46050</v>
      </c>
      <c r="E163" t="s">
        <v>40</v>
      </c>
      <c r="F163" t="s">
        <v>25</v>
      </c>
      <c r="G163" s="3">
        <v>22.98</v>
      </c>
      <c r="H163" t="s">
        <v>89</v>
      </c>
      <c r="I163" t="s">
        <v>27</v>
      </c>
      <c r="J163" s="4" t="s">
        <v>42</v>
      </c>
      <c r="K163" t="s">
        <v>29</v>
      </c>
      <c r="L163" t="s">
        <v>30</v>
      </c>
      <c r="M163" t="s">
        <v>31</v>
      </c>
      <c r="N163" t="s">
        <v>32</v>
      </c>
      <c r="O163">
        <v>5</v>
      </c>
      <c r="P163">
        <v>7</v>
      </c>
      <c r="Q163" t="s">
        <v>29</v>
      </c>
      <c r="R163" t="s">
        <v>34</v>
      </c>
      <c r="S163" s="3">
        <v>22.98</v>
      </c>
      <c r="T163" t="s">
        <v>43</v>
      </c>
      <c r="U163" t="s">
        <v>63</v>
      </c>
      <c r="V163" t="str">
        <f t="shared" si="8"/>
        <v>2026-01</v>
      </c>
      <c r="W163" t="str">
        <f t="shared" si="9"/>
        <v>4-7 days</v>
      </c>
      <c r="X163" t="str">
        <f t="shared" si="10"/>
        <v>Refund Issued</v>
      </c>
      <c r="Y163" t="str">
        <f t="shared" si="11"/>
        <v>High</v>
      </c>
    </row>
    <row r="164" spans="1:25" ht="27.6">
      <c r="A164" t="s">
        <v>616</v>
      </c>
      <c r="B164" t="s">
        <v>617</v>
      </c>
      <c r="C164" t="s">
        <v>618</v>
      </c>
      <c r="D164" s="2">
        <v>46073</v>
      </c>
      <c r="E164" t="s">
        <v>47</v>
      </c>
      <c r="F164" t="s">
        <v>82</v>
      </c>
      <c r="G164" s="3">
        <v>13.58</v>
      </c>
      <c r="H164" t="s">
        <v>49</v>
      </c>
      <c r="I164" t="s">
        <v>27</v>
      </c>
      <c r="J164" s="4" t="s">
        <v>619</v>
      </c>
      <c r="K164" t="s">
        <v>29</v>
      </c>
      <c r="L164" t="s">
        <v>30</v>
      </c>
      <c r="M164" t="s">
        <v>31</v>
      </c>
      <c r="N164" t="s">
        <v>32</v>
      </c>
      <c r="O164">
        <v>7</v>
      </c>
      <c r="P164">
        <v>7</v>
      </c>
      <c r="Q164" t="s">
        <v>33</v>
      </c>
      <c r="R164" t="s">
        <v>85</v>
      </c>
      <c r="S164" s="3">
        <v>10.19</v>
      </c>
      <c r="T164" t="s">
        <v>62</v>
      </c>
      <c r="U164" t="s">
        <v>36</v>
      </c>
      <c r="V164" t="str">
        <f t="shared" si="8"/>
        <v>2026-02</v>
      </c>
      <c r="W164" t="str">
        <f t="shared" si="9"/>
        <v>4-7 days</v>
      </c>
      <c r="X164" t="str">
        <f t="shared" si="10"/>
        <v>Refund Issued</v>
      </c>
      <c r="Y164" t="str">
        <f t="shared" si="11"/>
        <v>High</v>
      </c>
    </row>
    <row r="165" spans="1:25" ht="27.6">
      <c r="A165" t="s">
        <v>620</v>
      </c>
      <c r="B165" t="s">
        <v>621</v>
      </c>
      <c r="C165" t="s">
        <v>622</v>
      </c>
      <c r="D165" s="2">
        <v>46052</v>
      </c>
      <c r="E165" t="s">
        <v>24</v>
      </c>
      <c r="F165" t="s">
        <v>57</v>
      </c>
      <c r="G165" s="3">
        <v>101.37</v>
      </c>
      <c r="H165" t="s">
        <v>58</v>
      </c>
      <c r="I165" t="s">
        <v>67</v>
      </c>
      <c r="J165" s="4" t="s">
        <v>59</v>
      </c>
      <c r="K165" t="s">
        <v>33</v>
      </c>
      <c r="L165" t="s">
        <v>60</v>
      </c>
      <c r="M165" t="s">
        <v>31</v>
      </c>
      <c r="N165" t="s">
        <v>32</v>
      </c>
      <c r="O165">
        <v>10</v>
      </c>
      <c r="P165">
        <v>16</v>
      </c>
      <c r="Q165" t="s">
        <v>29</v>
      </c>
      <c r="R165" t="s">
        <v>61</v>
      </c>
      <c r="S165" s="3">
        <v>50.69</v>
      </c>
      <c r="T165" t="s">
        <v>62</v>
      </c>
      <c r="U165" t="s">
        <v>63</v>
      </c>
      <c r="V165" t="str">
        <f t="shared" si="8"/>
        <v>2026-01</v>
      </c>
      <c r="W165" t="str">
        <f t="shared" si="9"/>
        <v>15+ days</v>
      </c>
      <c r="X165" t="str">
        <f t="shared" si="10"/>
        <v>Refund Issued</v>
      </c>
      <c r="Y165" t="str">
        <f t="shared" si="11"/>
        <v>Low</v>
      </c>
    </row>
    <row r="166" spans="1:25" ht="27.6">
      <c r="A166" t="s">
        <v>623</v>
      </c>
      <c r="B166" t="s">
        <v>624</v>
      </c>
      <c r="C166" t="s">
        <v>625</v>
      </c>
      <c r="D166" s="2">
        <v>46069</v>
      </c>
      <c r="E166" t="s">
        <v>24</v>
      </c>
      <c r="F166" t="s">
        <v>25</v>
      </c>
      <c r="G166" s="3">
        <v>27.03</v>
      </c>
      <c r="H166" t="s">
        <v>89</v>
      </c>
      <c r="I166" t="s">
        <v>27</v>
      </c>
      <c r="J166" s="4" t="s">
        <v>42</v>
      </c>
      <c r="K166" t="s">
        <v>29</v>
      </c>
      <c r="L166" t="s">
        <v>30</v>
      </c>
      <c r="M166" t="s">
        <v>31</v>
      </c>
      <c r="N166" t="s">
        <v>84</v>
      </c>
      <c r="O166">
        <v>5</v>
      </c>
      <c r="P166">
        <v>1</v>
      </c>
      <c r="Q166" t="s">
        <v>33</v>
      </c>
      <c r="R166" t="s">
        <v>34</v>
      </c>
      <c r="S166" s="3">
        <v>0</v>
      </c>
      <c r="T166" t="s">
        <v>35</v>
      </c>
      <c r="U166" t="s">
        <v>53</v>
      </c>
      <c r="V166" t="str">
        <f t="shared" si="8"/>
        <v>2026-02</v>
      </c>
      <c r="W166" t="str">
        <f t="shared" si="9"/>
        <v>0-3 days</v>
      </c>
      <c r="X166" t="str">
        <f t="shared" si="10"/>
        <v>No Refund</v>
      </c>
      <c r="Y166" t="str">
        <f t="shared" si="11"/>
        <v>High</v>
      </c>
    </row>
    <row r="167" spans="1:25" ht="27.6">
      <c r="A167" t="s">
        <v>626</v>
      </c>
      <c r="B167" t="s">
        <v>627</v>
      </c>
      <c r="C167" t="s">
        <v>628</v>
      </c>
      <c r="D167" s="2">
        <v>46070</v>
      </c>
      <c r="E167" t="s">
        <v>24</v>
      </c>
      <c r="F167" t="s">
        <v>82</v>
      </c>
      <c r="G167" s="3">
        <v>14.65</v>
      </c>
      <c r="H167" t="s">
        <v>26</v>
      </c>
      <c r="I167" t="s">
        <v>50</v>
      </c>
      <c r="J167" s="4" t="s">
        <v>629</v>
      </c>
      <c r="K167" t="s">
        <v>33</v>
      </c>
      <c r="L167" t="s">
        <v>30</v>
      </c>
      <c r="M167" t="s">
        <v>31</v>
      </c>
      <c r="N167" t="s">
        <v>126</v>
      </c>
      <c r="O167">
        <v>7</v>
      </c>
      <c r="P167">
        <v>4</v>
      </c>
      <c r="Q167" t="s">
        <v>33</v>
      </c>
      <c r="R167" t="s">
        <v>85</v>
      </c>
      <c r="S167" s="3">
        <v>0</v>
      </c>
      <c r="T167" t="s">
        <v>69</v>
      </c>
      <c r="U167" t="s">
        <v>36</v>
      </c>
      <c r="V167" t="str">
        <f t="shared" si="8"/>
        <v>2026-02</v>
      </c>
      <c r="W167" t="str">
        <f t="shared" si="9"/>
        <v>4-7 days</v>
      </c>
      <c r="X167" t="str">
        <f t="shared" si="10"/>
        <v>No Refund</v>
      </c>
      <c r="Y167" t="str">
        <f t="shared" si="11"/>
        <v>High</v>
      </c>
    </row>
    <row r="168" spans="1:25" ht="27.6">
      <c r="A168" t="s">
        <v>630</v>
      </c>
      <c r="B168" t="s">
        <v>631</v>
      </c>
      <c r="C168" t="s">
        <v>632</v>
      </c>
      <c r="D168" s="2">
        <v>46136</v>
      </c>
      <c r="E168" t="s">
        <v>47</v>
      </c>
      <c r="F168" t="s">
        <v>25</v>
      </c>
      <c r="G168" s="3">
        <v>26.63</v>
      </c>
      <c r="H168" t="s">
        <v>89</v>
      </c>
      <c r="I168" t="s">
        <v>27</v>
      </c>
      <c r="J168" s="4" t="s">
        <v>42</v>
      </c>
      <c r="K168" t="s">
        <v>33</v>
      </c>
      <c r="L168" t="s">
        <v>30</v>
      </c>
      <c r="M168" t="s">
        <v>31</v>
      </c>
      <c r="N168" t="s">
        <v>32</v>
      </c>
      <c r="O168">
        <v>5</v>
      </c>
      <c r="P168">
        <v>8</v>
      </c>
      <c r="Q168" t="s">
        <v>29</v>
      </c>
      <c r="R168" t="s">
        <v>34</v>
      </c>
      <c r="S168" s="3">
        <v>13.31</v>
      </c>
      <c r="T168" t="s">
        <v>35</v>
      </c>
      <c r="U168" t="s">
        <v>63</v>
      </c>
      <c r="V168" t="str">
        <f t="shared" si="8"/>
        <v>2026-04</v>
      </c>
      <c r="W168" t="str">
        <f t="shared" si="9"/>
        <v>8-14 days</v>
      </c>
      <c r="X168" t="str">
        <f t="shared" si="10"/>
        <v>Refund Issued</v>
      </c>
      <c r="Y168" t="str">
        <f t="shared" si="11"/>
        <v>High</v>
      </c>
    </row>
    <row r="169" spans="1:25" ht="27.6">
      <c r="A169" t="s">
        <v>633</v>
      </c>
      <c r="B169" t="s">
        <v>634</v>
      </c>
      <c r="C169" t="s">
        <v>635</v>
      </c>
      <c r="D169" s="2">
        <v>46116</v>
      </c>
      <c r="E169" t="s">
        <v>47</v>
      </c>
      <c r="F169" t="s">
        <v>57</v>
      </c>
      <c r="G169" s="3">
        <v>79.73</v>
      </c>
      <c r="H169" t="s">
        <v>74</v>
      </c>
      <c r="I169" t="s">
        <v>67</v>
      </c>
      <c r="J169" s="4" t="s">
        <v>155</v>
      </c>
      <c r="K169" t="s">
        <v>29</v>
      </c>
      <c r="L169" t="s">
        <v>60</v>
      </c>
      <c r="M169" t="s">
        <v>31</v>
      </c>
      <c r="N169" t="s">
        <v>32</v>
      </c>
      <c r="O169">
        <v>10</v>
      </c>
      <c r="P169">
        <v>5</v>
      </c>
      <c r="Q169" t="s">
        <v>33</v>
      </c>
      <c r="R169" t="s">
        <v>61</v>
      </c>
      <c r="S169" s="3">
        <v>39.869999999999997</v>
      </c>
      <c r="T169" t="s">
        <v>62</v>
      </c>
      <c r="U169" t="s">
        <v>63</v>
      </c>
      <c r="V169" t="str">
        <f t="shared" si="8"/>
        <v>2026-04</v>
      </c>
      <c r="W169" t="str">
        <f t="shared" si="9"/>
        <v>4-7 days</v>
      </c>
      <c r="X169" t="str">
        <f t="shared" si="10"/>
        <v>Refund Issued</v>
      </c>
      <c r="Y169" t="str">
        <f t="shared" si="11"/>
        <v>Low</v>
      </c>
    </row>
    <row r="170" spans="1:25" ht="27.6">
      <c r="A170" t="s">
        <v>636</v>
      </c>
      <c r="B170" t="s">
        <v>637</v>
      </c>
      <c r="C170" t="s">
        <v>638</v>
      </c>
      <c r="D170" s="2">
        <v>46045</v>
      </c>
      <c r="E170" t="s">
        <v>47</v>
      </c>
      <c r="F170" t="s">
        <v>48</v>
      </c>
      <c r="G170" s="3">
        <v>68.489999999999995</v>
      </c>
      <c r="H170" t="s">
        <v>49</v>
      </c>
      <c r="I170" t="s">
        <v>50</v>
      </c>
      <c r="J170" s="4" t="s">
        <v>51</v>
      </c>
      <c r="K170" t="s">
        <v>29</v>
      </c>
      <c r="L170" t="s">
        <v>30</v>
      </c>
      <c r="M170" t="s">
        <v>31</v>
      </c>
      <c r="N170" t="s">
        <v>32</v>
      </c>
      <c r="O170">
        <v>10</v>
      </c>
      <c r="P170">
        <v>3</v>
      </c>
      <c r="Q170" t="s">
        <v>33</v>
      </c>
      <c r="R170" t="s">
        <v>34</v>
      </c>
      <c r="S170" s="3">
        <v>0</v>
      </c>
      <c r="T170" t="s">
        <v>62</v>
      </c>
      <c r="U170" t="s">
        <v>53</v>
      </c>
      <c r="V170" t="str">
        <f t="shared" si="8"/>
        <v>2026-01</v>
      </c>
      <c r="W170" t="str">
        <f t="shared" si="9"/>
        <v>0-3 days</v>
      </c>
      <c r="X170" t="str">
        <f t="shared" si="10"/>
        <v>No Refund</v>
      </c>
      <c r="Y170" t="str">
        <f t="shared" si="11"/>
        <v>Low</v>
      </c>
    </row>
    <row r="171" spans="1:25" ht="27.6">
      <c r="A171" t="s">
        <v>639</v>
      </c>
      <c r="B171" t="s">
        <v>640</v>
      </c>
      <c r="C171" t="s">
        <v>641</v>
      </c>
      <c r="D171" s="2">
        <v>46094</v>
      </c>
      <c r="E171" t="s">
        <v>47</v>
      </c>
      <c r="F171" t="s">
        <v>25</v>
      </c>
      <c r="G171" s="3">
        <v>108.57</v>
      </c>
      <c r="H171" t="s">
        <v>89</v>
      </c>
      <c r="I171" t="s">
        <v>27</v>
      </c>
      <c r="J171" s="4" t="s">
        <v>42</v>
      </c>
      <c r="K171" t="s">
        <v>33</v>
      </c>
      <c r="L171" t="s">
        <v>30</v>
      </c>
      <c r="M171" t="s">
        <v>31</v>
      </c>
      <c r="N171" t="s">
        <v>84</v>
      </c>
      <c r="O171">
        <v>5</v>
      </c>
      <c r="P171">
        <v>6</v>
      </c>
      <c r="Q171" t="s">
        <v>29</v>
      </c>
      <c r="R171" t="s">
        <v>34</v>
      </c>
      <c r="S171" s="3">
        <v>0</v>
      </c>
      <c r="T171" t="s">
        <v>35</v>
      </c>
      <c r="U171" t="s">
        <v>63</v>
      </c>
      <c r="V171" t="str">
        <f t="shared" si="8"/>
        <v>2026-03</v>
      </c>
      <c r="W171" t="str">
        <f t="shared" si="9"/>
        <v>4-7 days</v>
      </c>
      <c r="X171" t="str">
        <f t="shared" si="10"/>
        <v>No Refund</v>
      </c>
      <c r="Y171" t="str">
        <f t="shared" si="11"/>
        <v>High</v>
      </c>
    </row>
    <row r="172" spans="1:25" ht="27.6">
      <c r="A172" t="s">
        <v>642</v>
      </c>
      <c r="B172" t="s">
        <v>643</v>
      </c>
      <c r="C172" t="s">
        <v>644</v>
      </c>
      <c r="D172" s="2">
        <v>46055</v>
      </c>
      <c r="E172" t="s">
        <v>40</v>
      </c>
      <c r="F172" t="s">
        <v>25</v>
      </c>
      <c r="G172" s="3">
        <v>18.899999999999999</v>
      </c>
      <c r="H172" t="s">
        <v>74</v>
      </c>
      <c r="I172" t="s">
        <v>50</v>
      </c>
      <c r="J172" s="4" t="s">
        <v>42</v>
      </c>
      <c r="K172" t="s">
        <v>29</v>
      </c>
      <c r="L172" t="s">
        <v>30</v>
      </c>
      <c r="M172" t="s">
        <v>96</v>
      </c>
      <c r="N172" t="s">
        <v>32</v>
      </c>
      <c r="O172">
        <v>5</v>
      </c>
      <c r="P172">
        <v>8</v>
      </c>
      <c r="Q172" t="s">
        <v>29</v>
      </c>
      <c r="R172" t="s">
        <v>34</v>
      </c>
      <c r="S172" s="3">
        <v>18.899999999999999</v>
      </c>
      <c r="T172" t="s">
        <v>43</v>
      </c>
      <c r="U172" t="s">
        <v>63</v>
      </c>
      <c r="V172" t="str">
        <f t="shared" si="8"/>
        <v>2026-02</v>
      </c>
      <c r="W172" t="str">
        <f t="shared" si="9"/>
        <v>8-14 days</v>
      </c>
      <c r="X172" t="str">
        <f t="shared" si="10"/>
        <v>Refund Issued</v>
      </c>
      <c r="Y172" t="str">
        <f t="shared" si="11"/>
        <v>High</v>
      </c>
    </row>
    <row r="173" spans="1:25" ht="27.6">
      <c r="A173" t="s">
        <v>645</v>
      </c>
      <c r="B173" t="s">
        <v>646</v>
      </c>
      <c r="C173" t="s">
        <v>647</v>
      </c>
      <c r="D173" s="2">
        <v>46046</v>
      </c>
      <c r="E173" t="s">
        <v>24</v>
      </c>
      <c r="F173" t="s">
        <v>103</v>
      </c>
      <c r="G173" s="3">
        <v>409.21</v>
      </c>
      <c r="H173" t="s">
        <v>108</v>
      </c>
      <c r="I173" t="s">
        <v>67</v>
      </c>
      <c r="J173" s="4" t="s">
        <v>134</v>
      </c>
      <c r="K173" t="s">
        <v>33</v>
      </c>
      <c r="L173" t="s">
        <v>30</v>
      </c>
      <c r="M173" t="s">
        <v>31</v>
      </c>
      <c r="N173" t="s">
        <v>126</v>
      </c>
      <c r="O173">
        <v>5</v>
      </c>
      <c r="P173">
        <v>9</v>
      </c>
      <c r="Q173" t="s">
        <v>29</v>
      </c>
      <c r="R173" t="s">
        <v>34</v>
      </c>
      <c r="S173" s="3">
        <v>0</v>
      </c>
      <c r="T173" t="s">
        <v>35</v>
      </c>
      <c r="U173" t="s">
        <v>63</v>
      </c>
      <c r="V173" t="str">
        <f t="shared" si="8"/>
        <v>2026-01</v>
      </c>
      <c r="W173" t="str">
        <f t="shared" si="9"/>
        <v>8-14 days</v>
      </c>
      <c r="X173" t="str">
        <f t="shared" si="10"/>
        <v>No Refund</v>
      </c>
      <c r="Y173" t="str">
        <f t="shared" si="11"/>
        <v>Medium</v>
      </c>
    </row>
    <row r="174" spans="1:25" ht="27.6">
      <c r="A174" t="s">
        <v>648</v>
      </c>
      <c r="B174" t="s">
        <v>649</v>
      </c>
      <c r="C174" t="s">
        <v>650</v>
      </c>
      <c r="D174" s="2">
        <v>46114</v>
      </c>
      <c r="E174" t="s">
        <v>94</v>
      </c>
      <c r="F174" t="s">
        <v>57</v>
      </c>
      <c r="G174" s="3">
        <v>103.28</v>
      </c>
      <c r="H174" t="s">
        <v>41</v>
      </c>
      <c r="I174" t="s">
        <v>67</v>
      </c>
      <c r="J174" s="4" t="s">
        <v>59</v>
      </c>
      <c r="K174" t="s">
        <v>33</v>
      </c>
      <c r="L174" t="s">
        <v>60</v>
      </c>
      <c r="M174" t="s">
        <v>31</v>
      </c>
      <c r="N174" t="s">
        <v>126</v>
      </c>
      <c r="O174">
        <v>10</v>
      </c>
      <c r="P174">
        <v>15</v>
      </c>
      <c r="Q174" t="s">
        <v>29</v>
      </c>
      <c r="R174" t="s">
        <v>61</v>
      </c>
      <c r="S174" s="3">
        <v>0</v>
      </c>
      <c r="T174" t="s">
        <v>62</v>
      </c>
      <c r="U174" t="s">
        <v>63</v>
      </c>
      <c r="V174" t="str">
        <f t="shared" si="8"/>
        <v>2026-04</v>
      </c>
      <c r="W174" t="str">
        <f t="shared" si="9"/>
        <v>15+ days</v>
      </c>
      <c r="X174" t="str">
        <f t="shared" si="10"/>
        <v>No Refund</v>
      </c>
      <c r="Y174" t="str">
        <f t="shared" si="11"/>
        <v>Low</v>
      </c>
    </row>
    <row r="175" spans="1:25" ht="27.6">
      <c r="A175" t="s">
        <v>651</v>
      </c>
      <c r="B175" t="s">
        <v>652</v>
      </c>
      <c r="C175" t="s">
        <v>653</v>
      </c>
      <c r="D175" s="2">
        <v>46140</v>
      </c>
      <c r="E175" t="s">
        <v>24</v>
      </c>
      <c r="F175" t="s">
        <v>48</v>
      </c>
      <c r="G175" s="3">
        <v>16.16</v>
      </c>
      <c r="H175" t="s">
        <v>108</v>
      </c>
      <c r="I175" t="s">
        <v>27</v>
      </c>
      <c r="J175" s="4" t="s">
        <v>51</v>
      </c>
      <c r="K175" t="s">
        <v>29</v>
      </c>
      <c r="L175" t="s">
        <v>30</v>
      </c>
      <c r="M175" t="s">
        <v>31</v>
      </c>
      <c r="N175" t="s">
        <v>90</v>
      </c>
      <c r="O175">
        <v>10</v>
      </c>
      <c r="P175">
        <v>10</v>
      </c>
      <c r="Q175" t="s">
        <v>33</v>
      </c>
      <c r="R175" t="s">
        <v>34</v>
      </c>
      <c r="S175" s="3">
        <v>0</v>
      </c>
      <c r="T175" t="s">
        <v>69</v>
      </c>
      <c r="U175" t="s">
        <v>63</v>
      </c>
      <c r="V175" t="str">
        <f t="shared" si="8"/>
        <v>2026-04</v>
      </c>
      <c r="W175" t="str">
        <f t="shared" si="9"/>
        <v>8-14 days</v>
      </c>
      <c r="X175" t="str">
        <f t="shared" si="10"/>
        <v>No Refund</v>
      </c>
      <c r="Y175" t="str">
        <f t="shared" si="11"/>
        <v>Low</v>
      </c>
    </row>
    <row r="176" spans="1:25" ht="27.6">
      <c r="A176" t="s">
        <v>654</v>
      </c>
      <c r="B176" t="s">
        <v>655</v>
      </c>
      <c r="C176" t="s">
        <v>656</v>
      </c>
      <c r="D176" s="2">
        <v>46115</v>
      </c>
      <c r="E176" t="s">
        <v>24</v>
      </c>
      <c r="F176" t="s">
        <v>82</v>
      </c>
      <c r="G176" s="3">
        <v>81.91</v>
      </c>
      <c r="H176" t="s">
        <v>108</v>
      </c>
      <c r="I176" t="s">
        <v>50</v>
      </c>
      <c r="J176" s="4" t="s">
        <v>114</v>
      </c>
      <c r="K176" t="s">
        <v>33</v>
      </c>
      <c r="L176" t="s">
        <v>30</v>
      </c>
      <c r="M176" t="s">
        <v>31</v>
      </c>
      <c r="N176" t="s">
        <v>32</v>
      </c>
      <c r="O176">
        <v>7</v>
      </c>
      <c r="P176">
        <v>7</v>
      </c>
      <c r="Q176" t="s">
        <v>33</v>
      </c>
      <c r="R176" t="s">
        <v>85</v>
      </c>
      <c r="S176" s="3">
        <v>40.950000000000003</v>
      </c>
      <c r="T176" t="s">
        <v>43</v>
      </c>
      <c r="U176" t="s">
        <v>53</v>
      </c>
      <c r="V176" t="str">
        <f t="shared" si="8"/>
        <v>2026-04</v>
      </c>
      <c r="W176" t="str">
        <f t="shared" si="9"/>
        <v>4-7 days</v>
      </c>
      <c r="X176" t="str">
        <f t="shared" si="10"/>
        <v>Refund Issued</v>
      </c>
      <c r="Y176" t="str">
        <f t="shared" si="11"/>
        <v>High</v>
      </c>
    </row>
    <row r="177" spans="1:25" ht="27.6">
      <c r="A177" t="s">
        <v>657</v>
      </c>
      <c r="B177" t="s">
        <v>658</v>
      </c>
      <c r="C177" t="s">
        <v>659</v>
      </c>
      <c r="D177" s="2">
        <v>46136</v>
      </c>
      <c r="E177" t="s">
        <v>24</v>
      </c>
      <c r="F177" t="s">
        <v>103</v>
      </c>
      <c r="G177" s="3">
        <v>35.5</v>
      </c>
      <c r="H177" t="s">
        <v>26</v>
      </c>
      <c r="I177" t="s">
        <v>27</v>
      </c>
      <c r="J177" s="4" t="s">
        <v>134</v>
      </c>
      <c r="K177" t="s">
        <v>29</v>
      </c>
      <c r="L177" t="s">
        <v>30</v>
      </c>
      <c r="M177" t="s">
        <v>31</v>
      </c>
      <c r="N177" t="s">
        <v>32</v>
      </c>
      <c r="O177">
        <v>5</v>
      </c>
      <c r="P177">
        <v>6</v>
      </c>
      <c r="Q177" t="s">
        <v>29</v>
      </c>
      <c r="R177" t="s">
        <v>34</v>
      </c>
      <c r="S177" s="3">
        <v>26.62</v>
      </c>
      <c r="T177" t="s">
        <v>35</v>
      </c>
      <c r="U177" t="s">
        <v>63</v>
      </c>
      <c r="V177" t="str">
        <f t="shared" si="8"/>
        <v>2026-04</v>
      </c>
      <c r="W177" t="str">
        <f t="shared" si="9"/>
        <v>4-7 days</v>
      </c>
      <c r="X177" t="str">
        <f t="shared" si="10"/>
        <v>Refund Issued</v>
      </c>
      <c r="Y177" t="str">
        <f t="shared" si="11"/>
        <v>Medium</v>
      </c>
    </row>
    <row r="178" spans="1:25" ht="27.6">
      <c r="A178" t="s">
        <v>660</v>
      </c>
      <c r="B178" t="s">
        <v>661</v>
      </c>
      <c r="C178" t="s">
        <v>662</v>
      </c>
      <c r="D178" s="2">
        <v>46057</v>
      </c>
      <c r="E178" t="s">
        <v>40</v>
      </c>
      <c r="F178" t="s">
        <v>103</v>
      </c>
      <c r="G178" s="3">
        <v>9.57</v>
      </c>
      <c r="H178" t="s">
        <v>89</v>
      </c>
      <c r="I178" t="s">
        <v>50</v>
      </c>
      <c r="J178" s="4" t="s">
        <v>134</v>
      </c>
      <c r="K178" t="s">
        <v>29</v>
      </c>
      <c r="L178" t="s">
        <v>30</v>
      </c>
      <c r="M178" t="s">
        <v>31</v>
      </c>
      <c r="N178" t="s">
        <v>32</v>
      </c>
      <c r="O178">
        <v>5</v>
      </c>
      <c r="P178">
        <v>4</v>
      </c>
      <c r="Q178" t="s">
        <v>33</v>
      </c>
      <c r="R178" t="s">
        <v>34</v>
      </c>
      <c r="S178" s="3">
        <v>0</v>
      </c>
      <c r="T178" t="s">
        <v>35</v>
      </c>
      <c r="U178" t="s">
        <v>53</v>
      </c>
      <c r="V178" t="str">
        <f t="shared" si="8"/>
        <v>2026-02</v>
      </c>
      <c r="W178" t="str">
        <f t="shared" si="9"/>
        <v>4-7 days</v>
      </c>
      <c r="X178" t="str">
        <f t="shared" si="10"/>
        <v>No Refund</v>
      </c>
      <c r="Y178" t="str">
        <f t="shared" si="11"/>
        <v>Medium</v>
      </c>
    </row>
    <row r="179" spans="1:25" ht="27.6">
      <c r="A179" t="s">
        <v>663</v>
      </c>
      <c r="B179" t="s">
        <v>664</v>
      </c>
      <c r="C179" t="s">
        <v>665</v>
      </c>
      <c r="D179" s="2">
        <v>46054</v>
      </c>
      <c r="E179" t="s">
        <v>47</v>
      </c>
      <c r="F179" t="s">
        <v>82</v>
      </c>
      <c r="G179" s="3">
        <v>108.36</v>
      </c>
      <c r="H179" t="s">
        <v>74</v>
      </c>
      <c r="I179" t="s">
        <v>27</v>
      </c>
      <c r="J179" s="4" t="s">
        <v>114</v>
      </c>
      <c r="K179" t="s">
        <v>29</v>
      </c>
      <c r="L179" t="s">
        <v>30</v>
      </c>
      <c r="M179" t="s">
        <v>31</v>
      </c>
      <c r="N179" t="s">
        <v>32</v>
      </c>
      <c r="O179">
        <v>7</v>
      </c>
      <c r="P179">
        <v>4</v>
      </c>
      <c r="Q179" t="s">
        <v>33</v>
      </c>
      <c r="R179" t="s">
        <v>85</v>
      </c>
      <c r="S179" s="3">
        <v>0</v>
      </c>
      <c r="T179" t="s">
        <v>43</v>
      </c>
      <c r="U179" t="s">
        <v>36</v>
      </c>
      <c r="V179" t="str">
        <f t="shared" si="8"/>
        <v>2026-02</v>
      </c>
      <c r="W179" t="str">
        <f t="shared" si="9"/>
        <v>4-7 days</v>
      </c>
      <c r="X179" t="str">
        <f t="shared" si="10"/>
        <v>No Refund</v>
      </c>
      <c r="Y179" t="str">
        <f t="shared" si="11"/>
        <v>High</v>
      </c>
    </row>
    <row r="180" spans="1:25" ht="27.6">
      <c r="A180" t="s">
        <v>666</v>
      </c>
      <c r="B180" t="s">
        <v>667</v>
      </c>
      <c r="C180" t="s">
        <v>668</v>
      </c>
      <c r="D180" s="2">
        <v>46155</v>
      </c>
      <c r="E180" t="s">
        <v>47</v>
      </c>
      <c r="F180" t="s">
        <v>25</v>
      </c>
      <c r="G180" s="3">
        <v>25.89</v>
      </c>
      <c r="H180" t="s">
        <v>49</v>
      </c>
      <c r="I180" t="s">
        <v>67</v>
      </c>
      <c r="J180" s="4" t="s">
        <v>42</v>
      </c>
      <c r="K180" t="s">
        <v>33</v>
      </c>
      <c r="L180" t="s">
        <v>30</v>
      </c>
      <c r="M180" t="s">
        <v>31</v>
      </c>
      <c r="N180" t="s">
        <v>32</v>
      </c>
      <c r="O180">
        <v>5</v>
      </c>
      <c r="P180">
        <v>7</v>
      </c>
      <c r="Q180" t="s">
        <v>29</v>
      </c>
      <c r="R180" t="s">
        <v>34</v>
      </c>
      <c r="S180" s="3">
        <v>12.95</v>
      </c>
      <c r="T180" t="s">
        <v>43</v>
      </c>
      <c r="U180" t="s">
        <v>63</v>
      </c>
      <c r="V180" t="str">
        <f t="shared" si="8"/>
        <v>2026-05</v>
      </c>
      <c r="W180" t="str">
        <f t="shared" si="9"/>
        <v>4-7 days</v>
      </c>
      <c r="X180" t="str">
        <f t="shared" si="10"/>
        <v>Refund Issued</v>
      </c>
      <c r="Y180" t="str">
        <f t="shared" si="11"/>
        <v>High</v>
      </c>
    </row>
    <row r="181" spans="1:25" ht="27.6">
      <c r="A181" t="s">
        <v>669</v>
      </c>
      <c r="B181" t="s">
        <v>670</v>
      </c>
      <c r="C181" t="s">
        <v>671</v>
      </c>
      <c r="D181" s="2">
        <v>46122</v>
      </c>
      <c r="E181" t="s">
        <v>94</v>
      </c>
      <c r="F181" t="s">
        <v>172</v>
      </c>
      <c r="G181" s="3">
        <v>21.78</v>
      </c>
      <c r="H181" t="s">
        <v>49</v>
      </c>
      <c r="I181" t="s">
        <v>27</v>
      </c>
      <c r="J181" s="4" t="s">
        <v>173</v>
      </c>
      <c r="K181" t="s">
        <v>33</v>
      </c>
      <c r="L181" t="s">
        <v>30</v>
      </c>
      <c r="M181" t="s">
        <v>31</v>
      </c>
      <c r="N181" t="s">
        <v>32</v>
      </c>
      <c r="O181">
        <v>7</v>
      </c>
      <c r="P181">
        <v>12</v>
      </c>
      <c r="Q181" t="s">
        <v>29</v>
      </c>
      <c r="R181" t="s">
        <v>174</v>
      </c>
      <c r="S181" s="3">
        <v>16.34</v>
      </c>
      <c r="T181" t="s">
        <v>69</v>
      </c>
      <c r="U181" t="s">
        <v>63</v>
      </c>
      <c r="V181" t="str">
        <f t="shared" si="8"/>
        <v>2026-04</v>
      </c>
      <c r="W181" t="str">
        <f t="shared" si="9"/>
        <v>8-14 days</v>
      </c>
      <c r="X181" t="str">
        <f t="shared" si="10"/>
        <v>Refund Issued</v>
      </c>
      <c r="Y181" t="str">
        <f t="shared" si="11"/>
        <v>Medium</v>
      </c>
    </row>
    <row r="182" spans="1:25" ht="27.6">
      <c r="A182" t="s">
        <v>672</v>
      </c>
      <c r="B182" t="s">
        <v>673</v>
      </c>
      <c r="C182" t="s">
        <v>674</v>
      </c>
      <c r="D182" s="2">
        <v>46124</v>
      </c>
      <c r="E182" t="s">
        <v>47</v>
      </c>
      <c r="F182" t="s">
        <v>172</v>
      </c>
      <c r="G182" s="3">
        <v>40.549999999999997</v>
      </c>
      <c r="H182" t="s">
        <v>58</v>
      </c>
      <c r="I182" t="s">
        <v>27</v>
      </c>
      <c r="J182" s="4" t="s">
        <v>285</v>
      </c>
      <c r="K182" t="s">
        <v>29</v>
      </c>
      <c r="L182" t="s">
        <v>30</v>
      </c>
      <c r="M182" t="s">
        <v>31</v>
      </c>
      <c r="N182" t="s">
        <v>32</v>
      </c>
      <c r="O182">
        <v>7</v>
      </c>
      <c r="P182">
        <v>6</v>
      </c>
      <c r="Q182" t="s">
        <v>33</v>
      </c>
      <c r="R182" t="s">
        <v>174</v>
      </c>
      <c r="S182" s="3">
        <v>20.27</v>
      </c>
      <c r="T182" t="s">
        <v>110</v>
      </c>
      <c r="U182" t="s">
        <v>53</v>
      </c>
      <c r="V182" t="str">
        <f t="shared" si="8"/>
        <v>2026-04</v>
      </c>
      <c r="W182" t="str">
        <f t="shared" si="9"/>
        <v>4-7 days</v>
      </c>
      <c r="X182" t="str">
        <f t="shared" si="10"/>
        <v>Refund Issued</v>
      </c>
      <c r="Y182" t="str">
        <f t="shared" si="11"/>
        <v>Medium</v>
      </c>
    </row>
    <row r="183" spans="1:25" ht="27.6">
      <c r="A183" t="s">
        <v>675</v>
      </c>
      <c r="B183" t="s">
        <v>676</v>
      </c>
      <c r="C183" t="s">
        <v>677</v>
      </c>
      <c r="D183" s="2">
        <v>46039</v>
      </c>
      <c r="E183" t="s">
        <v>24</v>
      </c>
      <c r="F183" t="s">
        <v>82</v>
      </c>
      <c r="G183" s="3">
        <v>96.39</v>
      </c>
      <c r="H183" t="s">
        <v>74</v>
      </c>
      <c r="I183" t="s">
        <v>27</v>
      </c>
      <c r="J183" s="4" t="s">
        <v>114</v>
      </c>
      <c r="K183" t="s">
        <v>29</v>
      </c>
      <c r="L183" t="s">
        <v>30</v>
      </c>
      <c r="M183" t="s">
        <v>31</v>
      </c>
      <c r="N183" t="s">
        <v>32</v>
      </c>
      <c r="O183">
        <v>7</v>
      </c>
      <c r="P183">
        <v>4</v>
      </c>
      <c r="Q183" t="s">
        <v>33</v>
      </c>
      <c r="R183" t="s">
        <v>85</v>
      </c>
      <c r="S183" s="3">
        <v>96.39</v>
      </c>
      <c r="T183" t="s">
        <v>69</v>
      </c>
      <c r="U183" t="s">
        <v>53</v>
      </c>
      <c r="V183" t="str">
        <f t="shared" si="8"/>
        <v>2026-01</v>
      </c>
      <c r="W183" t="str">
        <f t="shared" si="9"/>
        <v>4-7 days</v>
      </c>
      <c r="X183" t="str">
        <f t="shared" si="10"/>
        <v>Refund Issued</v>
      </c>
      <c r="Y183" t="str">
        <f t="shared" si="11"/>
        <v>High</v>
      </c>
    </row>
    <row r="184" spans="1:25" ht="27.6">
      <c r="A184" t="s">
        <v>678</v>
      </c>
      <c r="B184" t="s">
        <v>679</v>
      </c>
      <c r="C184" t="s">
        <v>680</v>
      </c>
      <c r="D184" s="2">
        <v>46058</v>
      </c>
      <c r="E184" t="s">
        <v>40</v>
      </c>
      <c r="F184" t="s">
        <v>25</v>
      </c>
      <c r="G184" s="3">
        <v>161.56</v>
      </c>
      <c r="H184" t="s">
        <v>49</v>
      </c>
      <c r="I184" t="s">
        <v>67</v>
      </c>
      <c r="J184" s="4" t="s">
        <v>681</v>
      </c>
      <c r="K184" t="s">
        <v>29</v>
      </c>
      <c r="L184" t="s">
        <v>30</v>
      </c>
      <c r="M184" t="s">
        <v>31</v>
      </c>
      <c r="N184" t="s">
        <v>32</v>
      </c>
      <c r="O184">
        <v>5</v>
      </c>
      <c r="P184">
        <v>9</v>
      </c>
      <c r="Q184" t="s">
        <v>29</v>
      </c>
      <c r="R184" t="s">
        <v>34</v>
      </c>
      <c r="S184" s="3">
        <v>0</v>
      </c>
      <c r="T184" t="s">
        <v>43</v>
      </c>
      <c r="U184" t="s">
        <v>63</v>
      </c>
      <c r="V184" t="str">
        <f t="shared" si="8"/>
        <v>2026-02</v>
      </c>
      <c r="W184" t="str">
        <f t="shared" si="9"/>
        <v>8-14 days</v>
      </c>
      <c r="X184" t="str">
        <f t="shared" si="10"/>
        <v>No Refund</v>
      </c>
      <c r="Y184" t="str">
        <f t="shared" si="11"/>
        <v>High</v>
      </c>
    </row>
    <row r="185" spans="1:25" ht="27.6">
      <c r="A185" t="s">
        <v>682</v>
      </c>
      <c r="B185" t="s">
        <v>683</v>
      </c>
      <c r="C185" t="s">
        <v>684</v>
      </c>
      <c r="D185" s="2">
        <v>46132</v>
      </c>
      <c r="E185" t="s">
        <v>24</v>
      </c>
      <c r="F185" t="s">
        <v>25</v>
      </c>
      <c r="G185" s="3">
        <v>84.04</v>
      </c>
      <c r="H185" t="s">
        <v>26</v>
      </c>
      <c r="I185" t="s">
        <v>50</v>
      </c>
      <c r="J185" s="4" t="s">
        <v>685</v>
      </c>
      <c r="K185" t="s">
        <v>29</v>
      </c>
      <c r="L185" t="s">
        <v>30</v>
      </c>
      <c r="M185" t="s">
        <v>96</v>
      </c>
      <c r="N185" t="s">
        <v>32</v>
      </c>
      <c r="O185">
        <v>5</v>
      </c>
      <c r="P185">
        <v>9</v>
      </c>
      <c r="Q185" t="s">
        <v>29</v>
      </c>
      <c r="R185" t="s">
        <v>34</v>
      </c>
      <c r="S185" s="3">
        <v>84.04</v>
      </c>
      <c r="T185" t="s">
        <v>110</v>
      </c>
      <c r="U185" t="s">
        <v>63</v>
      </c>
      <c r="V185" t="str">
        <f t="shared" si="8"/>
        <v>2026-04</v>
      </c>
      <c r="W185" t="str">
        <f t="shared" si="9"/>
        <v>8-14 days</v>
      </c>
      <c r="X185" t="str">
        <f t="shared" si="10"/>
        <v>Refund Issued</v>
      </c>
      <c r="Y185" t="str">
        <f t="shared" si="11"/>
        <v>High</v>
      </c>
    </row>
    <row r="186" spans="1:25" ht="27.6">
      <c r="A186" t="s">
        <v>686</v>
      </c>
      <c r="B186" t="s">
        <v>687</v>
      </c>
      <c r="C186" t="s">
        <v>688</v>
      </c>
      <c r="D186" s="2">
        <v>46088</v>
      </c>
      <c r="E186" t="s">
        <v>40</v>
      </c>
      <c r="F186" t="s">
        <v>73</v>
      </c>
      <c r="G186" s="3">
        <v>53.89</v>
      </c>
      <c r="H186" t="s">
        <v>58</v>
      </c>
      <c r="I186" t="s">
        <v>50</v>
      </c>
      <c r="J186" s="4" t="s">
        <v>389</v>
      </c>
      <c r="K186" t="s">
        <v>29</v>
      </c>
      <c r="L186" t="s">
        <v>60</v>
      </c>
      <c r="M186" t="s">
        <v>31</v>
      </c>
      <c r="N186" t="s">
        <v>32</v>
      </c>
      <c r="O186">
        <v>10</v>
      </c>
      <c r="P186">
        <v>11</v>
      </c>
      <c r="Q186" t="s">
        <v>29</v>
      </c>
      <c r="R186" t="s">
        <v>61</v>
      </c>
      <c r="S186" s="3">
        <v>26.95</v>
      </c>
      <c r="T186" t="s">
        <v>156</v>
      </c>
      <c r="U186" t="s">
        <v>63</v>
      </c>
      <c r="V186" t="str">
        <f t="shared" si="8"/>
        <v>2026-03</v>
      </c>
      <c r="W186" t="str">
        <f t="shared" si="9"/>
        <v>8-14 days</v>
      </c>
      <c r="X186" t="str">
        <f t="shared" si="10"/>
        <v>Refund Issued</v>
      </c>
      <c r="Y186" t="str">
        <f t="shared" si="11"/>
        <v>Low</v>
      </c>
    </row>
    <row r="187" spans="1:25" ht="27.6">
      <c r="A187" t="s">
        <v>689</v>
      </c>
      <c r="B187" t="s">
        <v>690</v>
      </c>
      <c r="C187" t="s">
        <v>691</v>
      </c>
      <c r="D187" s="2">
        <v>46086</v>
      </c>
      <c r="E187" t="s">
        <v>24</v>
      </c>
      <c r="F187" t="s">
        <v>103</v>
      </c>
      <c r="G187" s="3">
        <v>28.17</v>
      </c>
      <c r="H187" t="s">
        <v>41</v>
      </c>
      <c r="I187" t="s">
        <v>27</v>
      </c>
      <c r="J187" s="4" t="s">
        <v>134</v>
      </c>
      <c r="K187" t="s">
        <v>29</v>
      </c>
      <c r="L187" t="s">
        <v>30</v>
      </c>
      <c r="M187" t="s">
        <v>31</v>
      </c>
      <c r="N187" t="s">
        <v>32</v>
      </c>
      <c r="O187">
        <v>5</v>
      </c>
      <c r="P187">
        <v>9</v>
      </c>
      <c r="Q187" t="s">
        <v>29</v>
      </c>
      <c r="R187" t="s">
        <v>34</v>
      </c>
      <c r="S187" s="3">
        <v>0</v>
      </c>
      <c r="T187" t="s">
        <v>35</v>
      </c>
      <c r="U187" t="s">
        <v>63</v>
      </c>
      <c r="V187" t="str">
        <f t="shared" si="8"/>
        <v>2026-03</v>
      </c>
      <c r="W187" t="str">
        <f t="shared" si="9"/>
        <v>8-14 days</v>
      </c>
      <c r="X187" t="str">
        <f t="shared" si="10"/>
        <v>No Refund</v>
      </c>
      <c r="Y187" t="str">
        <f t="shared" si="11"/>
        <v>Medium</v>
      </c>
    </row>
    <row r="188" spans="1:25" ht="27.6">
      <c r="A188" t="s">
        <v>692</v>
      </c>
      <c r="B188" t="s">
        <v>693</v>
      </c>
      <c r="C188" t="s">
        <v>694</v>
      </c>
      <c r="D188" s="2">
        <v>46142</v>
      </c>
      <c r="E188" t="s">
        <v>94</v>
      </c>
      <c r="F188" t="s">
        <v>57</v>
      </c>
      <c r="G188" s="3">
        <v>29.9</v>
      </c>
      <c r="H188" t="s">
        <v>108</v>
      </c>
      <c r="I188" t="s">
        <v>27</v>
      </c>
      <c r="J188" s="4" t="s">
        <v>59</v>
      </c>
      <c r="K188" t="s">
        <v>29</v>
      </c>
      <c r="L188" t="s">
        <v>60</v>
      </c>
      <c r="M188" t="s">
        <v>31</v>
      </c>
      <c r="N188" t="s">
        <v>32</v>
      </c>
      <c r="O188">
        <v>10</v>
      </c>
      <c r="P188">
        <v>12</v>
      </c>
      <c r="Q188" t="s">
        <v>29</v>
      </c>
      <c r="R188" t="s">
        <v>61</v>
      </c>
      <c r="S188" s="3">
        <v>22.42</v>
      </c>
      <c r="T188" t="s">
        <v>62</v>
      </c>
      <c r="U188" t="s">
        <v>63</v>
      </c>
      <c r="V188" t="str">
        <f t="shared" si="8"/>
        <v>2026-04</v>
      </c>
      <c r="W188" t="str">
        <f t="shared" si="9"/>
        <v>8-14 days</v>
      </c>
      <c r="X188" t="str">
        <f t="shared" si="10"/>
        <v>Refund Issued</v>
      </c>
      <c r="Y188" t="str">
        <f t="shared" si="11"/>
        <v>Low</v>
      </c>
    </row>
    <row r="189" spans="1:25" ht="27.6">
      <c r="A189" t="s">
        <v>695</v>
      </c>
      <c r="B189" t="s">
        <v>696</v>
      </c>
      <c r="C189" t="s">
        <v>697</v>
      </c>
      <c r="D189" s="2">
        <v>46085</v>
      </c>
      <c r="E189" t="s">
        <v>24</v>
      </c>
      <c r="F189" t="s">
        <v>48</v>
      </c>
      <c r="G189" s="3">
        <v>77.22</v>
      </c>
      <c r="H189" t="s">
        <v>26</v>
      </c>
      <c r="I189" t="s">
        <v>67</v>
      </c>
      <c r="J189" s="4" t="s">
        <v>51</v>
      </c>
      <c r="K189" t="s">
        <v>29</v>
      </c>
      <c r="L189" t="s">
        <v>30</v>
      </c>
      <c r="M189" t="s">
        <v>31</v>
      </c>
      <c r="N189" t="s">
        <v>32</v>
      </c>
      <c r="O189">
        <v>10</v>
      </c>
      <c r="P189">
        <v>1</v>
      </c>
      <c r="Q189" t="s">
        <v>33</v>
      </c>
      <c r="R189" t="s">
        <v>34</v>
      </c>
      <c r="S189" s="3">
        <v>0</v>
      </c>
      <c r="T189" t="s">
        <v>62</v>
      </c>
      <c r="U189" t="s">
        <v>36</v>
      </c>
      <c r="V189" t="str">
        <f t="shared" si="8"/>
        <v>2026-03</v>
      </c>
      <c r="W189" t="str">
        <f t="shared" si="9"/>
        <v>0-3 days</v>
      </c>
      <c r="X189" t="str">
        <f t="shared" si="10"/>
        <v>No Refund</v>
      </c>
      <c r="Y189" t="str">
        <f t="shared" si="11"/>
        <v>Low</v>
      </c>
    </row>
    <row r="190" spans="1:25" ht="27.6">
      <c r="A190" t="s">
        <v>698</v>
      </c>
      <c r="B190" t="s">
        <v>699</v>
      </c>
      <c r="C190" t="s">
        <v>700</v>
      </c>
      <c r="D190" s="2">
        <v>46083</v>
      </c>
      <c r="E190" t="s">
        <v>24</v>
      </c>
      <c r="F190" t="s">
        <v>48</v>
      </c>
      <c r="G190" s="3">
        <v>28.91</v>
      </c>
      <c r="H190" t="s">
        <v>74</v>
      </c>
      <c r="I190" t="s">
        <v>67</v>
      </c>
      <c r="J190" s="4" t="s">
        <v>51</v>
      </c>
      <c r="K190" t="s">
        <v>29</v>
      </c>
      <c r="L190" t="s">
        <v>30</v>
      </c>
      <c r="M190" t="s">
        <v>31</v>
      </c>
      <c r="N190" t="s">
        <v>32</v>
      </c>
      <c r="O190">
        <v>10</v>
      </c>
      <c r="P190">
        <v>8</v>
      </c>
      <c r="Q190" t="s">
        <v>33</v>
      </c>
      <c r="R190" t="s">
        <v>34</v>
      </c>
      <c r="S190" s="3">
        <v>0</v>
      </c>
      <c r="T190" t="s">
        <v>62</v>
      </c>
      <c r="U190" t="s">
        <v>63</v>
      </c>
      <c r="V190" t="str">
        <f t="shared" si="8"/>
        <v>2026-03</v>
      </c>
      <c r="W190" t="str">
        <f t="shared" si="9"/>
        <v>8-14 days</v>
      </c>
      <c r="X190" t="str">
        <f t="shared" si="10"/>
        <v>No Refund</v>
      </c>
      <c r="Y190" t="str">
        <f t="shared" si="11"/>
        <v>Low</v>
      </c>
    </row>
    <row r="191" spans="1:25" ht="27.6">
      <c r="A191" t="s">
        <v>701</v>
      </c>
      <c r="B191" t="s">
        <v>702</v>
      </c>
      <c r="C191" t="s">
        <v>703</v>
      </c>
      <c r="D191" s="2">
        <v>46168</v>
      </c>
      <c r="E191" t="s">
        <v>24</v>
      </c>
      <c r="F191" t="s">
        <v>172</v>
      </c>
      <c r="G191" s="3">
        <v>18.91</v>
      </c>
      <c r="H191" t="s">
        <v>49</v>
      </c>
      <c r="I191" t="s">
        <v>27</v>
      </c>
      <c r="J191" s="4" t="s">
        <v>285</v>
      </c>
      <c r="K191" t="s">
        <v>33</v>
      </c>
      <c r="L191" t="s">
        <v>30</v>
      </c>
      <c r="M191" t="s">
        <v>31</v>
      </c>
      <c r="N191" t="s">
        <v>90</v>
      </c>
      <c r="O191">
        <v>7</v>
      </c>
      <c r="P191">
        <v>8</v>
      </c>
      <c r="Q191" t="s">
        <v>29</v>
      </c>
      <c r="R191" t="s">
        <v>174</v>
      </c>
      <c r="S191" s="3">
        <v>0</v>
      </c>
      <c r="T191" t="s">
        <v>110</v>
      </c>
      <c r="U191" t="s">
        <v>63</v>
      </c>
      <c r="V191" t="str">
        <f t="shared" si="8"/>
        <v>2026-05</v>
      </c>
      <c r="W191" t="str">
        <f t="shared" si="9"/>
        <v>8-14 days</v>
      </c>
      <c r="X191" t="str">
        <f t="shared" si="10"/>
        <v>No Refund</v>
      </c>
      <c r="Y191" t="str">
        <f t="shared" si="11"/>
        <v>Medium</v>
      </c>
    </row>
    <row r="192" spans="1:25" ht="27.6">
      <c r="A192" t="s">
        <v>704</v>
      </c>
      <c r="B192" t="s">
        <v>705</v>
      </c>
      <c r="C192" t="s">
        <v>706</v>
      </c>
      <c r="D192" s="2">
        <v>46082</v>
      </c>
      <c r="E192" t="s">
        <v>24</v>
      </c>
      <c r="F192" t="s">
        <v>118</v>
      </c>
      <c r="G192" s="3">
        <v>108.09</v>
      </c>
      <c r="H192" t="s">
        <v>74</v>
      </c>
      <c r="I192" t="s">
        <v>27</v>
      </c>
      <c r="J192" s="4" t="s">
        <v>119</v>
      </c>
      <c r="K192" t="s">
        <v>29</v>
      </c>
      <c r="L192" t="s">
        <v>120</v>
      </c>
      <c r="M192" t="s">
        <v>96</v>
      </c>
      <c r="N192" t="s">
        <v>32</v>
      </c>
      <c r="O192">
        <v>5</v>
      </c>
      <c r="P192">
        <v>2</v>
      </c>
      <c r="Q192" t="s">
        <v>33</v>
      </c>
      <c r="R192" t="s">
        <v>85</v>
      </c>
      <c r="S192" s="3">
        <v>108.09</v>
      </c>
      <c r="T192" t="s">
        <v>121</v>
      </c>
      <c r="U192" t="s">
        <v>53</v>
      </c>
      <c r="V192" t="str">
        <f t="shared" si="8"/>
        <v>2026-03</v>
      </c>
      <c r="W192" t="str">
        <f t="shared" si="9"/>
        <v>0-3 days</v>
      </c>
      <c r="X192" t="str">
        <f t="shared" si="10"/>
        <v>Refund Issued</v>
      </c>
      <c r="Y192" t="str">
        <f t="shared" si="11"/>
        <v>High</v>
      </c>
    </row>
    <row r="193" spans="1:25" ht="27.6">
      <c r="A193" t="s">
        <v>707</v>
      </c>
      <c r="B193" t="s">
        <v>708</v>
      </c>
      <c r="C193" t="s">
        <v>709</v>
      </c>
      <c r="D193" s="2">
        <v>46090</v>
      </c>
      <c r="E193" t="s">
        <v>94</v>
      </c>
      <c r="F193" t="s">
        <v>25</v>
      </c>
      <c r="G193" s="3">
        <v>77.069999999999993</v>
      </c>
      <c r="H193" t="s">
        <v>58</v>
      </c>
      <c r="I193" t="s">
        <v>50</v>
      </c>
      <c r="J193" s="4" t="s">
        <v>710</v>
      </c>
      <c r="K193" t="s">
        <v>29</v>
      </c>
      <c r="L193" t="s">
        <v>30</v>
      </c>
      <c r="M193" t="s">
        <v>96</v>
      </c>
      <c r="N193" t="s">
        <v>32</v>
      </c>
      <c r="O193">
        <v>5</v>
      </c>
      <c r="P193">
        <v>7</v>
      </c>
      <c r="Q193" t="s">
        <v>29</v>
      </c>
      <c r="R193" t="s">
        <v>34</v>
      </c>
      <c r="S193" s="3">
        <v>77.069999999999993</v>
      </c>
      <c r="T193" t="s">
        <v>43</v>
      </c>
      <c r="U193" t="s">
        <v>63</v>
      </c>
      <c r="V193" t="str">
        <f t="shared" si="8"/>
        <v>2026-03</v>
      </c>
      <c r="W193" t="str">
        <f t="shared" si="9"/>
        <v>4-7 days</v>
      </c>
      <c r="X193" t="str">
        <f t="shared" si="10"/>
        <v>Refund Issued</v>
      </c>
      <c r="Y193" t="str">
        <f t="shared" si="11"/>
        <v>High</v>
      </c>
    </row>
    <row r="194" spans="1:25" ht="27.6">
      <c r="A194" t="s">
        <v>711</v>
      </c>
      <c r="B194" t="s">
        <v>712</v>
      </c>
      <c r="C194" t="s">
        <v>713</v>
      </c>
      <c r="D194" s="2">
        <v>46154</v>
      </c>
      <c r="E194" t="s">
        <v>24</v>
      </c>
      <c r="F194" t="s">
        <v>118</v>
      </c>
      <c r="G194" s="3">
        <v>71.16</v>
      </c>
      <c r="H194" t="s">
        <v>108</v>
      </c>
      <c r="I194" t="s">
        <v>67</v>
      </c>
      <c r="J194" s="4" t="s">
        <v>714</v>
      </c>
      <c r="K194" t="s">
        <v>29</v>
      </c>
      <c r="L194" t="s">
        <v>120</v>
      </c>
      <c r="M194" t="s">
        <v>96</v>
      </c>
      <c r="N194" t="s">
        <v>32</v>
      </c>
      <c r="O194">
        <v>5</v>
      </c>
      <c r="P194">
        <v>1</v>
      </c>
      <c r="Q194" t="s">
        <v>33</v>
      </c>
      <c r="R194" t="s">
        <v>85</v>
      </c>
      <c r="S194" s="3">
        <v>71.16</v>
      </c>
      <c r="T194" t="s">
        <v>121</v>
      </c>
      <c r="U194" t="s">
        <v>53</v>
      </c>
      <c r="V194" t="str">
        <f t="shared" ref="V194:V257" si="12">TEXT(D194,"yyyy-mm")</f>
        <v>2026-05</v>
      </c>
      <c r="W194" t="str">
        <f t="shared" ref="W194:W257" si="13">IF(P194&lt;=3,"0-3 days",IF(P194&lt;=7,"4-7 days",IF(P194&lt;=14,"8-14 days","15+ days")))</f>
        <v>0-3 days</v>
      </c>
      <c r="X194" t="str">
        <f t="shared" ref="X194:X257" si="14">IF(S194&gt;0,"Refund Issued","No Refund")</f>
        <v>Refund Issued</v>
      </c>
      <c r="Y194" t="str">
        <f t="shared" ref="Y194:Y257" si="15">IF(OR(F194="Failed Payment",F194="Duplicate Debit",F194="Refund Delay"),"High",IF(OR(F194="Merchant Not Credited",F194="Wrong Amount Debited"),"Medium","Low"))</f>
        <v>High</v>
      </c>
    </row>
    <row r="195" spans="1:25" ht="27.6">
      <c r="A195" t="s">
        <v>715</v>
      </c>
      <c r="B195" t="s">
        <v>716</v>
      </c>
      <c r="C195" t="s">
        <v>717</v>
      </c>
      <c r="D195" s="2">
        <v>46079</v>
      </c>
      <c r="E195" t="s">
        <v>24</v>
      </c>
      <c r="F195" t="s">
        <v>57</v>
      </c>
      <c r="G195" s="3">
        <v>24.44</v>
      </c>
      <c r="H195" t="s">
        <v>58</v>
      </c>
      <c r="I195" t="s">
        <v>27</v>
      </c>
      <c r="J195" s="4" t="s">
        <v>155</v>
      </c>
      <c r="K195" t="s">
        <v>29</v>
      </c>
      <c r="L195" t="s">
        <v>60</v>
      </c>
      <c r="M195" t="s">
        <v>31</v>
      </c>
      <c r="N195" t="s">
        <v>32</v>
      </c>
      <c r="O195">
        <v>10</v>
      </c>
      <c r="P195">
        <v>10</v>
      </c>
      <c r="Q195" t="s">
        <v>33</v>
      </c>
      <c r="R195" t="s">
        <v>61</v>
      </c>
      <c r="S195" s="3">
        <v>24.44</v>
      </c>
      <c r="T195" t="s">
        <v>156</v>
      </c>
      <c r="U195" t="s">
        <v>63</v>
      </c>
      <c r="V195" t="str">
        <f t="shared" si="12"/>
        <v>2026-02</v>
      </c>
      <c r="W195" t="str">
        <f t="shared" si="13"/>
        <v>8-14 days</v>
      </c>
      <c r="X195" t="str">
        <f t="shared" si="14"/>
        <v>Refund Issued</v>
      </c>
      <c r="Y195" t="str">
        <f t="shared" si="15"/>
        <v>Low</v>
      </c>
    </row>
    <row r="196" spans="1:25" ht="27.6">
      <c r="A196" t="s">
        <v>718</v>
      </c>
      <c r="B196" t="s">
        <v>719</v>
      </c>
      <c r="C196" t="s">
        <v>720</v>
      </c>
      <c r="D196" s="2">
        <v>46107</v>
      </c>
      <c r="E196" t="s">
        <v>24</v>
      </c>
      <c r="F196" t="s">
        <v>48</v>
      </c>
      <c r="G196" s="3">
        <v>28.4</v>
      </c>
      <c r="H196" t="s">
        <v>108</v>
      </c>
      <c r="I196" t="s">
        <v>27</v>
      </c>
      <c r="J196" s="4" t="s">
        <v>51</v>
      </c>
      <c r="K196" t="s">
        <v>29</v>
      </c>
      <c r="L196" t="s">
        <v>30</v>
      </c>
      <c r="M196" t="s">
        <v>31</v>
      </c>
      <c r="N196" t="s">
        <v>32</v>
      </c>
      <c r="O196">
        <v>10</v>
      </c>
      <c r="P196">
        <v>2</v>
      </c>
      <c r="Q196" t="s">
        <v>33</v>
      </c>
      <c r="R196" t="s">
        <v>34</v>
      </c>
      <c r="S196" s="3">
        <v>14.2</v>
      </c>
      <c r="T196" t="s">
        <v>69</v>
      </c>
      <c r="U196" t="s">
        <v>53</v>
      </c>
      <c r="V196" t="str">
        <f t="shared" si="12"/>
        <v>2026-03</v>
      </c>
      <c r="W196" t="str">
        <f t="shared" si="13"/>
        <v>0-3 days</v>
      </c>
      <c r="X196" t="str">
        <f t="shared" si="14"/>
        <v>Refund Issued</v>
      </c>
      <c r="Y196" t="str">
        <f t="shared" si="15"/>
        <v>Low</v>
      </c>
    </row>
    <row r="197" spans="1:25" ht="27.6">
      <c r="A197" t="s">
        <v>721</v>
      </c>
      <c r="B197" t="s">
        <v>722</v>
      </c>
      <c r="C197" t="s">
        <v>723</v>
      </c>
      <c r="D197" s="2">
        <v>46128</v>
      </c>
      <c r="E197" t="s">
        <v>94</v>
      </c>
      <c r="F197" t="s">
        <v>82</v>
      </c>
      <c r="G197" s="3">
        <v>15.27</v>
      </c>
      <c r="H197" t="s">
        <v>108</v>
      </c>
      <c r="I197" t="s">
        <v>27</v>
      </c>
      <c r="J197" s="4" t="s">
        <v>114</v>
      </c>
      <c r="K197" t="s">
        <v>33</v>
      </c>
      <c r="L197" t="s">
        <v>30</v>
      </c>
      <c r="M197" t="s">
        <v>31</v>
      </c>
      <c r="N197" t="s">
        <v>32</v>
      </c>
      <c r="O197">
        <v>7</v>
      </c>
      <c r="P197">
        <v>14</v>
      </c>
      <c r="Q197" t="s">
        <v>29</v>
      </c>
      <c r="R197" t="s">
        <v>85</v>
      </c>
      <c r="S197" s="3">
        <v>0</v>
      </c>
      <c r="T197" t="s">
        <v>62</v>
      </c>
      <c r="U197" t="s">
        <v>63</v>
      </c>
      <c r="V197" t="str">
        <f t="shared" si="12"/>
        <v>2026-04</v>
      </c>
      <c r="W197" t="str">
        <f t="shared" si="13"/>
        <v>8-14 days</v>
      </c>
      <c r="X197" t="str">
        <f t="shared" si="14"/>
        <v>No Refund</v>
      </c>
      <c r="Y197" t="str">
        <f t="shared" si="15"/>
        <v>High</v>
      </c>
    </row>
    <row r="198" spans="1:25" ht="27.6">
      <c r="A198" t="s">
        <v>724</v>
      </c>
      <c r="B198" t="s">
        <v>725</v>
      </c>
      <c r="C198" t="s">
        <v>726</v>
      </c>
      <c r="D198" s="2">
        <v>46114</v>
      </c>
      <c r="E198" t="s">
        <v>47</v>
      </c>
      <c r="F198" t="s">
        <v>57</v>
      </c>
      <c r="G198" s="3">
        <v>23.96</v>
      </c>
      <c r="H198" t="s">
        <v>41</v>
      </c>
      <c r="I198" t="s">
        <v>27</v>
      </c>
      <c r="J198" s="4" t="s">
        <v>59</v>
      </c>
      <c r="K198" t="s">
        <v>29</v>
      </c>
      <c r="L198" t="s">
        <v>60</v>
      </c>
      <c r="M198" t="s">
        <v>31</v>
      </c>
      <c r="N198" t="s">
        <v>90</v>
      </c>
      <c r="O198">
        <v>10</v>
      </c>
      <c r="P198">
        <v>10</v>
      </c>
      <c r="Q198" t="s">
        <v>33</v>
      </c>
      <c r="R198" t="s">
        <v>61</v>
      </c>
      <c r="S198" s="3">
        <v>0</v>
      </c>
      <c r="T198" t="s">
        <v>52</v>
      </c>
      <c r="U198" t="s">
        <v>63</v>
      </c>
      <c r="V198" t="str">
        <f t="shared" si="12"/>
        <v>2026-04</v>
      </c>
      <c r="W198" t="str">
        <f t="shared" si="13"/>
        <v>8-14 days</v>
      </c>
      <c r="X198" t="str">
        <f t="shared" si="14"/>
        <v>No Refund</v>
      </c>
      <c r="Y198" t="str">
        <f t="shared" si="15"/>
        <v>Low</v>
      </c>
    </row>
    <row r="199" spans="1:25" ht="27.6">
      <c r="A199" t="s">
        <v>727</v>
      </c>
      <c r="B199" t="s">
        <v>728</v>
      </c>
      <c r="C199" t="s">
        <v>729</v>
      </c>
      <c r="D199" s="2">
        <v>46114</v>
      </c>
      <c r="E199" t="s">
        <v>40</v>
      </c>
      <c r="F199" t="s">
        <v>48</v>
      </c>
      <c r="G199" s="3">
        <v>55.25</v>
      </c>
      <c r="H199" t="s">
        <v>49</v>
      </c>
      <c r="I199" t="s">
        <v>67</v>
      </c>
      <c r="J199" s="4" t="s">
        <v>68</v>
      </c>
      <c r="K199" t="s">
        <v>33</v>
      </c>
      <c r="L199" t="s">
        <v>30</v>
      </c>
      <c r="M199" t="s">
        <v>31</v>
      </c>
      <c r="N199" t="s">
        <v>32</v>
      </c>
      <c r="O199">
        <v>10</v>
      </c>
      <c r="P199">
        <v>8</v>
      </c>
      <c r="Q199" t="s">
        <v>33</v>
      </c>
      <c r="R199" t="s">
        <v>34</v>
      </c>
      <c r="S199" s="3">
        <v>0</v>
      </c>
      <c r="T199" t="s">
        <v>69</v>
      </c>
      <c r="U199" t="s">
        <v>63</v>
      </c>
      <c r="V199" t="str">
        <f t="shared" si="12"/>
        <v>2026-04</v>
      </c>
      <c r="W199" t="str">
        <f t="shared" si="13"/>
        <v>8-14 days</v>
      </c>
      <c r="X199" t="str">
        <f t="shared" si="14"/>
        <v>No Refund</v>
      </c>
      <c r="Y199" t="str">
        <f t="shared" si="15"/>
        <v>Low</v>
      </c>
    </row>
    <row r="200" spans="1:25" ht="27.6">
      <c r="A200" t="s">
        <v>730</v>
      </c>
      <c r="B200" t="s">
        <v>731</v>
      </c>
      <c r="C200" t="s">
        <v>732</v>
      </c>
      <c r="D200" s="2">
        <v>46067</v>
      </c>
      <c r="E200" t="s">
        <v>24</v>
      </c>
      <c r="F200" t="s">
        <v>172</v>
      </c>
      <c r="G200" s="3">
        <v>177.1</v>
      </c>
      <c r="H200" t="s">
        <v>89</v>
      </c>
      <c r="I200" t="s">
        <v>27</v>
      </c>
      <c r="J200" s="4" t="s">
        <v>285</v>
      </c>
      <c r="K200" t="s">
        <v>29</v>
      </c>
      <c r="L200" t="s">
        <v>30</v>
      </c>
      <c r="M200" t="s">
        <v>31</v>
      </c>
      <c r="N200" t="s">
        <v>32</v>
      </c>
      <c r="O200">
        <v>7</v>
      </c>
      <c r="P200">
        <v>4</v>
      </c>
      <c r="Q200" t="s">
        <v>33</v>
      </c>
      <c r="R200" t="s">
        <v>174</v>
      </c>
      <c r="S200" s="3">
        <v>0</v>
      </c>
      <c r="T200" t="s">
        <v>110</v>
      </c>
      <c r="U200" t="s">
        <v>36</v>
      </c>
      <c r="V200" t="str">
        <f t="shared" si="12"/>
        <v>2026-02</v>
      </c>
      <c r="W200" t="str">
        <f t="shared" si="13"/>
        <v>4-7 days</v>
      </c>
      <c r="X200" t="str">
        <f t="shared" si="14"/>
        <v>No Refund</v>
      </c>
      <c r="Y200" t="str">
        <f t="shared" si="15"/>
        <v>Medium</v>
      </c>
    </row>
    <row r="201" spans="1:25" ht="27.6">
      <c r="A201" t="s">
        <v>733</v>
      </c>
      <c r="B201" t="s">
        <v>734</v>
      </c>
      <c r="C201" t="s">
        <v>735</v>
      </c>
      <c r="D201" s="2">
        <v>46032</v>
      </c>
      <c r="E201" t="s">
        <v>24</v>
      </c>
      <c r="F201" t="s">
        <v>118</v>
      </c>
      <c r="G201" s="3">
        <v>17.02</v>
      </c>
      <c r="H201" t="s">
        <v>26</v>
      </c>
      <c r="I201" t="s">
        <v>27</v>
      </c>
      <c r="J201" s="4" t="s">
        <v>119</v>
      </c>
      <c r="K201" t="s">
        <v>29</v>
      </c>
      <c r="L201" t="s">
        <v>120</v>
      </c>
      <c r="M201" t="s">
        <v>96</v>
      </c>
      <c r="N201" t="s">
        <v>90</v>
      </c>
      <c r="O201">
        <v>5</v>
      </c>
      <c r="P201">
        <v>1</v>
      </c>
      <c r="Q201" t="s">
        <v>33</v>
      </c>
      <c r="R201" t="s">
        <v>85</v>
      </c>
      <c r="S201" s="3">
        <v>0</v>
      </c>
      <c r="T201" t="s">
        <v>121</v>
      </c>
      <c r="U201" t="s">
        <v>53</v>
      </c>
      <c r="V201" t="str">
        <f t="shared" si="12"/>
        <v>2026-01</v>
      </c>
      <c r="W201" t="str">
        <f t="shared" si="13"/>
        <v>0-3 days</v>
      </c>
      <c r="X201" t="str">
        <f t="shared" si="14"/>
        <v>No Refund</v>
      </c>
      <c r="Y201" t="str">
        <f t="shared" si="15"/>
        <v>High</v>
      </c>
    </row>
    <row r="202" spans="1:25" ht="27.6">
      <c r="A202" t="s">
        <v>736</v>
      </c>
      <c r="B202" t="s">
        <v>737</v>
      </c>
      <c r="C202" t="s">
        <v>738</v>
      </c>
      <c r="D202" s="2">
        <v>46060</v>
      </c>
      <c r="E202" t="s">
        <v>47</v>
      </c>
      <c r="F202" t="s">
        <v>73</v>
      </c>
      <c r="G202" s="3">
        <v>34.15</v>
      </c>
      <c r="H202" t="s">
        <v>41</v>
      </c>
      <c r="I202" t="s">
        <v>27</v>
      </c>
      <c r="J202" s="4" t="s">
        <v>389</v>
      </c>
      <c r="K202" t="s">
        <v>33</v>
      </c>
      <c r="L202" t="s">
        <v>60</v>
      </c>
      <c r="M202" t="s">
        <v>31</v>
      </c>
      <c r="N202" t="s">
        <v>126</v>
      </c>
      <c r="O202">
        <v>10</v>
      </c>
      <c r="P202">
        <v>19</v>
      </c>
      <c r="Q202" t="s">
        <v>29</v>
      </c>
      <c r="R202" t="s">
        <v>61</v>
      </c>
      <c r="S202" s="3">
        <v>0</v>
      </c>
      <c r="T202" t="s">
        <v>62</v>
      </c>
      <c r="U202" t="s">
        <v>63</v>
      </c>
      <c r="V202" t="str">
        <f t="shared" si="12"/>
        <v>2026-02</v>
      </c>
      <c r="W202" t="str">
        <f t="shared" si="13"/>
        <v>15+ days</v>
      </c>
      <c r="X202" t="str">
        <f t="shared" si="14"/>
        <v>No Refund</v>
      </c>
      <c r="Y202" t="str">
        <f t="shared" si="15"/>
        <v>Low</v>
      </c>
    </row>
    <row r="203" spans="1:25" ht="27.6">
      <c r="A203" t="s">
        <v>739</v>
      </c>
      <c r="B203" t="s">
        <v>740</v>
      </c>
      <c r="C203" t="s">
        <v>741</v>
      </c>
      <c r="D203" s="2">
        <v>46166</v>
      </c>
      <c r="E203" t="s">
        <v>40</v>
      </c>
      <c r="F203" t="s">
        <v>48</v>
      </c>
      <c r="G203" s="3">
        <v>69.319999999999993</v>
      </c>
      <c r="H203" t="s">
        <v>89</v>
      </c>
      <c r="I203" t="s">
        <v>67</v>
      </c>
      <c r="J203" s="4" t="s">
        <v>68</v>
      </c>
      <c r="K203" t="s">
        <v>29</v>
      </c>
      <c r="L203" t="s">
        <v>30</v>
      </c>
      <c r="M203" t="s">
        <v>31</v>
      </c>
      <c r="N203" t="s">
        <v>32</v>
      </c>
      <c r="O203">
        <v>10</v>
      </c>
      <c r="P203">
        <v>4</v>
      </c>
      <c r="Q203" t="s">
        <v>33</v>
      </c>
      <c r="R203" t="s">
        <v>34</v>
      </c>
      <c r="S203" s="3">
        <v>69.319999999999993</v>
      </c>
      <c r="T203" t="s">
        <v>62</v>
      </c>
      <c r="U203" t="s">
        <v>53</v>
      </c>
      <c r="V203" t="str">
        <f t="shared" si="12"/>
        <v>2026-05</v>
      </c>
      <c r="W203" t="str">
        <f t="shared" si="13"/>
        <v>4-7 days</v>
      </c>
      <c r="X203" t="str">
        <f t="shared" si="14"/>
        <v>Refund Issued</v>
      </c>
      <c r="Y203" t="str">
        <f t="shared" si="15"/>
        <v>Low</v>
      </c>
    </row>
    <row r="204" spans="1:25" ht="27.6">
      <c r="A204" t="s">
        <v>742</v>
      </c>
      <c r="B204" t="s">
        <v>743</v>
      </c>
      <c r="C204" t="s">
        <v>744</v>
      </c>
      <c r="D204" s="2">
        <v>46104</v>
      </c>
      <c r="E204" t="s">
        <v>94</v>
      </c>
      <c r="F204" t="s">
        <v>48</v>
      </c>
      <c r="G204" s="3">
        <v>15.85</v>
      </c>
      <c r="H204" t="s">
        <v>108</v>
      </c>
      <c r="I204" t="s">
        <v>27</v>
      </c>
      <c r="J204" s="4" t="s">
        <v>68</v>
      </c>
      <c r="K204" t="s">
        <v>33</v>
      </c>
      <c r="L204" t="s">
        <v>30</v>
      </c>
      <c r="M204" t="s">
        <v>31</v>
      </c>
      <c r="N204" t="s">
        <v>32</v>
      </c>
      <c r="O204">
        <v>10</v>
      </c>
      <c r="P204">
        <v>7</v>
      </c>
      <c r="Q204" t="s">
        <v>33</v>
      </c>
      <c r="R204" t="s">
        <v>34</v>
      </c>
      <c r="S204" s="3">
        <v>0</v>
      </c>
      <c r="T204" t="s">
        <v>69</v>
      </c>
      <c r="U204" t="s">
        <v>36</v>
      </c>
      <c r="V204" t="str">
        <f t="shared" si="12"/>
        <v>2026-03</v>
      </c>
      <c r="W204" t="str">
        <f t="shared" si="13"/>
        <v>4-7 days</v>
      </c>
      <c r="X204" t="str">
        <f t="shared" si="14"/>
        <v>No Refund</v>
      </c>
      <c r="Y204" t="str">
        <f t="shared" si="15"/>
        <v>Low</v>
      </c>
    </row>
    <row r="205" spans="1:25" ht="27.6">
      <c r="A205" t="s">
        <v>745</v>
      </c>
      <c r="B205" t="s">
        <v>746</v>
      </c>
      <c r="C205" t="s">
        <v>747</v>
      </c>
      <c r="D205" s="2">
        <v>46076</v>
      </c>
      <c r="E205" t="s">
        <v>24</v>
      </c>
      <c r="F205" t="s">
        <v>25</v>
      </c>
      <c r="G205" s="3">
        <v>27.17</v>
      </c>
      <c r="H205" t="s">
        <v>26</v>
      </c>
      <c r="I205" t="s">
        <v>27</v>
      </c>
      <c r="J205" s="4" t="s">
        <v>42</v>
      </c>
      <c r="K205" t="s">
        <v>29</v>
      </c>
      <c r="L205" t="s">
        <v>30</v>
      </c>
      <c r="M205" t="s">
        <v>31</v>
      </c>
      <c r="N205" t="s">
        <v>90</v>
      </c>
      <c r="O205">
        <v>5</v>
      </c>
      <c r="P205">
        <v>8</v>
      </c>
      <c r="Q205" t="s">
        <v>29</v>
      </c>
      <c r="R205" t="s">
        <v>34</v>
      </c>
      <c r="S205" s="3">
        <v>0</v>
      </c>
      <c r="T205" t="s">
        <v>43</v>
      </c>
      <c r="U205" t="s">
        <v>63</v>
      </c>
      <c r="V205" t="str">
        <f t="shared" si="12"/>
        <v>2026-02</v>
      </c>
      <c r="W205" t="str">
        <f t="shared" si="13"/>
        <v>8-14 days</v>
      </c>
      <c r="X205" t="str">
        <f t="shared" si="14"/>
        <v>No Refund</v>
      </c>
      <c r="Y205" t="str">
        <f t="shared" si="15"/>
        <v>High</v>
      </c>
    </row>
    <row r="206" spans="1:25" ht="27.6">
      <c r="A206" t="s">
        <v>748</v>
      </c>
      <c r="B206" t="s">
        <v>749</v>
      </c>
      <c r="C206" t="s">
        <v>750</v>
      </c>
      <c r="D206" s="2">
        <v>46162</v>
      </c>
      <c r="E206" t="s">
        <v>24</v>
      </c>
      <c r="F206" t="s">
        <v>57</v>
      </c>
      <c r="G206" s="3">
        <v>109.71</v>
      </c>
      <c r="H206" t="s">
        <v>49</v>
      </c>
      <c r="I206" t="s">
        <v>50</v>
      </c>
      <c r="J206" s="4" t="s">
        <v>59</v>
      </c>
      <c r="K206" t="s">
        <v>29</v>
      </c>
      <c r="L206" t="s">
        <v>60</v>
      </c>
      <c r="M206" t="s">
        <v>31</v>
      </c>
      <c r="N206" t="s">
        <v>32</v>
      </c>
      <c r="O206">
        <v>10</v>
      </c>
      <c r="P206">
        <v>11</v>
      </c>
      <c r="Q206" t="s">
        <v>29</v>
      </c>
      <c r="R206" t="s">
        <v>61</v>
      </c>
      <c r="S206" s="3">
        <v>54.85</v>
      </c>
      <c r="T206" t="s">
        <v>156</v>
      </c>
      <c r="U206" t="s">
        <v>63</v>
      </c>
      <c r="V206" t="str">
        <f t="shared" si="12"/>
        <v>2026-05</v>
      </c>
      <c r="W206" t="str">
        <f t="shared" si="13"/>
        <v>8-14 days</v>
      </c>
      <c r="X206" t="str">
        <f t="shared" si="14"/>
        <v>Refund Issued</v>
      </c>
      <c r="Y206" t="str">
        <f t="shared" si="15"/>
        <v>Low</v>
      </c>
    </row>
    <row r="207" spans="1:25" ht="27.6">
      <c r="A207" t="s">
        <v>751</v>
      </c>
      <c r="B207" t="s">
        <v>752</v>
      </c>
      <c r="C207" t="s">
        <v>753</v>
      </c>
      <c r="D207" s="2">
        <v>46119</v>
      </c>
      <c r="E207" t="s">
        <v>24</v>
      </c>
      <c r="F207" t="s">
        <v>25</v>
      </c>
      <c r="G207" s="3">
        <v>30.29</v>
      </c>
      <c r="H207" t="s">
        <v>89</v>
      </c>
      <c r="I207" t="s">
        <v>67</v>
      </c>
      <c r="J207" s="4" t="s">
        <v>42</v>
      </c>
      <c r="K207" t="s">
        <v>29</v>
      </c>
      <c r="L207" t="s">
        <v>30</v>
      </c>
      <c r="M207" t="s">
        <v>31</v>
      </c>
      <c r="N207" t="s">
        <v>32</v>
      </c>
      <c r="O207">
        <v>5</v>
      </c>
      <c r="P207">
        <v>5</v>
      </c>
      <c r="Q207" t="s">
        <v>33</v>
      </c>
      <c r="R207" t="s">
        <v>34</v>
      </c>
      <c r="S207" s="3">
        <v>0</v>
      </c>
      <c r="T207" t="s">
        <v>110</v>
      </c>
      <c r="U207" t="s">
        <v>36</v>
      </c>
      <c r="V207" t="str">
        <f t="shared" si="12"/>
        <v>2026-04</v>
      </c>
      <c r="W207" t="str">
        <f t="shared" si="13"/>
        <v>4-7 days</v>
      </c>
      <c r="X207" t="str">
        <f t="shared" si="14"/>
        <v>No Refund</v>
      </c>
      <c r="Y207" t="str">
        <f t="shared" si="15"/>
        <v>High</v>
      </c>
    </row>
    <row r="208" spans="1:25" ht="27.6">
      <c r="A208" t="s">
        <v>754</v>
      </c>
      <c r="B208" t="s">
        <v>755</v>
      </c>
      <c r="C208" t="s">
        <v>756</v>
      </c>
      <c r="D208" s="2">
        <v>46083</v>
      </c>
      <c r="E208" t="s">
        <v>24</v>
      </c>
      <c r="F208" t="s">
        <v>82</v>
      </c>
      <c r="G208" s="3">
        <v>46.63</v>
      </c>
      <c r="H208" t="s">
        <v>26</v>
      </c>
      <c r="I208" t="s">
        <v>27</v>
      </c>
      <c r="J208" s="4" t="s">
        <v>757</v>
      </c>
      <c r="K208" t="s">
        <v>29</v>
      </c>
      <c r="L208" t="s">
        <v>30</v>
      </c>
      <c r="M208" t="s">
        <v>31</v>
      </c>
      <c r="N208" t="s">
        <v>32</v>
      </c>
      <c r="O208">
        <v>7</v>
      </c>
      <c r="P208">
        <v>7</v>
      </c>
      <c r="Q208" t="s">
        <v>33</v>
      </c>
      <c r="R208" t="s">
        <v>85</v>
      </c>
      <c r="S208" s="3">
        <v>23.32</v>
      </c>
      <c r="T208" t="s">
        <v>69</v>
      </c>
      <c r="U208" t="s">
        <v>53</v>
      </c>
      <c r="V208" t="str">
        <f t="shared" si="12"/>
        <v>2026-03</v>
      </c>
      <c r="W208" t="str">
        <f t="shared" si="13"/>
        <v>4-7 days</v>
      </c>
      <c r="X208" t="str">
        <f t="shared" si="14"/>
        <v>Refund Issued</v>
      </c>
      <c r="Y208" t="str">
        <f t="shared" si="15"/>
        <v>High</v>
      </c>
    </row>
    <row r="209" spans="1:25" ht="27.6">
      <c r="A209" t="s">
        <v>758</v>
      </c>
      <c r="B209" t="s">
        <v>759</v>
      </c>
      <c r="C209" t="s">
        <v>760</v>
      </c>
      <c r="D209" s="2">
        <v>46052</v>
      </c>
      <c r="E209" t="s">
        <v>24</v>
      </c>
      <c r="F209" t="s">
        <v>82</v>
      </c>
      <c r="G209" s="3">
        <v>38.590000000000003</v>
      </c>
      <c r="H209" t="s">
        <v>26</v>
      </c>
      <c r="I209" t="s">
        <v>50</v>
      </c>
      <c r="J209" s="4" t="s">
        <v>761</v>
      </c>
      <c r="K209" t="s">
        <v>29</v>
      </c>
      <c r="L209" t="s">
        <v>30</v>
      </c>
      <c r="M209" t="s">
        <v>31</v>
      </c>
      <c r="N209" t="s">
        <v>90</v>
      </c>
      <c r="O209">
        <v>7</v>
      </c>
      <c r="P209">
        <v>2</v>
      </c>
      <c r="Q209" t="s">
        <v>33</v>
      </c>
      <c r="R209" t="s">
        <v>85</v>
      </c>
      <c r="S209" s="3">
        <v>0</v>
      </c>
      <c r="T209" t="s">
        <v>69</v>
      </c>
      <c r="U209" t="s">
        <v>53</v>
      </c>
      <c r="V209" t="str">
        <f t="shared" si="12"/>
        <v>2026-01</v>
      </c>
      <c r="W209" t="str">
        <f t="shared" si="13"/>
        <v>0-3 days</v>
      </c>
      <c r="X209" t="str">
        <f t="shared" si="14"/>
        <v>No Refund</v>
      </c>
      <c r="Y209" t="str">
        <f t="shared" si="15"/>
        <v>High</v>
      </c>
    </row>
    <row r="210" spans="1:25" ht="27.6">
      <c r="A210" t="s">
        <v>762</v>
      </c>
      <c r="B210" t="s">
        <v>763</v>
      </c>
      <c r="C210" t="s">
        <v>764</v>
      </c>
      <c r="D210" s="2">
        <v>46135</v>
      </c>
      <c r="E210" t="s">
        <v>47</v>
      </c>
      <c r="F210" t="s">
        <v>118</v>
      </c>
      <c r="G210" s="3">
        <v>28.23</v>
      </c>
      <c r="H210" t="s">
        <v>49</v>
      </c>
      <c r="I210" t="s">
        <v>50</v>
      </c>
      <c r="J210" s="4" t="s">
        <v>765</v>
      </c>
      <c r="K210" t="s">
        <v>29</v>
      </c>
      <c r="L210" t="s">
        <v>120</v>
      </c>
      <c r="M210" t="s">
        <v>96</v>
      </c>
      <c r="N210" t="s">
        <v>32</v>
      </c>
      <c r="O210">
        <v>5</v>
      </c>
      <c r="P210">
        <v>1</v>
      </c>
      <c r="Q210" t="s">
        <v>33</v>
      </c>
      <c r="R210" t="s">
        <v>85</v>
      </c>
      <c r="S210" s="3">
        <v>28.23</v>
      </c>
      <c r="T210" t="s">
        <v>121</v>
      </c>
      <c r="U210" t="s">
        <v>53</v>
      </c>
      <c r="V210" t="str">
        <f t="shared" si="12"/>
        <v>2026-04</v>
      </c>
      <c r="W210" t="str">
        <f t="shared" si="13"/>
        <v>0-3 days</v>
      </c>
      <c r="X210" t="str">
        <f t="shared" si="14"/>
        <v>Refund Issued</v>
      </c>
      <c r="Y210" t="str">
        <f t="shared" si="15"/>
        <v>High</v>
      </c>
    </row>
    <row r="211" spans="1:25" ht="27.6">
      <c r="A211" t="s">
        <v>766</v>
      </c>
      <c r="B211" t="s">
        <v>767</v>
      </c>
      <c r="C211" t="s">
        <v>768</v>
      </c>
      <c r="D211" s="2">
        <v>46156</v>
      </c>
      <c r="E211" t="s">
        <v>24</v>
      </c>
      <c r="F211" t="s">
        <v>172</v>
      </c>
      <c r="G211" s="3">
        <v>112.02</v>
      </c>
      <c r="H211" t="s">
        <v>74</v>
      </c>
      <c r="I211" t="s">
        <v>27</v>
      </c>
      <c r="J211" s="4" t="s">
        <v>173</v>
      </c>
      <c r="K211" t="s">
        <v>29</v>
      </c>
      <c r="L211" t="s">
        <v>30</v>
      </c>
      <c r="M211" t="s">
        <v>31</v>
      </c>
      <c r="N211" t="s">
        <v>32</v>
      </c>
      <c r="O211">
        <v>7</v>
      </c>
      <c r="P211">
        <v>3</v>
      </c>
      <c r="Q211" t="s">
        <v>33</v>
      </c>
      <c r="R211" t="s">
        <v>174</v>
      </c>
      <c r="S211" s="3">
        <v>0</v>
      </c>
      <c r="T211" t="s">
        <v>110</v>
      </c>
      <c r="U211" t="s">
        <v>53</v>
      </c>
      <c r="V211" t="str">
        <f t="shared" si="12"/>
        <v>2026-05</v>
      </c>
      <c r="W211" t="str">
        <f t="shared" si="13"/>
        <v>0-3 days</v>
      </c>
      <c r="X211" t="str">
        <f t="shared" si="14"/>
        <v>No Refund</v>
      </c>
      <c r="Y211" t="str">
        <f t="shared" si="15"/>
        <v>Medium</v>
      </c>
    </row>
    <row r="212" spans="1:25" ht="27.6">
      <c r="A212" t="s">
        <v>769</v>
      </c>
      <c r="B212" t="s">
        <v>770</v>
      </c>
      <c r="C212" t="s">
        <v>771</v>
      </c>
      <c r="D212" s="2">
        <v>46065</v>
      </c>
      <c r="E212" t="s">
        <v>94</v>
      </c>
      <c r="F212" t="s">
        <v>57</v>
      </c>
      <c r="G212" s="3">
        <v>15.72</v>
      </c>
      <c r="H212" t="s">
        <v>58</v>
      </c>
      <c r="I212" t="s">
        <v>27</v>
      </c>
      <c r="J212" s="4" t="s">
        <v>59</v>
      </c>
      <c r="K212" t="s">
        <v>33</v>
      </c>
      <c r="L212" t="s">
        <v>60</v>
      </c>
      <c r="M212" t="s">
        <v>31</v>
      </c>
      <c r="N212" t="s">
        <v>32</v>
      </c>
      <c r="O212">
        <v>10</v>
      </c>
      <c r="P212">
        <v>16</v>
      </c>
      <c r="Q212" t="s">
        <v>29</v>
      </c>
      <c r="R212" t="s">
        <v>61</v>
      </c>
      <c r="S212" s="3">
        <v>0</v>
      </c>
      <c r="T212" t="s">
        <v>62</v>
      </c>
      <c r="U212" t="s">
        <v>63</v>
      </c>
      <c r="V212" t="str">
        <f t="shared" si="12"/>
        <v>2026-02</v>
      </c>
      <c r="W212" t="str">
        <f t="shared" si="13"/>
        <v>15+ days</v>
      </c>
      <c r="X212" t="str">
        <f t="shared" si="14"/>
        <v>No Refund</v>
      </c>
      <c r="Y212" t="str">
        <f t="shared" si="15"/>
        <v>Low</v>
      </c>
    </row>
    <row r="213" spans="1:25" ht="27.6">
      <c r="A213" t="s">
        <v>772</v>
      </c>
      <c r="B213" t="s">
        <v>773</v>
      </c>
      <c r="C213" t="s">
        <v>774</v>
      </c>
      <c r="D213" s="2">
        <v>46124</v>
      </c>
      <c r="E213" t="s">
        <v>47</v>
      </c>
      <c r="F213" t="s">
        <v>73</v>
      </c>
      <c r="G213" s="3">
        <v>57.2</v>
      </c>
      <c r="H213" t="s">
        <v>26</v>
      </c>
      <c r="I213" t="s">
        <v>67</v>
      </c>
      <c r="J213" s="4" t="s">
        <v>389</v>
      </c>
      <c r="K213" t="s">
        <v>29</v>
      </c>
      <c r="L213" t="s">
        <v>60</v>
      </c>
      <c r="M213" t="s">
        <v>31</v>
      </c>
      <c r="N213" t="s">
        <v>84</v>
      </c>
      <c r="O213">
        <v>10</v>
      </c>
      <c r="P213">
        <v>14</v>
      </c>
      <c r="Q213" t="s">
        <v>29</v>
      </c>
      <c r="R213" t="s">
        <v>61</v>
      </c>
      <c r="S213" s="3">
        <v>0</v>
      </c>
      <c r="T213" t="s">
        <v>62</v>
      </c>
      <c r="U213" t="s">
        <v>63</v>
      </c>
      <c r="V213" t="str">
        <f t="shared" si="12"/>
        <v>2026-04</v>
      </c>
      <c r="W213" t="str">
        <f t="shared" si="13"/>
        <v>8-14 days</v>
      </c>
      <c r="X213" t="str">
        <f t="shared" si="14"/>
        <v>No Refund</v>
      </c>
      <c r="Y213" t="str">
        <f t="shared" si="15"/>
        <v>Low</v>
      </c>
    </row>
    <row r="214" spans="1:25" ht="27.6">
      <c r="A214" t="s">
        <v>775</v>
      </c>
      <c r="B214" t="s">
        <v>776</v>
      </c>
      <c r="C214" t="s">
        <v>777</v>
      </c>
      <c r="D214" s="2">
        <v>46168</v>
      </c>
      <c r="E214" t="s">
        <v>47</v>
      </c>
      <c r="F214" t="s">
        <v>57</v>
      </c>
      <c r="G214" s="3">
        <v>44.78</v>
      </c>
      <c r="H214" t="s">
        <v>41</v>
      </c>
      <c r="I214" t="s">
        <v>67</v>
      </c>
      <c r="J214" s="4" t="s">
        <v>155</v>
      </c>
      <c r="K214" t="s">
        <v>33</v>
      </c>
      <c r="L214" t="s">
        <v>60</v>
      </c>
      <c r="M214" t="s">
        <v>31</v>
      </c>
      <c r="N214" t="s">
        <v>32</v>
      </c>
      <c r="O214">
        <v>10</v>
      </c>
      <c r="P214">
        <v>13</v>
      </c>
      <c r="Q214" t="s">
        <v>29</v>
      </c>
      <c r="R214" t="s">
        <v>61</v>
      </c>
      <c r="S214" s="3">
        <v>22.39</v>
      </c>
      <c r="T214" t="s">
        <v>52</v>
      </c>
      <c r="U214" t="s">
        <v>63</v>
      </c>
      <c r="V214" t="str">
        <f t="shared" si="12"/>
        <v>2026-05</v>
      </c>
      <c r="W214" t="str">
        <f t="shared" si="13"/>
        <v>8-14 days</v>
      </c>
      <c r="X214" t="str">
        <f t="shared" si="14"/>
        <v>Refund Issued</v>
      </c>
      <c r="Y214" t="str">
        <f t="shared" si="15"/>
        <v>Low</v>
      </c>
    </row>
    <row r="215" spans="1:25" ht="27.6">
      <c r="A215" t="s">
        <v>778</v>
      </c>
      <c r="B215" t="s">
        <v>779</v>
      </c>
      <c r="C215" t="s">
        <v>780</v>
      </c>
      <c r="D215" s="2">
        <v>46125</v>
      </c>
      <c r="E215" t="s">
        <v>24</v>
      </c>
      <c r="F215" t="s">
        <v>73</v>
      </c>
      <c r="G215" s="3">
        <v>29.3</v>
      </c>
      <c r="H215" t="s">
        <v>58</v>
      </c>
      <c r="I215" t="s">
        <v>27</v>
      </c>
      <c r="J215" s="4" t="s">
        <v>389</v>
      </c>
      <c r="K215" t="s">
        <v>29</v>
      </c>
      <c r="L215" t="s">
        <v>60</v>
      </c>
      <c r="M215" t="s">
        <v>31</v>
      </c>
      <c r="N215" t="s">
        <v>32</v>
      </c>
      <c r="O215">
        <v>10</v>
      </c>
      <c r="P215">
        <v>15</v>
      </c>
      <c r="Q215" t="s">
        <v>29</v>
      </c>
      <c r="R215" t="s">
        <v>61</v>
      </c>
      <c r="S215" s="3">
        <v>29.3</v>
      </c>
      <c r="T215" t="s">
        <v>52</v>
      </c>
      <c r="U215" t="s">
        <v>63</v>
      </c>
      <c r="V215" t="str">
        <f t="shared" si="12"/>
        <v>2026-04</v>
      </c>
      <c r="W215" t="str">
        <f t="shared" si="13"/>
        <v>15+ days</v>
      </c>
      <c r="X215" t="str">
        <f t="shared" si="14"/>
        <v>Refund Issued</v>
      </c>
      <c r="Y215" t="str">
        <f t="shared" si="15"/>
        <v>Low</v>
      </c>
    </row>
    <row r="216" spans="1:25" ht="27.6">
      <c r="A216" t="s">
        <v>781</v>
      </c>
      <c r="B216" t="s">
        <v>782</v>
      </c>
      <c r="C216" t="s">
        <v>783</v>
      </c>
      <c r="D216" s="2">
        <v>46057</v>
      </c>
      <c r="E216" t="s">
        <v>24</v>
      </c>
      <c r="F216" t="s">
        <v>103</v>
      </c>
      <c r="G216" s="3">
        <v>72.849999999999994</v>
      </c>
      <c r="H216" t="s">
        <v>58</v>
      </c>
      <c r="I216" t="s">
        <v>27</v>
      </c>
      <c r="J216" s="4" t="s">
        <v>134</v>
      </c>
      <c r="K216" t="s">
        <v>29</v>
      </c>
      <c r="L216" t="s">
        <v>30</v>
      </c>
      <c r="M216" t="s">
        <v>31</v>
      </c>
      <c r="N216" t="s">
        <v>32</v>
      </c>
      <c r="O216">
        <v>5</v>
      </c>
      <c r="P216">
        <v>1</v>
      </c>
      <c r="Q216" t="s">
        <v>33</v>
      </c>
      <c r="R216" t="s">
        <v>34</v>
      </c>
      <c r="S216" s="3">
        <v>72.849999999999994</v>
      </c>
      <c r="T216" t="s">
        <v>35</v>
      </c>
      <c r="U216" t="s">
        <v>36</v>
      </c>
      <c r="V216" t="str">
        <f t="shared" si="12"/>
        <v>2026-02</v>
      </c>
      <c r="W216" t="str">
        <f t="shared" si="13"/>
        <v>0-3 days</v>
      </c>
      <c r="X216" t="str">
        <f t="shared" si="14"/>
        <v>Refund Issued</v>
      </c>
      <c r="Y216" t="str">
        <f t="shared" si="15"/>
        <v>Medium</v>
      </c>
    </row>
    <row r="217" spans="1:25" ht="27.6">
      <c r="A217" t="s">
        <v>784</v>
      </c>
      <c r="B217" t="s">
        <v>785</v>
      </c>
      <c r="C217" t="s">
        <v>786</v>
      </c>
      <c r="D217" s="2">
        <v>46063</v>
      </c>
      <c r="E217" t="s">
        <v>24</v>
      </c>
      <c r="F217" t="s">
        <v>103</v>
      </c>
      <c r="G217" s="3">
        <v>21.29</v>
      </c>
      <c r="H217" t="s">
        <v>89</v>
      </c>
      <c r="I217" t="s">
        <v>67</v>
      </c>
      <c r="J217" s="4" t="s">
        <v>134</v>
      </c>
      <c r="K217" t="s">
        <v>29</v>
      </c>
      <c r="L217" t="s">
        <v>30</v>
      </c>
      <c r="M217" t="s">
        <v>31</v>
      </c>
      <c r="N217" t="s">
        <v>84</v>
      </c>
      <c r="O217">
        <v>5</v>
      </c>
      <c r="P217">
        <v>8</v>
      </c>
      <c r="Q217" t="s">
        <v>29</v>
      </c>
      <c r="R217" t="s">
        <v>34</v>
      </c>
      <c r="S217" s="3">
        <v>0</v>
      </c>
      <c r="T217" t="s">
        <v>35</v>
      </c>
      <c r="U217" t="s">
        <v>63</v>
      </c>
      <c r="V217" t="str">
        <f t="shared" si="12"/>
        <v>2026-02</v>
      </c>
      <c r="W217" t="str">
        <f t="shared" si="13"/>
        <v>8-14 days</v>
      </c>
      <c r="X217" t="str">
        <f t="shared" si="14"/>
        <v>No Refund</v>
      </c>
      <c r="Y217" t="str">
        <f t="shared" si="15"/>
        <v>Medium</v>
      </c>
    </row>
    <row r="218" spans="1:25" ht="27.6">
      <c r="A218" t="s">
        <v>787</v>
      </c>
      <c r="B218" t="s">
        <v>788</v>
      </c>
      <c r="C218" t="s">
        <v>789</v>
      </c>
      <c r="D218" s="2">
        <v>46139</v>
      </c>
      <c r="E218" t="s">
        <v>24</v>
      </c>
      <c r="F218" t="s">
        <v>82</v>
      </c>
      <c r="G218" s="3">
        <v>20.190000000000001</v>
      </c>
      <c r="H218" t="s">
        <v>108</v>
      </c>
      <c r="I218" t="s">
        <v>50</v>
      </c>
      <c r="J218" s="4" t="s">
        <v>790</v>
      </c>
      <c r="K218" t="s">
        <v>29</v>
      </c>
      <c r="L218" t="s">
        <v>30</v>
      </c>
      <c r="M218" t="s">
        <v>31</v>
      </c>
      <c r="N218" t="s">
        <v>32</v>
      </c>
      <c r="O218">
        <v>7</v>
      </c>
      <c r="P218">
        <v>5</v>
      </c>
      <c r="Q218" t="s">
        <v>33</v>
      </c>
      <c r="R218" t="s">
        <v>85</v>
      </c>
      <c r="S218" s="3">
        <v>15.14</v>
      </c>
      <c r="T218" t="s">
        <v>43</v>
      </c>
      <c r="U218" t="s">
        <v>36</v>
      </c>
      <c r="V218" t="str">
        <f t="shared" si="12"/>
        <v>2026-04</v>
      </c>
      <c r="W218" t="str">
        <f t="shared" si="13"/>
        <v>4-7 days</v>
      </c>
      <c r="X218" t="str">
        <f t="shared" si="14"/>
        <v>Refund Issued</v>
      </c>
      <c r="Y218" t="str">
        <f t="shared" si="15"/>
        <v>High</v>
      </c>
    </row>
    <row r="219" spans="1:25" ht="27.6">
      <c r="A219" t="s">
        <v>791</v>
      </c>
      <c r="B219" t="s">
        <v>792</v>
      </c>
      <c r="C219" t="s">
        <v>793</v>
      </c>
      <c r="D219" s="2">
        <v>46089</v>
      </c>
      <c r="E219" t="s">
        <v>40</v>
      </c>
      <c r="F219" t="s">
        <v>103</v>
      </c>
      <c r="G219" s="3">
        <v>24.27</v>
      </c>
      <c r="H219" t="s">
        <v>74</v>
      </c>
      <c r="I219" t="s">
        <v>67</v>
      </c>
      <c r="J219" s="4" t="s">
        <v>134</v>
      </c>
      <c r="K219" t="s">
        <v>33</v>
      </c>
      <c r="L219" t="s">
        <v>30</v>
      </c>
      <c r="M219" t="s">
        <v>31</v>
      </c>
      <c r="N219" t="s">
        <v>126</v>
      </c>
      <c r="O219">
        <v>5</v>
      </c>
      <c r="P219">
        <v>6</v>
      </c>
      <c r="Q219" t="s">
        <v>29</v>
      </c>
      <c r="R219" t="s">
        <v>34</v>
      </c>
      <c r="S219" s="3">
        <v>0</v>
      </c>
      <c r="T219" t="s">
        <v>35</v>
      </c>
      <c r="U219" t="s">
        <v>63</v>
      </c>
      <c r="V219" t="str">
        <f t="shared" si="12"/>
        <v>2026-03</v>
      </c>
      <c r="W219" t="str">
        <f t="shared" si="13"/>
        <v>4-7 days</v>
      </c>
      <c r="X219" t="str">
        <f t="shared" si="14"/>
        <v>No Refund</v>
      </c>
      <c r="Y219" t="str">
        <f t="shared" si="15"/>
        <v>Medium</v>
      </c>
    </row>
    <row r="220" spans="1:25" ht="27.6">
      <c r="A220" t="s">
        <v>794</v>
      </c>
      <c r="B220" t="s">
        <v>795</v>
      </c>
      <c r="C220" t="s">
        <v>796</v>
      </c>
      <c r="D220" s="2">
        <v>46127</v>
      </c>
      <c r="E220" t="s">
        <v>47</v>
      </c>
      <c r="F220" t="s">
        <v>73</v>
      </c>
      <c r="G220" s="3">
        <v>38.72</v>
      </c>
      <c r="H220" t="s">
        <v>74</v>
      </c>
      <c r="I220" t="s">
        <v>50</v>
      </c>
      <c r="J220" s="4" t="s">
        <v>389</v>
      </c>
      <c r="K220" t="s">
        <v>29</v>
      </c>
      <c r="L220" t="s">
        <v>60</v>
      </c>
      <c r="M220" t="s">
        <v>31</v>
      </c>
      <c r="N220" t="s">
        <v>32</v>
      </c>
      <c r="O220">
        <v>10</v>
      </c>
      <c r="P220">
        <v>5</v>
      </c>
      <c r="Q220" t="s">
        <v>33</v>
      </c>
      <c r="R220" t="s">
        <v>61</v>
      </c>
      <c r="S220" s="3">
        <v>38.72</v>
      </c>
      <c r="T220" t="s">
        <v>52</v>
      </c>
      <c r="U220" t="s">
        <v>63</v>
      </c>
      <c r="V220" t="str">
        <f t="shared" si="12"/>
        <v>2026-04</v>
      </c>
      <c r="W220" t="str">
        <f t="shared" si="13"/>
        <v>4-7 days</v>
      </c>
      <c r="X220" t="str">
        <f t="shared" si="14"/>
        <v>Refund Issued</v>
      </c>
      <c r="Y220" t="str">
        <f t="shared" si="15"/>
        <v>Low</v>
      </c>
    </row>
    <row r="221" spans="1:25" ht="27.6">
      <c r="A221" t="s">
        <v>797</v>
      </c>
      <c r="B221" t="s">
        <v>798</v>
      </c>
      <c r="C221" t="s">
        <v>799</v>
      </c>
      <c r="D221" s="2">
        <v>46078</v>
      </c>
      <c r="E221" t="s">
        <v>47</v>
      </c>
      <c r="F221" t="s">
        <v>103</v>
      </c>
      <c r="G221" s="3">
        <v>88.63</v>
      </c>
      <c r="H221" t="s">
        <v>26</v>
      </c>
      <c r="I221" t="s">
        <v>27</v>
      </c>
      <c r="J221" s="4" t="s">
        <v>104</v>
      </c>
      <c r="K221" t="s">
        <v>33</v>
      </c>
      <c r="L221" t="s">
        <v>30</v>
      </c>
      <c r="M221" t="s">
        <v>31</v>
      </c>
      <c r="N221" t="s">
        <v>32</v>
      </c>
      <c r="O221">
        <v>5</v>
      </c>
      <c r="P221">
        <v>4</v>
      </c>
      <c r="Q221" t="s">
        <v>33</v>
      </c>
      <c r="R221" t="s">
        <v>34</v>
      </c>
      <c r="S221" s="3">
        <v>0</v>
      </c>
      <c r="T221" t="s">
        <v>247</v>
      </c>
      <c r="U221" t="s">
        <v>36</v>
      </c>
      <c r="V221" t="str">
        <f t="shared" si="12"/>
        <v>2026-02</v>
      </c>
      <c r="W221" t="str">
        <f t="shared" si="13"/>
        <v>4-7 days</v>
      </c>
      <c r="X221" t="str">
        <f t="shared" si="14"/>
        <v>No Refund</v>
      </c>
      <c r="Y221" t="str">
        <f t="shared" si="15"/>
        <v>Medium</v>
      </c>
    </row>
    <row r="222" spans="1:25" ht="27.6">
      <c r="A222" t="s">
        <v>800</v>
      </c>
      <c r="B222" t="s">
        <v>801</v>
      </c>
      <c r="C222" t="s">
        <v>802</v>
      </c>
      <c r="D222" s="2">
        <v>46039</v>
      </c>
      <c r="E222" t="s">
        <v>24</v>
      </c>
      <c r="F222" t="s">
        <v>118</v>
      </c>
      <c r="G222" s="3">
        <v>28.43</v>
      </c>
      <c r="H222" t="s">
        <v>58</v>
      </c>
      <c r="I222" t="s">
        <v>50</v>
      </c>
      <c r="J222" s="4" t="s">
        <v>119</v>
      </c>
      <c r="K222" t="s">
        <v>33</v>
      </c>
      <c r="L222" t="s">
        <v>30</v>
      </c>
      <c r="M222" t="s">
        <v>31</v>
      </c>
      <c r="N222" t="s">
        <v>32</v>
      </c>
      <c r="O222">
        <v>5</v>
      </c>
      <c r="P222">
        <v>8</v>
      </c>
      <c r="Q222" t="s">
        <v>29</v>
      </c>
      <c r="R222" t="s">
        <v>85</v>
      </c>
      <c r="S222" s="3">
        <v>0</v>
      </c>
      <c r="T222" t="s">
        <v>121</v>
      </c>
      <c r="U222" t="s">
        <v>63</v>
      </c>
      <c r="V222" t="str">
        <f t="shared" si="12"/>
        <v>2026-01</v>
      </c>
      <c r="W222" t="str">
        <f t="shared" si="13"/>
        <v>8-14 days</v>
      </c>
      <c r="X222" t="str">
        <f t="shared" si="14"/>
        <v>No Refund</v>
      </c>
      <c r="Y222" t="str">
        <f t="shared" si="15"/>
        <v>High</v>
      </c>
    </row>
    <row r="223" spans="1:25" ht="27.6">
      <c r="A223" t="s">
        <v>803</v>
      </c>
      <c r="B223" t="s">
        <v>804</v>
      </c>
      <c r="C223" t="s">
        <v>805</v>
      </c>
      <c r="D223" s="2">
        <v>46058</v>
      </c>
      <c r="E223" t="s">
        <v>40</v>
      </c>
      <c r="F223" t="s">
        <v>172</v>
      </c>
      <c r="G223" s="3">
        <v>33.31</v>
      </c>
      <c r="H223" t="s">
        <v>26</v>
      </c>
      <c r="I223" t="s">
        <v>50</v>
      </c>
      <c r="J223" s="4" t="s">
        <v>285</v>
      </c>
      <c r="K223" t="s">
        <v>33</v>
      </c>
      <c r="L223" t="s">
        <v>30</v>
      </c>
      <c r="M223" t="s">
        <v>31</v>
      </c>
      <c r="N223" t="s">
        <v>32</v>
      </c>
      <c r="O223">
        <v>7</v>
      </c>
      <c r="P223">
        <v>12</v>
      </c>
      <c r="Q223" t="s">
        <v>29</v>
      </c>
      <c r="R223" t="s">
        <v>174</v>
      </c>
      <c r="S223" s="3">
        <v>0</v>
      </c>
      <c r="T223" t="s">
        <v>69</v>
      </c>
      <c r="U223" t="s">
        <v>63</v>
      </c>
      <c r="V223" t="str">
        <f t="shared" si="12"/>
        <v>2026-02</v>
      </c>
      <c r="W223" t="str">
        <f t="shared" si="13"/>
        <v>8-14 days</v>
      </c>
      <c r="X223" t="str">
        <f t="shared" si="14"/>
        <v>No Refund</v>
      </c>
      <c r="Y223" t="str">
        <f t="shared" si="15"/>
        <v>Medium</v>
      </c>
    </row>
    <row r="224" spans="1:25" ht="27.6">
      <c r="A224" t="s">
        <v>806</v>
      </c>
      <c r="B224" t="s">
        <v>807</v>
      </c>
      <c r="C224" t="s">
        <v>472</v>
      </c>
      <c r="D224" s="2">
        <v>46099</v>
      </c>
      <c r="E224" t="s">
        <v>94</v>
      </c>
      <c r="F224" t="s">
        <v>57</v>
      </c>
      <c r="G224" s="3">
        <v>79.08</v>
      </c>
      <c r="H224" t="s">
        <v>26</v>
      </c>
      <c r="I224" t="s">
        <v>27</v>
      </c>
      <c r="J224" s="4" t="s">
        <v>59</v>
      </c>
      <c r="K224" t="s">
        <v>33</v>
      </c>
      <c r="L224" t="s">
        <v>60</v>
      </c>
      <c r="M224" t="s">
        <v>31</v>
      </c>
      <c r="N224" t="s">
        <v>32</v>
      </c>
      <c r="O224">
        <v>10</v>
      </c>
      <c r="P224">
        <v>15</v>
      </c>
      <c r="Q224" t="s">
        <v>29</v>
      </c>
      <c r="R224" t="s">
        <v>61</v>
      </c>
      <c r="S224" s="3">
        <v>39.54</v>
      </c>
      <c r="T224" t="s">
        <v>62</v>
      </c>
      <c r="U224" t="s">
        <v>63</v>
      </c>
      <c r="V224" t="str">
        <f t="shared" si="12"/>
        <v>2026-03</v>
      </c>
      <c r="W224" t="str">
        <f t="shared" si="13"/>
        <v>15+ days</v>
      </c>
      <c r="X224" t="str">
        <f t="shared" si="14"/>
        <v>Refund Issued</v>
      </c>
      <c r="Y224" t="str">
        <f t="shared" si="15"/>
        <v>Low</v>
      </c>
    </row>
    <row r="225" spans="1:25" ht="27.6">
      <c r="A225" t="s">
        <v>808</v>
      </c>
      <c r="B225" t="s">
        <v>809</v>
      </c>
      <c r="C225" t="s">
        <v>810</v>
      </c>
      <c r="D225" s="2">
        <v>46101</v>
      </c>
      <c r="E225" t="s">
        <v>47</v>
      </c>
      <c r="F225" t="s">
        <v>73</v>
      </c>
      <c r="G225" s="3">
        <v>25.75</v>
      </c>
      <c r="H225" t="s">
        <v>108</v>
      </c>
      <c r="I225" t="s">
        <v>67</v>
      </c>
      <c r="J225" s="4" t="s">
        <v>75</v>
      </c>
      <c r="K225" t="s">
        <v>29</v>
      </c>
      <c r="L225" t="s">
        <v>60</v>
      </c>
      <c r="M225" t="s">
        <v>31</v>
      </c>
      <c r="N225" t="s">
        <v>32</v>
      </c>
      <c r="O225">
        <v>10</v>
      </c>
      <c r="P225">
        <v>6</v>
      </c>
      <c r="Q225" t="s">
        <v>33</v>
      </c>
      <c r="R225" t="s">
        <v>61</v>
      </c>
      <c r="S225" s="3">
        <v>12.88</v>
      </c>
      <c r="T225" t="s">
        <v>62</v>
      </c>
      <c r="U225" t="s">
        <v>63</v>
      </c>
      <c r="V225" t="str">
        <f t="shared" si="12"/>
        <v>2026-03</v>
      </c>
      <c r="W225" t="str">
        <f t="shared" si="13"/>
        <v>4-7 days</v>
      </c>
      <c r="X225" t="str">
        <f t="shared" si="14"/>
        <v>Refund Issued</v>
      </c>
      <c r="Y225" t="str">
        <f t="shared" si="15"/>
        <v>Low</v>
      </c>
    </row>
    <row r="226" spans="1:25" ht="27.6">
      <c r="A226" t="s">
        <v>811</v>
      </c>
      <c r="B226" t="s">
        <v>812</v>
      </c>
      <c r="C226" t="s">
        <v>813</v>
      </c>
      <c r="D226" s="2">
        <v>46099</v>
      </c>
      <c r="E226" t="s">
        <v>24</v>
      </c>
      <c r="F226" t="s">
        <v>73</v>
      </c>
      <c r="G226" s="3">
        <v>30.3</v>
      </c>
      <c r="H226" t="s">
        <v>108</v>
      </c>
      <c r="I226" t="s">
        <v>27</v>
      </c>
      <c r="J226" s="4" t="s">
        <v>75</v>
      </c>
      <c r="K226" t="s">
        <v>33</v>
      </c>
      <c r="L226" t="s">
        <v>60</v>
      </c>
      <c r="M226" t="s">
        <v>31</v>
      </c>
      <c r="N226" t="s">
        <v>84</v>
      </c>
      <c r="O226">
        <v>10</v>
      </c>
      <c r="P226">
        <v>12</v>
      </c>
      <c r="Q226" t="s">
        <v>29</v>
      </c>
      <c r="R226" t="s">
        <v>61</v>
      </c>
      <c r="S226" s="3">
        <v>0</v>
      </c>
      <c r="T226" t="s">
        <v>156</v>
      </c>
      <c r="U226" t="s">
        <v>63</v>
      </c>
      <c r="V226" t="str">
        <f t="shared" si="12"/>
        <v>2026-03</v>
      </c>
      <c r="W226" t="str">
        <f t="shared" si="13"/>
        <v>8-14 days</v>
      </c>
      <c r="X226" t="str">
        <f t="shared" si="14"/>
        <v>No Refund</v>
      </c>
      <c r="Y226" t="str">
        <f t="shared" si="15"/>
        <v>Low</v>
      </c>
    </row>
    <row r="227" spans="1:25" ht="27.6">
      <c r="A227" t="s">
        <v>814</v>
      </c>
      <c r="B227" t="s">
        <v>815</v>
      </c>
      <c r="C227" t="s">
        <v>816</v>
      </c>
      <c r="D227" s="2">
        <v>46132</v>
      </c>
      <c r="E227" t="s">
        <v>24</v>
      </c>
      <c r="F227" t="s">
        <v>48</v>
      </c>
      <c r="G227" s="3">
        <v>33.89</v>
      </c>
      <c r="H227" t="s">
        <v>74</v>
      </c>
      <c r="I227" t="s">
        <v>50</v>
      </c>
      <c r="J227" s="4" t="s">
        <v>51</v>
      </c>
      <c r="K227" t="s">
        <v>33</v>
      </c>
      <c r="L227" t="s">
        <v>30</v>
      </c>
      <c r="M227" t="s">
        <v>31</v>
      </c>
      <c r="N227" t="s">
        <v>32</v>
      </c>
      <c r="O227">
        <v>10</v>
      </c>
      <c r="P227">
        <v>8</v>
      </c>
      <c r="Q227" t="s">
        <v>33</v>
      </c>
      <c r="R227" t="s">
        <v>34</v>
      </c>
      <c r="S227" s="3">
        <v>16.95</v>
      </c>
      <c r="T227" t="s">
        <v>52</v>
      </c>
      <c r="U227" t="s">
        <v>63</v>
      </c>
      <c r="V227" t="str">
        <f t="shared" si="12"/>
        <v>2026-04</v>
      </c>
      <c r="W227" t="str">
        <f t="shared" si="13"/>
        <v>8-14 days</v>
      </c>
      <c r="X227" t="str">
        <f t="shared" si="14"/>
        <v>Refund Issued</v>
      </c>
      <c r="Y227" t="str">
        <f t="shared" si="15"/>
        <v>Low</v>
      </c>
    </row>
    <row r="228" spans="1:25" ht="27.6">
      <c r="A228" t="s">
        <v>817</v>
      </c>
      <c r="B228" t="s">
        <v>818</v>
      </c>
      <c r="C228" t="s">
        <v>819</v>
      </c>
      <c r="D228" s="2">
        <v>46111</v>
      </c>
      <c r="E228" t="s">
        <v>24</v>
      </c>
      <c r="F228" t="s">
        <v>25</v>
      </c>
      <c r="G228" s="3">
        <v>40.729999999999997</v>
      </c>
      <c r="H228" t="s">
        <v>26</v>
      </c>
      <c r="I228" t="s">
        <v>67</v>
      </c>
      <c r="J228" s="4" t="s">
        <v>42</v>
      </c>
      <c r="K228" t="s">
        <v>29</v>
      </c>
      <c r="L228" t="s">
        <v>30</v>
      </c>
      <c r="M228" t="s">
        <v>31</v>
      </c>
      <c r="N228" t="s">
        <v>32</v>
      </c>
      <c r="O228">
        <v>5</v>
      </c>
      <c r="P228">
        <v>2</v>
      </c>
      <c r="Q228" t="s">
        <v>33</v>
      </c>
      <c r="R228" t="s">
        <v>34</v>
      </c>
      <c r="S228" s="3">
        <v>40.729999999999997</v>
      </c>
      <c r="T228" t="s">
        <v>43</v>
      </c>
      <c r="U228" t="s">
        <v>53</v>
      </c>
      <c r="V228" t="str">
        <f t="shared" si="12"/>
        <v>2026-03</v>
      </c>
      <c r="W228" t="str">
        <f t="shared" si="13"/>
        <v>0-3 days</v>
      </c>
      <c r="X228" t="str">
        <f t="shared" si="14"/>
        <v>Refund Issued</v>
      </c>
      <c r="Y228" t="str">
        <f t="shared" si="15"/>
        <v>High</v>
      </c>
    </row>
    <row r="229" spans="1:25" ht="27.6">
      <c r="A229" t="s">
        <v>820</v>
      </c>
      <c r="B229" t="s">
        <v>821</v>
      </c>
      <c r="C229" t="s">
        <v>822</v>
      </c>
      <c r="D229" s="2">
        <v>46071</v>
      </c>
      <c r="E229" t="s">
        <v>24</v>
      </c>
      <c r="F229" t="s">
        <v>73</v>
      </c>
      <c r="G229" s="3">
        <v>40.76</v>
      </c>
      <c r="H229" t="s">
        <v>58</v>
      </c>
      <c r="I229" t="s">
        <v>50</v>
      </c>
      <c r="J229" s="4" t="s">
        <v>75</v>
      </c>
      <c r="K229" t="s">
        <v>29</v>
      </c>
      <c r="L229" t="s">
        <v>60</v>
      </c>
      <c r="M229" t="s">
        <v>31</v>
      </c>
      <c r="N229" t="s">
        <v>32</v>
      </c>
      <c r="O229">
        <v>10</v>
      </c>
      <c r="P229">
        <v>11</v>
      </c>
      <c r="Q229" t="s">
        <v>29</v>
      </c>
      <c r="R229" t="s">
        <v>61</v>
      </c>
      <c r="S229" s="3">
        <v>20.38</v>
      </c>
      <c r="T229" t="s">
        <v>62</v>
      </c>
      <c r="U229" t="s">
        <v>63</v>
      </c>
      <c r="V229" t="str">
        <f t="shared" si="12"/>
        <v>2026-02</v>
      </c>
      <c r="W229" t="str">
        <f t="shared" si="13"/>
        <v>8-14 days</v>
      </c>
      <c r="X229" t="str">
        <f t="shared" si="14"/>
        <v>Refund Issued</v>
      </c>
      <c r="Y229" t="str">
        <f t="shared" si="15"/>
        <v>Low</v>
      </c>
    </row>
    <row r="230" spans="1:25" ht="27.6">
      <c r="A230" t="s">
        <v>823</v>
      </c>
      <c r="B230" t="s">
        <v>801</v>
      </c>
      <c r="C230" t="s">
        <v>824</v>
      </c>
      <c r="D230" s="2">
        <v>46028</v>
      </c>
      <c r="E230" t="s">
        <v>24</v>
      </c>
      <c r="F230" t="s">
        <v>25</v>
      </c>
      <c r="G230" s="3">
        <v>36.869999999999997</v>
      </c>
      <c r="H230" t="s">
        <v>41</v>
      </c>
      <c r="I230" t="s">
        <v>27</v>
      </c>
      <c r="J230" s="4" t="s">
        <v>825</v>
      </c>
      <c r="K230" t="s">
        <v>29</v>
      </c>
      <c r="L230" t="s">
        <v>30</v>
      </c>
      <c r="M230" t="s">
        <v>31</v>
      </c>
      <c r="N230" t="s">
        <v>32</v>
      </c>
      <c r="O230">
        <v>5</v>
      </c>
      <c r="P230">
        <v>5</v>
      </c>
      <c r="Q230" t="s">
        <v>33</v>
      </c>
      <c r="R230" t="s">
        <v>34</v>
      </c>
      <c r="S230" s="3">
        <v>36.869999999999997</v>
      </c>
      <c r="T230" t="s">
        <v>35</v>
      </c>
      <c r="U230" t="s">
        <v>36</v>
      </c>
      <c r="V230" t="str">
        <f t="shared" si="12"/>
        <v>2026-01</v>
      </c>
      <c r="W230" t="str">
        <f t="shared" si="13"/>
        <v>4-7 days</v>
      </c>
      <c r="X230" t="str">
        <f t="shared" si="14"/>
        <v>Refund Issued</v>
      </c>
      <c r="Y230" t="str">
        <f t="shared" si="15"/>
        <v>High</v>
      </c>
    </row>
    <row r="231" spans="1:25" ht="27.6">
      <c r="A231" t="s">
        <v>826</v>
      </c>
      <c r="B231" t="s">
        <v>827</v>
      </c>
      <c r="C231" t="s">
        <v>828</v>
      </c>
      <c r="D231" s="2">
        <v>46049</v>
      </c>
      <c r="E231" t="s">
        <v>47</v>
      </c>
      <c r="F231" t="s">
        <v>172</v>
      </c>
      <c r="G231" s="3">
        <v>9.2799999999999994</v>
      </c>
      <c r="H231" t="s">
        <v>108</v>
      </c>
      <c r="I231" t="s">
        <v>27</v>
      </c>
      <c r="J231" s="4" t="s">
        <v>285</v>
      </c>
      <c r="K231" t="s">
        <v>29</v>
      </c>
      <c r="L231" t="s">
        <v>30</v>
      </c>
      <c r="M231" t="s">
        <v>31</v>
      </c>
      <c r="N231" t="s">
        <v>84</v>
      </c>
      <c r="O231">
        <v>7</v>
      </c>
      <c r="P231">
        <v>7</v>
      </c>
      <c r="Q231" t="s">
        <v>33</v>
      </c>
      <c r="R231" t="s">
        <v>174</v>
      </c>
      <c r="S231" s="3">
        <v>0</v>
      </c>
      <c r="T231" t="s">
        <v>286</v>
      </c>
      <c r="U231" t="s">
        <v>36</v>
      </c>
      <c r="V231" t="str">
        <f t="shared" si="12"/>
        <v>2026-01</v>
      </c>
      <c r="W231" t="str">
        <f t="shared" si="13"/>
        <v>4-7 days</v>
      </c>
      <c r="X231" t="str">
        <f t="shared" si="14"/>
        <v>No Refund</v>
      </c>
      <c r="Y231" t="str">
        <f t="shared" si="15"/>
        <v>Medium</v>
      </c>
    </row>
    <row r="232" spans="1:25" ht="27.6">
      <c r="A232" t="s">
        <v>829</v>
      </c>
      <c r="B232" t="s">
        <v>830</v>
      </c>
      <c r="C232" t="s">
        <v>831</v>
      </c>
      <c r="D232" s="2">
        <v>46033</v>
      </c>
      <c r="E232" t="s">
        <v>47</v>
      </c>
      <c r="F232" t="s">
        <v>73</v>
      </c>
      <c r="G232" s="3">
        <v>68.61</v>
      </c>
      <c r="H232" t="s">
        <v>74</v>
      </c>
      <c r="I232" t="s">
        <v>27</v>
      </c>
      <c r="J232" s="4" t="s">
        <v>75</v>
      </c>
      <c r="K232" t="s">
        <v>29</v>
      </c>
      <c r="L232" t="s">
        <v>60</v>
      </c>
      <c r="M232" t="s">
        <v>31</v>
      </c>
      <c r="N232" t="s">
        <v>32</v>
      </c>
      <c r="O232">
        <v>10</v>
      </c>
      <c r="P232">
        <v>13</v>
      </c>
      <c r="Q232" t="s">
        <v>29</v>
      </c>
      <c r="R232" t="s">
        <v>61</v>
      </c>
      <c r="S232" s="3">
        <v>68.61</v>
      </c>
      <c r="T232" t="s">
        <v>156</v>
      </c>
      <c r="U232" t="s">
        <v>63</v>
      </c>
      <c r="V232" t="str">
        <f t="shared" si="12"/>
        <v>2026-01</v>
      </c>
      <c r="W232" t="str">
        <f t="shared" si="13"/>
        <v>8-14 days</v>
      </c>
      <c r="X232" t="str">
        <f t="shared" si="14"/>
        <v>Refund Issued</v>
      </c>
      <c r="Y232" t="str">
        <f t="shared" si="15"/>
        <v>Low</v>
      </c>
    </row>
    <row r="233" spans="1:25" ht="27.6">
      <c r="A233" t="s">
        <v>832</v>
      </c>
      <c r="B233" t="s">
        <v>833</v>
      </c>
      <c r="C233" t="s">
        <v>834</v>
      </c>
      <c r="D233" s="2">
        <v>46082</v>
      </c>
      <c r="E233" t="s">
        <v>47</v>
      </c>
      <c r="F233" t="s">
        <v>48</v>
      </c>
      <c r="G233" s="3">
        <v>28.16</v>
      </c>
      <c r="H233" t="s">
        <v>49</v>
      </c>
      <c r="I233" t="s">
        <v>27</v>
      </c>
      <c r="J233" s="4" t="s">
        <v>51</v>
      </c>
      <c r="K233" t="s">
        <v>29</v>
      </c>
      <c r="L233" t="s">
        <v>30</v>
      </c>
      <c r="M233" t="s">
        <v>31</v>
      </c>
      <c r="N233" t="s">
        <v>32</v>
      </c>
      <c r="O233">
        <v>10</v>
      </c>
      <c r="P233">
        <v>2</v>
      </c>
      <c r="Q233" t="s">
        <v>33</v>
      </c>
      <c r="R233" t="s">
        <v>34</v>
      </c>
      <c r="S233" s="3">
        <v>0</v>
      </c>
      <c r="T233" t="s">
        <v>52</v>
      </c>
      <c r="U233" t="s">
        <v>36</v>
      </c>
      <c r="V233" t="str">
        <f t="shared" si="12"/>
        <v>2026-03</v>
      </c>
      <c r="W233" t="str">
        <f t="shared" si="13"/>
        <v>0-3 days</v>
      </c>
      <c r="X233" t="str">
        <f t="shared" si="14"/>
        <v>No Refund</v>
      </c>
      <c r="Y233" t="str">
        <f t="shared" si="15"/>
        <v>Low</v>
      </c>
    </row>
    <row r="234" spans="1:25" ht="27.6">
      <c r="A234" t="s">
        <v>835</v>
      </c>
      <c r="B234" t="s">
        <v>836</v>
      </c>
      <c r="C234" t="s">
        <v>837</v>
      </c>
      <c r="D234" s="2">
        <v>46034</v>
      </c>
      <c r="E234" t="s">
        <v>24</v>
      </c>
      <c r="F234" t="s">
        <v>25</v>
      </c>
      <c r="G234" s="3">
        <v>55.69</v>
      </c>
      <c r="H234" t="s">
        <v>108</v>
      </c>
      <c r="I234" t="s">
        <v>67</v>
      </c>
      <c r="J234" s="4" t="s">
        <v>42</v>
      </c>
      <c r="K234" t="s">
        <v>29</v>
      </c>
      <c r="L234" t="s">
        <v>30</v>
      </c>
      <c r="M234" t="s">
        <v>31</v>
      </c>
      <c r="N234" t="s">
        <v>32</v>
      </c>
      <c r="O234">
        <v>5</v>
      </c>
      <c r="P234">
        <v>10</v>
      </c>
      <c r="Q234" t="s">
        <v>29</v>
      </c>
      <c r="R234" t="s">
        <v>34</v>
      </c>
      <c r="S234" s="3">
        <v>41.77</v>
      </c>
      <c r="T234" t="s">
        <v>35</v>
      </c>
      <c r="U234" t="s">
        <v>63</v>
      </c>
      <c r="V234" t="str">
        <f t="shared" si="12"/>
        <v>2026-01</v>
      </c>
      <c r="W234" t="str">
        <f t="shared" si="13"/>
        <v>8-14 days</v>
      </c>
      <c r="X234" t="str">
        <f t="shared" si="14"/>
        <v>Refund Issued</v>
      </c>
      <c r="Y234" t="str">
        <f t="shared" si="15"/>
        <v>High</v>
      </c>
    </row>
    <row r="235" spans="1:25" ht="27.6">
      <c r="A235" t="s">
        <v>838</v>
      </c>
      <c r="B235" t="s">
        <v>839</v>
      </c>
      <c r="C235" t="s">
        <v>840</v>
      </c>
      <c r="D235" s="2">
        <v>46145</v>
      </c>
      <c r="E235" t="s">
        <v>40</v>
      </c>
      <c r="F235" t="s">
        <v>172</v>
      </c>
      <c r="G235" s="3">
        <v>65.900000000000006</v>
      </c>
      <c r="H235" t="s">
        <v>58</v>
      </c>
      <c r="I235" t="s">
        <v>50</v>
      </c>
      <c r="J235" s="4" t="s">
        <v>285</v>
      </c>
      <c r="K235" t="s">
        <v>33</v>
      </c>
      <c r="L235" t="s">
        <v>30</v>
      </c>
      <c r="M235" t="s">
        <v>31</v>
      </c>
      <c r="N235" t="s">
        <v>32</v>
      </c>
      <c r="O235">
        <v>7</v>
      </c>
      <c r="P235">
        <v>14</v>
      </c>
      <c r="Q235" t="s">
        <v>29</v>
      </c>
      <c r="R235" t="s">
        <v>174</v>
      </c>
      <c r="S235" s="3">
        <v>0</v>
      </c>
      <c r="T235" t="s">
        <v>69</v>
      </c>
      <c r="U235" t="s">
        <v>63</v>
      </c>
      <c r="V235" t="str">
        <f t="shared" si="12"/>
        <v>2026-05</v>
      </c>
      <c r="W235" t="str">
        <f t="shared" si="13"/>
        <v>8-14 days</v>
      </c>
      <c r="X235" t="str">
        <f t="shared" si="14"/>
        <v>No Refund</v>
      </c>
      <c r="Y235" t="str">
        <f t="shared" si="15"/>
        <v>Medium</v>
      </c>
    </row>
    <row r="236" spans="1:25" ht="27.6">
      <c r="A236" t="s">
        <v>841</v>
      </c>
      <c r="B236" t="s">
        <v>842</v>
      </c>
      <c r="C236" t="s">
        <v>843</v>
      </c>
      <c r="D236" s="2">
        <v>46120</v>
      </c>
      <c r="E236" t="s">
        <v>40</v>
      </c>
      <c r="F236" t="s">
        <v>172</v>
      </c>
      <c r="G236" s="3">
        <v>38.54</v>
      </c>
      <c r="H236" t="s">
        <v>108</v>
      </c>
      <c r="I236" t="s">
        <v>27</v>
      </c>
      <c r="J236" s="4" t="s">
        <v>285</v>
      </c>
      <c r="K236" t="s">
        <v>29</v>
      </c>
      <c r="L236" t="s">
        <v>30</v>
      </c>
      <c r="M236" t="s">
        <v>31</v>
      </c>
      <c r="N236" t="s">
        <v>32</v>
      </c>
      <c r="O236">
        <v>7</v>
      </c>
      <c r="P236">
        <v>6</v>
      </c>
      <c r="Q236" t="s">
        <v>33</v>
      </c>
      <c r="R236" t="s">
        <v>174</v>
      </c>
      <c r="S236" s="3">
        <v>0</v>
      </c>
      <c r="T236" t="s">
        <v>110</v>
      </c>
      <c r="U236" t="s">
        <v>53</v>
      </c>
      <c r="V236" t="str">
        <f t="shared" si="12"/>
        <v>2026-04</v>
      </c>
      <c r="W236" t="str">
        <f t="shared" si="13"/>
        <v>4-7 days</v>
      </c>
      <c r="X236" t="str">
        <f t="shared" si="14"/>
        <v>No Refund</v>
      </c>
      <c r="Y236" t="str">
        <f t="shared" si="15"/>
        <v>Medium</v>
      </c>
    </row>
    <row r="237" spans="1:25" ht="27.6">
      <c r="A237" t="s">
        <v>844</v>
      </c>
      <c r="B237" t="s">
        <v>845</v>
      </c>
      <c r="C237" t="s">
        <v>846</v>
      </c>
      <c r="D237" s="2">
        <v>46047</v>
      </c>
      <c r="E237" t="s">
        <v>47</v>
      </c>
      <c r="F237" t="s">
        <v>103</v>
      </c>
      <c r="G237" s="3">
        <v>37.4</v>
      </c>
      <c r="H237" t="s">
        <v>58</v>
      </c>
      <c r="I237" t="s">
        <v>27</v>
      </c>
      <c r="J237" s="4" t="s">
        <v>104</v>
      </c>
      <c r="K237" t="s">
        <v>33</v>
      </c>
      <c r="L237" t="s">
        <v>30</v>
      </c>
      <c r="M237" t="s">
        <v>31</v>
      </c>
      <c r="N237" t="s">
        <v>32</v>
      </c>
      <c r="O237">
        <v>5</v>
      </c>
      <c r="P237">
        <v>13</v>
      </c>
      <c r="Q237" t="s">
        <v>29</v>
      </c>
      <c r="R237" t="s">
        <v>34</v>
      </c>
      <c r="S237" s="3">
        <v>0</v>
      </c>
      <c r="T237" t="s">
        <v>35</v>
      </c>
      <c r="U237" t="s">
        <v>63</v>
      </c>
      <c r="V237" t="str">
        <f t="shared" si="12"/>
        <v>2026-01</v>
      </c>
      <c r="W237" t="str">
        <f t="shared" si="13"/>
        <v>8-14 days</v>
      </c>
      <c r="X237" t="str">
        <f t="shared" si="14"/>
        <v>No Refund</v>
      </c>
      <c r="Y237" t="str">
        <f t="shared" si="15"/>
        <v>Medium</v>
      </c>
    </row>
    <row r="238" spans="1:25" ht="27.6">
      <c r="A238" t="s">
        <v>847</v>
      </c>
      <c r="B238" t="s">
        <v>848</v>
      </c>
      <c r="C238" t="s">
        <v>849</v>
      </c>
      <c r="D238" s="2">
        <v>46042</v>
      </c>
      <c r="E238" t="s">
        <v>40</v>
      </c>
      <c r="F238" t="s">
        <v>118</v>
      </c>
      <c r="G238" s="3">
        <v>28.74</v>
      </c>
      <c r="H238" t="s">
        <v>89</v>
      </c>
      <c r="I238" t="s">
        <v>27</v>
      </c>
      <c r="J238" s="4" t="s">
        <v>850</v>
      </c>
      <c r="K238" t="s">
        <v>29</v>
      </c>
      <c r="L238" t="s">
        <v>120</v>
      </c>
      <c r="M238" t="s">
        <v>96</v>
      </c>
      <c r="N238" t="s">
        <v>32</v>
      </c>
      <c r="O238">
        <v>5</v>
      </c>
      <c r="P238">
        <v>1</v>
      </c>
      <c r="Q238" t="s">
        <v>33</v>
      </c>
      <c r="R238" t="s">
        <v>85</v>
      </c>
      <c r="S238" s="3">
        <v>28.74</v>
      </c>
      <c r="T238" t="s">
        <v>121</v>
      </c>
      <c r="U238" t="s">
        <v>36</v>
      </c>
      <c r="V238" t="str">
        <f t="shared" si="12"/>
        <v>2026-01</v>
      </c>
      <c r="W238" t="str">
        <f t="shared" si="13"/>
        <v>0-3 days</v>
      </c>
      <c r="X238" t="str">
        <f t="shared" si="14"/>
        <v>Refund Issued</v>
      </c>
      <c r="Y238" t="str">
        <f t="shared" si="15"/>
        <v>High</v>
      </c>
    </row>
    <row r="239" spans="1:25" ht="27.6">
      <c r="A239" t="s">
        <v>851</v>
      </c>
      <c r="B239" t="s">
        <v>852</v>
      </c>
      <c r="C239" t="s">
        <v>853</v>
      </c>
      <c r="D239" s="2">
        <v>46103</v>
      </c>
      <c r="E239" t="s">
        <v>24</v>
      </c>
      <c r="F239" t="s">
        <v>82</v>
      </c>
      <c r="G239" s="3">
        <v>51.9</v>
      </c>
      <c r="H239" t="s">
        <v>108</v>
      </c>
      <c r="I239" t="s">
        <v>27</v>
      </c>
      <c r="J239" s="4" t="s">
        <v>114</v>
      </c>
      <c r="K239" t="s">
        <v>33</v>
      </c>
      <c r="L239" t="s">
        <v>30</v>
      </c>
      <c r="M239" t="s">
        <v>31</v>
      </c>
      <c r="N239" t="s">
        <v>126</v>
      </c>
      <c r="O239">
        <v>7</v>
      </c>
      <c r="P239">
        <v>7</v>
      </c>
      <c r="Q239" t="s">
        <v>33</v>
      </c>
      <c r="R239" t="s">
        <v>85</v>
      </c>
      <c r="S239" s="3">
        <v>0</v>
      </c>
      <c r="T239" t="s">
        <v>43</v>
      </c>
      <c r="U239" t="s">
        <v>36</v>
      </c>
      <c r="V239" t="str">
        <f t="shared" si="12"/>
        <v>2026-03</v>
      </c>
      <c r="W239" t="str">
        <f t="shared" si="13"/>
        <v>4-7 days</v>
      </c>
      <c r="X239" t="str">
        <f t="shared" si="14"/>
        <v>No Refund</v>
      </c>
      <c r="Y239" t="str">
        <f t="shared" si="15"/>
        <v>High</v>
      </c>
    </row>
    <row r="240" spans="1:25" ht="27.6">
      <c r="A240" t="s">
        <v>854</v>
      </c>
      <c r="B240" t="s">
        <v>855</v>
      </c>
      <c r="C240" t="s">
        <v>856</v>
      </c>
      <c r="D240" s="2">
        <v>46116</v>
      </c>
      <c r="E240" t="s">
        <v>40</v>
      </c>
      <c r="F240" t="s">
        <v>57</v>
      </c>
      <c r="G240" s="3">
        <v>85.76</v>
      </c>
      <c r="H240" t="s">
        <v>49</v>
      </c>
      <c r="I240" t="s">
        <v>50</v>
      </c>
      <c r="J240" s="4" t="s">
        <v>155</v>
      </c>
      <c r="K240" t="s">
        <v>29</v>
      </c>
      <c r="L240" t="s">
        <v>60</v>
      </c>
      <c r="M240" t="s">
        <v>31</v>
      </c>
      <c r="N240" t="s">
        <v>32</v>
      </c>
      <c r="O240">
        <v>10</v>
      </c>
      <c r="P240">
        <v>8</v>
      </c>
      <c r="Q240" t="s">
        <v>33</v>
      </c>
      <c r="R240" t="s">
        <v>61</v>
      </c>
      <c r="S240" s="3">
        <v>85.76</v>
      </c>
      <c r="T240" t="s">
        <v>62</v>
      </c>
      <c r="U240" t="s">
        <v>63</v>
      </c>
      <c r="V240" t="str">
        <f t="shared" si="12"/>
        <v>2026-04</v>
      </c>
      <c r="W240" t="str">
        <f t="shared" si="13"/>
        <v>8-14 days</v>
      </c>
      <c r="X240" t="str">
        <f t="shared" si="14"/>
        <v>Refund Issued</v>
      </c>
      <c r="Y240" t="str">
        <f t="shared" si="15"/>
        <v>Low</v>
      </c>
    </row>
    <row r="241" spans="1:25" ht="27.6">
      <c r="A241" t="s">
        <v>857</v>
      </c>
      <c r="B241" t="s">
        <v>858</v>
      </c>
      <c r="C241" t="s">
        <v>859</v>
      </c>
      <c r="D241" s="2">
        <v>46118</v>
      </c>
      <c r="E241" t="s">
        <v>40</v>
      </c>
      <c r="F241" t="s">
        <v>25</v>
      </c>
      <c r="G241" s="3">
        <v>22.88</v>
      </c>
      <c r="H241" t="s">
        <v>58</v>
      </c>
      <c r="I241" t="s">
        <v>50</v>
      </c>
      <c r="J241" s="4" t="s">
        <v>860</v>
      </c>
      <c r="K241" t="s">
        <v>29</v>
      </c>
      <c r="L241" t="s">
        <v>30</v>
      </c>
      <c r="M241" t="s">
        <v>96</v>
      </c>
      <c r="N241" t="s">
        <v>32</v>
      </c>
      <c r="O241">
        <v>5</v>
      </c>
      <c r="P241">
        <v>8</v>
      </c>
      <c r="Q241" t="s">
        <v>29</v>
      </c>
      <c r="R241" t="s">
        <v>34</v>
      </c>
      <c r="S241" s="3">
        <v>22.88</v>
      </c>
      <c r="T241" t="s">
        <v>43</v>
      </c>
      <c r="U241" t="s">
        <v>63</v>
      </c>
      <c r="V241" t="str">
        <f t="shared" si="12"/>
        <v>2026-04</v>
      </c>
      <c r="W241" t="str">
        <f t="shared" si="13"/>
        <v>8-14 days</v>
      </c>
      <c r="X241" t="str">
        <f t="shared" si="14"/>
        <v>Refund Issued</v>
      </c>
      <c r="Y241" t="str">
        <f t="shared" si="15"/>
        <v>High</v>
      </c>
    </row>
    <row r="242" spans="1:25" ht="27.6">
      <c r="A242" t="s">
        <v>861</v>
      </c>
      <c r="B242" t="s">
        <v>862</v>
      </c>
      <c r="C242" t="s">
        <v>863</v>
      </c>
      <c r="D242" s="2">
        <v>46123</v>
      </c>
      <c r="E242" t="s">
        <v>24</v>
      </c>
      <c r="F242" t="s">
        <v>57</v>
      </c>
      <c r="G242" s="3">
        <v>20.46</v>
      </c>
      <c r="H242" t="s">
        <v>49</v>
      </c>
      <c r="I242" t="s">
        <v>27</v>
      </c>
      <c r="J242" s="4" t="s">
        <v>59</v>
      </c>
      <c r="K242" t="s">
        <v>33</v>
      </c>
      <c r="L242" t="s">
        <v>60</v>
      </c>
      <c r="M242" t="s">
        <v>31</v>
      </c>
      <c r="N242" t="s">
        <v>32</v>
      </c>
      <c r="O242">
        <v>10</v>
      </c>
      <c r="P242">
        <v>9</v>
      </c>
      <c r="Q242" t="s">
        <v>33</v>
      </c>
      <c r="R242" t="s">
        <v>61</v>
      </c>
      <c r="S242" s="3">
        <v>0</v>
      </c>
      <c r="T242" t="s">
        <v>62</v>
      </c>
      <c r="U242" t="s">
        <v>63</v>
      </c>
      <c r="V242" t="str">
        <f t="shared" si="12"/>
        <v>2026-04</v>
      </c>
      <c r="W242" t="str">
        <f t="shared" si="13"/>
        <v>8-14 days</v>
      </c>
      <c r="X242" t="str">
        <f t="shared" si="14"/>
        <v>No Refund</v>
      </c>
      <c r="Y242" t="str">
        <f t="shared" si="15"/>
        <v>Low</v>
      </c>
    </row>
    <row r="243" spans="1:25" ht="27.6">
      <c r="A243" t="s">
        <v>864</v>
      </c>
      <c r="B243" t="s">
        <v>865</v>
      </c>
      <c r="C243" t="s">
        <v>866</v>
      </c>
      <c r="D243" s="2">
        <v>46158</v>
      </c>
      <c r="E243" t="s">
        <v>40</v>
      </c>
      <c r="F243" t="s">
        <v>172</v>
      </c>
      <c r="G243" s="3">
        <v>31.94</v>
      </c>
      <c r="H243" t="s">
        <v>89</v>
      </c>
      <c r="I243" t="s">
        <v>67</v>
      </c>
      <c r="J243" s="4" t="s">
        <v>173</v>
      </c>
      <c r="K243" t="s">
        <v>33</v>
      </c>
      <c r="L243" t="s">
        <v>30</v>
      </c>
      <c r="M243" t="s">
        <v>31</v>
      </c>
      <c r="N243" t="s">
        <v>32</v>
      </c>
      <c r="O243">
        <v>7</v>
      </c>
      <c r="P243">
        <v>8</v>
      </c>
      <c r="Q243" t="s">
        <v>29</v>
      </c>
      <c r="R243" t="s">
        <v>174</v>
      </c>
      <c r="S243" s="3">
        <v>0</v>
      </c>
      <c r="T243" t="s">
        <v>110</v>
      </c>
      <c r="U243" t="s">
        <v>63</v>
      </c>
      <c r="V243" t="str">
        <f t="shared" si="12"/>
        <v>2026-05</v>
      </c>
      <c r="W243" t="str">
        <f t="shared" si="13"/>
        <v>8-14 days</v>
      </c>
      <c r="X243" t="str">
        <f t="shared" si="14"/>
        <v>No Refund</v>
      </c>
      <c r="Y243" t="str">
        <f t="shared" si="15"/>
        <v>Medium</v>
      </c>
    </row>
    <row r="244" spans="1:25" ht="27.6">
      <c r="A244" t="s">
        <v>867</v>
      </c>
      <c r="B244" t="s">
        <v>868</v>
      </c>
      <c r="C244" t="s">
        <v>869</v>
      </c>
      <c r="D244" s="2">
        <v>46105</v>
      </c>
      <c r="E244" t="s">
        <v>47</v>
      </c>
      <c r="F244" t="s">
        <v>82</v>
      </c>
      <c r="G244" s="3">
        <v>68.489999999999995</v>
      </c>
      <c r="H244" t="s">
        <v>41</v>
      </c>
      <c r="I244" t="s">
        <v>67</v>
      </c>
      <c r="J244" s="4" t="s">
        <v>870</v>
      </c>
      <c r="K244" t="s">
        <v>33</v>
      </c>
      <c r="L244" t="s">
        <v>30</v>
      </c>
      <c r="M244" t="s">
        <v>31</v>
      </c>
      <c r="N244" t="s">
        <v>126</v>
      </c>
      <c r="O244">
        <v>7</v>
      </c>
      <c r="P244">
        <v>8</v>
      </c>
      <c r="Q244" t="s">
        <v>29</v>
      </c>
      <c r="R244" t="s">
        <v>85</v>
      </c>
      <c r="S244" s="3">
        <v>0</v>
      </c>
      <c r="T244" t="s">
        <v>43</v>
      </c>
      <c r="U244" t="s">
        <v>63</v>
      </c>
      <c r="V244" t="str">
        <f t="shared" si="12"/>
        <v>2026-03</v>
      </c>
      <c r="W244" t="str">
        <f t="shared" si="13"/>
        <v>8-14 days</v>
      </c>
      <c r="X244" t="str">
        <f t="shared" si="14"/>
        <v>No Refund</v>
      </c>
      <c r="Y244" t="str">
        <f t="shared" si="15"/>
        <v>High</v>
      </c>
    </row>
    <row r="245" spans="1:25" ht="27.6">
      <c r="A245" t="s">
        <v>871</v>
      </c>
      <c r="B245" t="s">
        <v>872</v>
      </c>
      <c r="C245" t="s">
        <v>873</v>
      </c>
      <c r="D245" s="2">
        <v>46164</v>
      </c>
      <c r="E245" t="s">
        <v>47</v>
      </c>
      <c r="F245" t="s">
        <v>118</v>
      </c>
      <c r="G245" s="3">
        <v>52.21</v>
      </c>
      <c r="H245" t="s">
        <v>41</v>
      </c>
      <c r="I245" t="s">
        <v>67</v>
      </c>
      <c r="J245" s="4" t="s">
        <v>874</v>
      </c>
      <c r="K245" t="s">
        <v>29</v>
      </c>
      <c r="L245" t="s">
        <v>120</v>
      </c>
      <c r="M245" t="s">
        <v>96</v>
      </c>
      <c r="N245" t="s">
        <v>32</v>
      </c>
      <c r="O245">
        <v>5</v>
      </c>
      <c r="P245">
        <v>6</v>
      </c>
      <c r="Q245" t="s">
        <v>29</v>
      </c>
      <c r="R245" t="s">
        <v>85</v>
      </c>
      <c r="S245" s="3">
        <v>52.21</v>
      </c>
      <c r="T245" t="s">
        <v>121</v>
      </c>
      <c r="U245" t="s">
        <v>63</v>
      </c>
      <c r="V245" t="str">
        <f t="shared" si="12"/>
        <v>2026-05</v>
      </c>
      <c r="W245" t="str">
        <f t="shared" si="13"/>
        <v>4-7 days</v>
      </c>
      <c r="X245" t="str">
        <f t="shared" si="14"/>
        <v>Refund Issued</v>
      </c>
      <c r="Y245" t="str">
        <f t="shared" si="15"/>
        <v>High</v>
      </c>
    </row>
    <row r="246" spans="1:25" ht="27.6">
      <c r="A246" t="s">
        <v>875</v>
      </c>
      <c r="B246" t="s">
        <v>876</v>
      </c>
      <c r="C246" t="s">
        <v>877</v>
      </c>
      <c r="D246" s="2">
        <v>46105</v>
      </c>
      <c r="E246" t="s">
        <v>40</v>
      </c>
      <c r="F246" t="s">
        <v>57</v>
      </c>
      <c r="G246" s="3">
        <v>50.28</v>
      </c>
      <c r="H246" t="s">
        <v>58</v>
      </c>
      <c r="I246" t="s">
        <v>50</v>
      </c>
      <c r="J246" s="4" t="s">
        <v>59</v>
      </c>
      <c r="K246" t="s">
        <v>33</v>
      </c>
      <c r="L246" t="s">
        <v>60</v>
      </c>
      <c r="M246" t="s">
        <v>31</v>
      </c>
      <c r="N246" t="s">
        <v>126</v>
      </c>
      <c r="O246">
        <v>10</v>
      </c>
      <c r="P246">
        <v>9</v>
      </c>
      <c r="Q246" t="s">
        <v>33</v>
      </c>
      <c r="R246" t="s">
        <v>61</v>
      </c>
      <c r="S246" s="3">
        <v>0</v>
      </c>
      <c r="T246" t="s">
        <v>62</v>
      </c>
      <c r="U246" t="s">
        <v>63</v>
      </c>
      <c r="V246" t="str">
        <f t="shared" si="12"/>
        <v>2026-03</v>
      </c>
      <c r="W246" t="str">
        <f t="shared" si="13"/>
        <v>8-14 days</v>
      </c>
      <c r="X246" t="str">
        <f t="shared" si="14"/>
        <v>No Refund</v>
      </c>
      <c r="Y246" t="str">
        <f t="shared" si="15"/>
        <v>Low</v>
      </c>
    </row>
    <row r="247" spans="1:25" ht="27.6">
      <c r="A247" t="s">
        <v>878</v>
      </c>
      <c r="B247" t="s">
        <v>879</v>
      </c>
      <c r="C247" t="s">
        <v>880</v>
      </c>
      <c r="D247" s="2">
        <v>46060</v>
      </c>
      <c r="E247" t="s">
        <v>24</v>
      </c>
      <c r="F247" t="s">
        <v>25</v>
      </c>
      <c r="G247" s="3">
        <v>8.2899999999999991</v>
      </c>
      <c r="H247" t="s">
        <v>41</v>
      </c>
      <c r="I247" t="s">
        <v>50</v>
      </c>
      <c r="J247" s="4" t="s">
        <v>42</v>
      </c>
      <c r="K247" t="s">
        <v>29</v>
      </c>
      <c r="L247" t="s">
        <v>30</v>
      </c>
      <c r="M247" t="s">
        <v>96</v>
      </c>
      <c r="N247" t="s">
        <v>32</v>
      </c>
      <c r="O247">
        <v>5</v>
      </c>
      <c r="P247">
        <v>11</v>
      </c>
      <c r="Q247" t="s">
        <v>29</v>
      </c>
      <c r="R247" t="s">
        <v>34</v>
      </c>
      <c r="S247" s="3">
        <v>8.2899999999999991</v>
      </c>
      <c r="T247" t="s">
        <v>110</v>
      </c>
      <c r="U247" t="s">
        <v>63</v>
      </c>
      <c r="V247" t="str">
        <f t="shared" si="12"/>
        <v>2026-02</v>
      </c>
      <c r="W247" t="str">
        <f t="shared" si="13"/>
        <v>8-14 days</v>
      </c>
      <c r="X247" t="str">
        <f t="shared" si="14"/>
        <v>Refund Issued</v>
      </c>
      <c r="Y247" t="str">
        <f t="shared" si="15"/>
        <v>High</v>
      </c>
    </row>
    <row r="248" spans="1:25" ht="27.6">
      <c r="A248" t="s">
        <v>881</v>
      </c>
      <c r="B248" t="s">
        <v>882</v>
      </c>
      <c r="C248" t="s">
        <v>883</v>
      </c>
      <c r="D248" s="2">
        <v>46161</v>
      </c>
      <c r="E248" t="s">
        <v>24</v>
      </c>
      <c r="F248" t="s">
        <v>57</v>
      </c>
      <c r="G248" s="3">
        <v>90.53</v>
      </c>
      <c r="H248" t="s">
        <v>74</v>
      </c>
      <c r="I248" t="s">
        <v>50</v>
      </c>
      <c r="J248" s="4" t="s">
        <v>155</v>
      </c>
      <c r="K248" t="s">
        <v>33</v>
      </c>
      <c r="L248" t="s">
        <v>60</v>
      </c>
      <c r="M248" t="s">
        <v>31</v>
      </c>
      <c r="N248" t="s">
        <v>90</v>
      </c>
      <c r="O248">
        <v>10</v>
      </c>
      <c r="P248">
        <v>12</v>
      </c>
      <c r="Q248" t="s">
        <v>29</v>
      </c>
      <c r="R248" t="s">
        <v>61</v>
      </c>
      <c r="S248" s="3">
        <v>0</v>
      </c>
      <c r="T248" t="s">
        <v>62</v>
      </c>
      <c r="U248" t="s">
        <v>63</v>
      </c>
      <c r="V248" t="str">
        <f t="shared" si="12"/>
        <v>2026-05</v>
      </c>
      <c r="W248" t="str">
        <f t="shared" si="13"/>
        <v>8-14 days</v>
      </c>
      <c r="X248" t="str">
        <f t="shared" si="14"/>
        <v>No Refund</v>
      </c>
      <c r="Y248" t="str">
        <f t="shared" si="15"/>
        <v>Low</v>
      </c>
    </row>
    <row r="249" spans="1:25" ht="27.6">
      <c r="A249" t="s">
        <v>884</v>
      </c>
      <c r="B249" t="s">
        <v>885</v>
      </c>
      <c r="C249" t="s">
        <v>886</v>
      </c>
      <c r="D249" s="2">
        <v>46036</v>
      </c>
      <c r="E249" t="s">
        <v>24</v>
      </c>
      <c r="F249" t="s">
        <v>118</v>
      </c>
      <c r="G249" s="3">
        <v>90.24</v>
      </c>
      <c r="H249" t="s">
        <v>49</v>
      </c>
      <c r="I249" t="s">
        <v>27</v>
      </c>
      <c r="J249" s="4" t="s">
        <v>119</v>
      </c>
      <c r="K249" t="s">
        <v>29</v>
      </c>
      <c r="L249" t="s">
        <v>120</v>
      </c>
      <c r="M249" t="s">
        <v>96</v>
      </c>
      <c r="N249" t="s">
        <v>32</v>
      </c>
      <c r="O249">
        <v>5</v>
      </c>
      <c r="P249">
        <v>7</v>
      </c>
      <c r="Q249" t="s">
        <v>29</v>
      </c>
      <c r="R249" t="s">
        <v>85</v>
      </c>
      <c r="S249" s="3">
        <v>90.24</v>
      </c>
      <c r="T249" t="s">
        <v>121</v>
      </c>
      <c r="U249" t="s">
        <v>63</v>
      </c>
      <c r="V249" t="str">
        <f t="shared" si="12"/>
        <v>2026-01</v>
      </c>
      <c r="W249" t="str">
        <f t="shared" si="13"/>
        <v>4-7 days</v>
      </c>
      <c r="X249" t="str">
        <f t="shared" si="14"/>
        <v>Refund Issued</v>
      </c>
      <c r="Y249" t="str">
        <f t="shared" si="15"/>
        <v>High</v>
      </c>
    </row>
    <row r="250" spans="1:25" ht="27.6">
      <c r="A250" t="s">
        <v>887</v>
      </c>
      <c r="B250" t="s">
        <v>888</v>
      </c>
      <c r="C250" t="s">
        <v>889</v>
      </c>
      <c r="D250" s="2">
        <v>46073</v>
      </c>
      <c r="E250" t="s">
        <v>40</v>
      </c>
      <c r="F250" t="s">
        <v>48</v>
      </c>
      <c r="G250" s="3">
        <v>28.08</v>
      </c>
      <c r="H250" t="s">
        <v>58</v>
      </c>
      <c r="I250" t="s">
        <v>27</v>
      </c>
      <c r="J250" s="4" t="s">
        <v>51</v>
      </c>
      <c r="K250" t="s">
        <v>33</v>
      </c>
      <c r="L250" t="s">
        <v>30</v>
      </c>
      <c r="M250" t="s">
        <v>31</v>
      </c>
      <c r="N250" t="s">
        <v>32</v>
      </c>
      <c r="O250">
        <v>10</v>
      </c>
      <c r="P250">
        <v>6</v>
      </c>
      <c r="Q250" t="s">
        <v>33</v>
      </c>
      <c r="R250" t="s">
        <v>34</v>
      </c>
      <c r="S250" s="3">
        <v>0</v>
      </c>
      <c r="T250" t="s">
        <v>62</v>
      </c>
      <c r="U250" t="s">
        <v>53</v>
      </c>
      <c r="V250" t="str">
        <f t="shared" si="12"/>
        <v>2026-02</v>
      </c>
      <c r="W250" t="str">
        <f t="shared" si="13"/>
        <v>4-7 days</v>
      </c>
      <c r="X250" t="str">
        <f t="shared" si="14"/>
        <v>No Refund</v>
      </c>
      <c r="Y250" t="str">
        <f t="shared" si="15"/>
        <v>Low</v>
      </c>
    </row>
    <row r="251" spans="1:25" ht="27.6">
      <c r="A251" t="s">
        <v>890</v>
      </c>
      <c r="B251" t="s">
        <v>891</v>
      </c>
      <c r="C251" t="s">
        <v>892</v>
      </c>
      <c r="D251" s="2">
        <v>46107</v>
      </c>
      <c r="E251" t="s">
        <v>47</v>
      </c>
      <c r="F251" t="s">
        <v>48</v>
      </c>
      <c r="G251" s="3">
        <v>75.5</v>
      </c>
      <c r="H251" t="s">
        <v>58</v>
      </c>
      <c r="I251" t="s">
        <v>50</v>
      </c>
      <c r="J251" s="4" t="s">
        <v>51</v>
      </c>
      <c r="K251" t="s">
        <v>33</v>
      </c>
      <c r="L251" t="s">
        <v>30</v>
      </c>
      <c r="M251" t="s">
        <v>31</v>
      </c>
      <c r="N251" t="s">
        <v>126</v>
      </c>
      <c r="O251">
        <v>10</v>
      </c>
      <c r="P251">
        <v>5</v>
      </c>
      <c r="Q251" t="s">
        <v>33</v>
      </c>
      <c r="R251" t="s">
        <v>34</v>
      </c>
      <c r="S251" s="3">
        <v>0</v>
      </c>
      <c r="T251" t="s">
        <v>52</v>
      </c>
      <c r="U251" t="s">
        <v>36</v>
      </c>
      <c r="V251" t="str">
        <f t="shared" si="12"/>
        <v>2026-03</v>
      </c>
      <c r="W251" t="str">
        <f t="shared" si="13"/>
        <v>4-7 days</v>
      </c>
      <c r="X251" t="str">
        <f t="shared" si="14"/>
        <v>No Refund</v>
      </c>
      <c r="Y251" t="str">
        <f t="shared" si="15"/>
        <v>Low</v>
      </c>
    </row>
    <row r="252" spans="1:25" ht="27.6">
      <c r="A252" t="s">
        <v>893</v>
      </c>
      <c r="B252" t="s">
        <v>894</v>
      </c>
      <c r="C252" t="s">
        <v>895</v>
      </c>
      <c r="D252" s="2">
        <v>46079</v>
      </c>
      <c r="E252" t="s">
        <v>94</v>
      </c>
      <c r="F252" t="s">
        <v>172</v>
      </c>
      <c r="G252" s="3">
        <v>66.459999999999994</v>
      </c>
      <c r="H252" t="s">
        <v>89</v>
      </c>
      <c r="I252" t="s">
        <v>50</v>
      </c>
      <c r="J252" s="4" t="s">
        <v>285</v>
      </c>
      <c r="K252" t="s">
        <v>29</v>
      </c>
      <c r="L252" t="s">
        <v>30</v>
      </c>
      <c r="M252" t="s">
        <v>31</v>
      </c>
      <c r="N252" t="s">
        <v>32</v>
      </c>
      <c r="O252">
        <v>7</v>
      </c>
      <c r="P252">
        <v>11</v>
      </c>
      <c r="Q252" t="s">
        <v>29</v>
      </c>
      <c r="R252" t="s">
        <v>174</v>
      </c>
      <c r="S252" s="3">
        <v>66.459999999999994</v>
      </c>
      <c r="T252" t="s">
        <v>69</v>
      </c>
      <c r="U252" t="s">
        <v>63</v>
      </c>
      <c r="V252" t="str">
        <f t="shared" si="12"/>
        <v>2026-02</v>
      </c>
      <c r="W252" t="str">
        <f t="shared" si="13"/>
        <v>8-14 days</v>
      </c>
      <c r="X252" t="str">
        <f t="shared" si="14"/>
        <v>Refund Issued</v>
      </c>
      <c r="Y252" t="str">
        <f t="shared" si="15"/>
        <v>Medium</v>
      </c>
    </row>
    <row r="253" spans="1:25" ht="27.6">
      <c r="A253" t="s">
        <v>896</v>
      </c>
      <c r="B253" t="s">
        <v>897</v>
      </c>
      <c r="C253" t="s">
        <v>898</v>
      </c>
      <c r="D253" s="2">
        <v>46111</v>
      </c>
      <c r="E253" t="s">
        <v>47</v>
      </c>
      <c r="F253" t="s">
        <v>73</v>
      </c>
      <c r="G253" s="3">
        <v>62.65</v>
      </c>
      <c r="H253" t="s">
        <v>26</v>
      </c>
      <c r="I253" t="s">
        <v>50</v>
      </c>
      <c r="J253" s="4" t="s">
        <v>75</v>
      </c>
      <c r="K253" t="s">
        <v>29</v>
      </c>
      <c r="L253" t="s">
        <v>60</v>
      </c>
      <c r="M253" t="s">
        <v>31</v>
      </c>
      <c r="N253" t="s">
        <v>32</v>
      </c>
      <c r="O253">
        <v>10</v>
      </c>
      <c r="P253">
        <v>8</v>
      </c>
      <c r="Q253" t="s">
        <v>33</v>
      </c>
      <c r="R253" t="s">
        <v>61</v>
      </c>
      <c r="S253" s="3">
        <v>46.99</v>
      </c>
      <c r="T253" t="s">
        <v>156</v>
      </c>
      <c r="U253" t="s">
        <v>63</v>
      </c>
      <c r="V253" t="str">
        <f t="shared" si="12"/>
        <v>2026-03</v>
      </c>
      <c r="W253" t="str">
        <f t="shared" si="13"/>
        <v>8-14 days</v>
      </c>
      <c r="X253" t="str">
        <f t="shared" si="14"/>
        <v>Refund Issued</v>
      </c>
      <c r="Y253" t="str">
        <f t="shared" si="15"/>
        <v>Low</v>
      </c>
    </row>
    <row r="254" spans="1:25" ht="27.6">
      <c r="A254" t="s">
        <v>899</v>
      </c>
      <c r="B254" t="s">
        <v>900</v>
      </c>
      <c r="C254" t="s">
        <v>901</v>
      </c>
      <c r="D254" s="2">
        <v>46118</v>
      </c>
      <c r="E254" t="s">
        <v>47</v>
      </c>
      <c r="F254" t="s">
        <v>82</v>
      </c>
      <c r="G254" s="3">
        <v>39.36</v>
      </c>
      <c r="H254" t="s">
        <v>58</v>
      </c>
      <c r="I254" t="s">
        <v>27</v>
      </c>
      <c r="J254" s="4" t="s">
        <v>114</v>
      </c>
      <c r="K254" t="s">
        <v>29</v>
      </c>
      <c r="L254" t="s">
        <v>30</v>
      </c>
      <c r="M254" t="s">
        <v>31</v>
      </c>
      <c r="N254" t="s">
        <v>32</v>
      </c>
      <c r="O254">
        <v>7</v>
      </c>
      <c r="P254">
        <v>9</v>
      </c>
      <c r="Q254" t="s">
        <v>29</v>
      </c>
      <c r="R254" t="s">
        <v>85</v>
      </c>
      <c r="S254" s="3">
        <v>19.68</v>
      </c>
      <c r="T254" t="s">
        <v>43</v>
      </c>
      <c r="U254" t="s">
        <v>63</v>
      </c>
      <c r="V254" t="str">
        <f t="shared" si="12"/>
        <v>2026-04</v>
      </c>
      <c r="W254" t="str">
        <f t="shared" si="13"/>
        <v>8-14 days</v>
      </c>
      <c r="X254" t="str">
        <f t="shared" si="14"/>
        <v>Refund Issued</v>
      </c>
      <c r="Y254" t="str">
        <f t="shared" si="15"/>
        <v>High</v>
      </c>
    </row>
    <row r="255" spans="1:25" ht="27.6">
      <c r="A255" t="s">
        <v>902</v>
      </c>
      <c r="B255" t="s">
        <v>903</v>
      </c>
      <c r="C255" t="s">
        <v>904</v>
      </c>
      <c r="D255" s="2">
        <v>46131</v>
      </c>
      <c r="E255" t="s">
        <v>40</v>
      </c>
      <c r="F255" t="s">
        <v>118</v>
      </c>
      <c r="G255" s="3">
        <v>75.430000000000007</v>
      </c>
      <c r="H255" t="s">
        <v>49</v>
      </c>
      <c r="I255" t="s">
        <v>67</v>
      </c>
      <c r="J255" s="4" t="s">
        <v>905</v>
      </c>
      <c r="K255" t="s">
        <v>33</v>
      </c>
      <c r="L255" t="s">
        <v>30</v>
      </c>
      <c r="M255" t="s">
        <v>31</v>
      </c>
      <c r="N255" t="s">
        <v>32</v>
      </c>
      <c r="O255">
        <v>5</v>
      </c>
      <c r="P255">
        <v>15</v>
      </c>
      <c r="Q255" t="s">
        <v>29</v>
      </c>
      <c r="R255" t="s">
        <v>85</v>
      </c>
      <c r="S255" s="3">
        <v>56.57</v>
      </c>
      <c r="T255" t="s">
        <v>121</v>
      </c>
      <c r="U255" t="s">
        <v>63</v>
      </c>
      <c r="V255" t="str">
        <f t="shared" si="12"/>
        <v>2026-04</v>
      </c>
      <c r="W255" t="str">
        <f t="shared" si="13"/>
        <v>15+ days</v>
      </c>
      <c r="X255" t="str">
        <f t="shared" si="14"/>
        <v>Refund Issued</v>
      </c>
      <c r="Y255" t="str">
        <f t="shared" si="15"/>
        <v>High</v>
      </c>
    </row>
    <row r="256" spans="1:25" ht="27.6">
      <c r="A256" t="s">
        <v>906</v>
      </c>
      <c r="B256" t="s">
        <v>907</v>
      </c>
      <c r="C256" t="s">
        <v>908</v>
      </c>
      <c r="D256" s="2">
        <v>46036</v>
      </c>
      <c r="E256" t="s">
        <v>24</v>
      </c>
      <c r="F256" t="s">
        <v>118</v>
      </c>
      <c r="G256" s="3">
        <v>111.24</v>
      </c>
      <c r="H256" t="s">
        <v>108</v>
      </c>
      <c r="I256" t="s">
        <v>50</v>
      </c>
      <c r="J256" s="4" t="s">
        <v>909</v>
      </c>
      <c r="K256" t="s">
        <v>29</v>
      </c>
      <c r="L256" t="s">
        <v>120</v>
      </c>
      <c r="M256" t="s">
        <v>96</v>
      </c>
      <c r="N256" t="s">
        <v>32</v>
      </c>
      <c r="O256">
        <v>5</v>
      </c>
      <c r="P256">
        <v>7</v>
      </c>
      <c r="Q256" t="s">
        <v>29</v>
      </c>
      <c r="R256" t="s">
        <v>85</v>
      </c>
      <c r="S256" s="3">
        <v>111.24</v>
      </c>
      <c r="T256" t="s">
        <v>121</v>
      </c>
      <c r="U256" t="s">
        <v>63</v>
      </c>
      <c r="V256" t="str">
        <f t="shared" si="12"/>
        <v>2026-01</v>
      </c>
      <c r="W256" t="str">
        <f t="shared" si="13"/>
        <v>4-7 days</v>
      </c>
      <c r="X256" t="str">
        <f t="shared" si="14"/>
        <v>Refund Issued</v>
      </c>
      <c r="Y256" t="str">
        <f t="shared" si="15"/>
        <v>High</v>
      </c>
    </row>
    <row r="257" spans="1:25" ht="27.6">
      <c r="A257" t="s">
        <v>910</v>
      </c>
      <c r="B257" t="s">
        <v>911</v>
      </c>
      <c r="C257" t="s">
        <v>912</v>
      </c>
      <c r="D257" s="2">
        <v>46041</v>
      </c>
      <c r="E257" t="s">
        <v>24</v>
      </c>
      <c r="F257" t="s">
        <v>82</v>
      </c>
      <c r="G257" s="3">
        <v>15.25</v>
      </c>
      <c r="H257" t="s">
        <v>89</v>
      </c>
      <c r="I257" t="s">
        <v>27</v>
      </c>
      <c r="J257" s="4" t="s">
        <v>114</v>
      </c>
      <c r="K257" t="s">
        <v>33</v>
      </c>
      <c r="L257" t="s">
        <v>30</v>
      </c>
      <c r="M257" t="s">
        <v>31</v>
      </c>
      <c r="N257" t="s">
        <v>32</v>
      </c>
      <c r="O257">
        <v>7</v>
      </c>
      <c r="P257">
        <v>9</v>
      </c>
      <c r="Q257" t="s">
        <v>29</v>
      </c>
      <c r="R257" t="s">
        <v>85</v>
      </c>
      <c r="S257" s="3">
        <v>0</v>
      </c>
      <c r="T257" t="s">
        <v>69</v>
      </c>
      <c r="U257" t="s">
        <v>63</v>
      </c>
      <c r="V257" t="str">
        <f t="shared" si="12"/>
        <v>2026-01</v>
      </c>
      <c r="W257" t="str">
        <f t="shared" si="13"/>
        <v>8-14 days</v>
      </c>
      <c r="X257" t="str">
        <f t="shared" si="14"/>
        <v>No Refund</v>
      </c>
      <c r="Y257" t="str">
        <f t="shared" si="15"/>
        <v>High</v>
      </c>
    </row>
    <row r="258" spans="1:25" ht="27.6">
      <c r="A258" t="s">
        <v>913</v>
      </c>
      <c r="B258" t="s">
        <v>914</v>
      </c>
      <c r="C258" t="s">
        <v>915</v>
      </c>
      <c r="D258" s="2">
        <v>46159</v>
      </c>
      <c r="E258" t="s">
        <v>24</v>
      </c>
      <c r="F258" t="s">
        <v>103</v>
      </c>
      <c r="G258" s="3">
        <v>17.87</v>
      </c>
      <c r="H258" t="s">
        <v>41</v>
      </c>
      <c r="I258" t="s">
        <v>50</v>
      </c>
      <c r="J258" s="4" t="s">
        <v>134</v>
      </c>
      <c r="K258" t="s">
        <v>33</v>
      </c>
      <c r="L258" t="s">
        <v>30</v>
      </c>
      <c r="M258" t="s">
        <v>31</v>
      </c>
      <c r="N258" t="s">
        <v>84</v>
      </c>
      <c r="O258">
        <v>5</v>
      </c>
      <c r="P258">
        <v>9</v>
      </c>
      <c r="Q258" t="s">
        <v>29</v>
      </c>
      <c r="R258" t="s">
        <v>34</v>
      </c>
      <c r="S258" s="3">
        <v>0</v>
      </c>
      <c r="T258" t="s">
        <v>247</v>
      </c>
      <c r="U258" t="s">
        <v>63</v>
      </c>
      <c r="V258" t="str">
        <f t="shared" ref="V258:V321" si="16">TEXT(D258,"yyyy-mm")</f>
        <v>2026-05</v>
      </c>
      <c r="W258" t="str">
        <f t="shared" ref="W258:W321" si="17">IF(P258&lt;=3,"0-3 days",IF(P258&lt;=7,"4-7 days",IF(P258&lt;=14,"8-14 days","15+ days")))</f>
        <v>8-14 days</v>
      </c>
      <c r="X258" t="str">
        <f t="shared" ref="X258:X321" si="18">IF(S258&gt;0,"Refund Issued","No Refund")</f>
        <v>No Refund</v>
      </c>
      <c r="Y258" t="str">
        <f t="shared" ref="Y258:Y321" si="19">IF(OR(F258="Failed Payment",F258="Duplicate Debit",F258="Refund Delay"),"High",IF(OR(F258="Merchant Not Credited",F258="Wrong Amount Debited"),"Medium","Low"))</f>
        <v>Medium</v>
      </c>
    </row>
    <row r="259" spans="1:25" ht="27.6">
      <c r="A259" t="s">
        <v>916</v>
      </c>
      <c r="B259" t="s">
        <v>917</v>
      </c>
      <c r="C259" t="s">
        <v>918</v>
      </c>
      <c r="D259" s="2">
        <v>46169</v>
      </c>
      <c r="E259" t="s">
        <v>47</v>
      </c>
      <c r="F259" t="s">
        <v>172</v>
      </c>
      <c r="G259" s="3">
        <v>103.28</v>
      </c>
      <c r="H259" t="s">
        <v>58</v>
      </c>
      <c r="I259" t="s">
        <v>50</v>
      </c>
      <c r="J259" s="4" t="s">
        <v>173</v>
      </c>
      <c r="K259" t="s">
        <v>33</v>
      </c>
      <c r="L259" t="s">
        <v>30</v>
      </c>
      <c r="M259" t="s">
        <v>31</v>
      </c>
      <c r="N259" t="s">
        <v>32</v>
      </c>
      <c r="O259">
        <v>7</v>
      </c>
      <c r="P259">
        <v>10</v>
      </c>
      <c r="Q259" t="s">
        <v>29</v>
      </c>
      <c r="R259" t="s">
        <v>174</v>
      </c>
      <c r="S259" s="3">
        <v>0</v>
      </c>
      <c r="T259" t="s">
        <v>69</v>
      </c>
      <c r="U259" t="s">
        <v>63</v>
      </c>
      <c r="V259" t="str">
        <f t="shared" si="16"/>
        <v>2026-05</v>
      </c>
      <c r="W259" t="str">
        <f t="shared" si="17"/>
        <v>8-14 days</v>
      </c>
      <c r="X259" t="str">
        <f t="shared" si="18"/>
        <v>No Refund</v>
      </c>
      <c r="Y259" t="str">
        <f t="shared" si="19"/>
        <v>Medium</v>
      </c>
    </row>
    <row r="260" spans="1:25" ht="27.6">
      <c r="A260" t="s">
        <v>919</v>
      </c>
      <c r="B260" t="s">
        <v>920</v>
      </c>
      <c r="C260" t="s">
        <v>921</v>
      </c>
      <c r="D260" s="2">
        <v>46079</v>
      </c>
      <c r="E260" t="s">
        <v>47</v>
      </c>
      <c r="F260" t="s">
        <v>118</v>
      </c>
      <c r="G260" s="3">
        <v>7.33</v>
      </c>
      <c r="H260" t="s">
        <v>89</v>
      </c>
      <c r="I260" t="s">
        <v>67</v>
      </c>
      <c r="J260" s="4" t="s">
        <v>922</v>
      </c>
      <c r="K260" t="s">
        <v>33</v>
      </c>
      <c r="L260" t="s">
        <v>30</v>
      </c>
      <c r="M260" t="s">
        <v>31</v>
      </c>
      <c r="N260" t="s">
        <v>32</v>
      </c>
      <c r="O260">
        <v>5</v>
      </c>
      <c r="P260">
        <v>17</v>
      </c>
      <c r="Q260" t="s">
        <v>29</v>
      </c>
      <c r="R260" t="s">
        <v>85</v>
      </c>
      <c r="S260" s="3">
        <v>5.5</v>
      </c>
      <c r="T260" t="s">
        <v>121</v>
      </c>
      <c r="U260" t="s">
        <v>63</v>
      </c>
      <c r="V260" t="str">
        <f t="shared" si="16"/>
        <v>2026-02</v>
      </c>
      <c r="W260" t="str">
        <f t="shared" si="17"/>
        <v>15+ days</v>
      </c>
      <c r="X260" t="str">
        <f t="shared" si="18"/>
        <v>Refund Issued</v>
      </c>
      <c r="Y260" t="str">
        <f t="shared" si="19"/>
        <v>High</v>
      </c>
    </row>
    <row r="261" spans="1:25" ht="27.6">
      <c r="A261" t="s">
        <v>923</v>
      </c>
      <c r="B261" t="s">
        <v>924</v>
      </c>
      <c r="C261" t="s">
        <v>925</v>
      </c>
      <c r="D261" s="2">
        <v>46073</v>
      </c>
      <c r="E261" t="s">
        <v>40</v>
      </c>
      <c r="F261" t="s">
        <v>82</v>
      </c>
      <c r="G261" s="3">
        <v>30.48</v>
      </c>
      <c r="H261" t="s">
        <v>58</v>
      </c>
      <c r="I261" t="s">
        <v>27</v>
      </c>
      <c r="J261" s="4" t="s">
        <v>926</v>
      </c>
      <c r="K261" t="s">
        <v>29</v>
      </c>
      <c r="L261" t="s">
        <v>30</v>
      </c>
      <c r="M261" t="s">
        <v>31</v>
      </c>
      <c r="N261" t="s">
        <v>90</v>
      </c>
      <c r="O261">
        <v>7</v>
      </c>
      <c r="P261">
        <v>2</v>
      </c>
      <c r="Q261" t="s">
        <v>33</v>
      </c>
      <c r="R261" t="s">
        <v>85</v>
      </c>
      <c r="S261" s="3">
        <v>0</v>
      </c>
      <c r="T261" t="s">
        <v>43</v>
      </c>
      <c r="U261" t="s">
        <v>36</v>
      </c>
      <c r="V261" t="str">
        <f t="shared" si="16"/>
        <v>2026-02</v>
      </c>
      <c r="W261" t="str">
        <f t="shared" si="17"/>
        <v>0-3 days</v>
      </c>
      <c r="X261" t="str">
        <f t="shared" si="18"/>
        <v>No Refund</v>
      </c>
      <c r="Y261" t="str">
        <f t="shared" si="19"/>
        <v>High</v>
      </c>
    </row>
    <row r="262" spans="1:25" ht="27.6">
      <c r="A262" t="s">
        <v>927</v>
      </c>
      <c r="B262" t="s">
        <v>928</v>
      </c>
      <c r="C262" t="s">
        <v>929</v>
      </c>
      <c r="D262" s="2">
        <v>46101</v>
      </c>
      <c r="E262" t="s">
        <v>40</v>
      </c>
      <c r="F262" t="s">
        <v>25</v>
      </c>
      <c r="G262" s="3">
        <v>67.16</v>
      </c>
      <c r="H262" t="s">
        <v>108</v>
      </c>
      <c r="I262" t="s">
        <v>27</v>
      </c>
      <c r="J262" s="4" t="s">
        <v>42</v>
      </c>
      <c r="K262" t="s">
        <v>29</v>
      </c>
      <c r="L262" t="s">
        <v>30</v>
      </c>
      <c r="M262" t="s">
        <v>31</v>
      </c>
      <c r="N262" t="s">
        <v>32</v>
      </c>
      <c r="O262">
        <v>5</v>
      </c>
      <c r="P262">
        <v>4</v>
      </c>
      <c r="Q262" t="s">
        <v>33</v>
      </c>
      <c r="R262" t="s">
        <v>34</v>
      </c>
      <c r="S262" s="3">
        <v>67.16</v>
      </c>
      <c r="T262" t="s">
        <v>110</v>
      </c>
      <c r="U262" t="s">
        <v>36</v>
      </c>
      <c r="V262" t="str">
        <f t="shared" si="16"/>
        <v>2026-03</v>
      </c>
      <c r="W262" t="str">
        <f t="shared" si="17"/>
        <v>4-7 days</v>
      </c>
      <c r="X262" t="str">
        <f t="shared" si="18"/>
        <v>Refund Issued</v>
      </c>
      <c r="Y262" t="str">
        <f t="shared" si="19"/>
        <v>High</v>
      </c>
    </row>
    <row r="263" spans="1:25" ht="27.6">
      <c r="A263" t="s">
        <v>930</v>
      </c>
      <c r="B263" t="s">
        <v>931</v>
      </c>
      <c r="C263" t="s">
        <v>932</v>
      </c>
      <c r="D263" s="2">
        <v>46114</v>
      </c>
      <c r="E263" t="s">
        <v>40</v>
      </c>
      <c r="F263" t="s">
        <v>82</v>
      </c>
      <c r="G263" s="3">
        <v>8.09</v>
      </c>
      <c r="H263" t="s">
        <v>26</v>
      </c>
      <c r="I263" t="s">
        <v>67</v>
      </c>
      <c r="J263" s="4" t="s">
        <v>114</v>
      </c>
      <c r="K263" t="s">
        <v>33</v>
      </c>
      <c r="L263" t="s">
        <v>30</v>
      </c>
      <c r="M263" t="s">
        <v>31</v>
      </c>
      <c r="N263" t="s">
        <v>84</v>
      </c>
      <c r="O263">
        <v>7</v>
      </c>
      <c r="P263">
        <v>4</v>
      </c>
      <c r="Q263" t="s">
        <v>33</v>
      </c>
      <c r="R263" t="s">
        <v>85</v>
      </c>
      <c r="S263" s="3">
        <v>0</v>
      </c>
      <c r="T263" t="s">
        <v>43</v>
      </c>
      <c r="U263" t="s">
        <v>36</v>
      </c>
      <c r="V263" t="str">
        <f t="shared" si="16"/>
        <v>2026-04</v>
      </c>
      <c r="W263" t="str">
        <f t="shared" si="17"/>
        <v>4-7 days</v>
      </c>
      <c r="X263" t="str">
        <f t="shared" si="18"/>
        <v>No Refund</v>
      </c>
      <c r="Y263" t="str">
        <f t="shared" si="19"/>
        <v>High</v>
      </c>
    </row>
    <row r="264" spans="1:25" ht="27.6">
      <c r="A264" t="s">
        <v>933</v>
      </c>
      <c r="B264" t="s">
        <v>934</v>
      </c>
      <c r="C264" t="s">
        <v>935</v>
      </c>
      <c r="D264" s="2">
        <v>46152</v>
      </c>
      <c r="E264" t="s">
        <v>47</v>
      </c>
      <c r="F264" t="s">
        <v>57</v>
      </c>
      <c r="G264" s="3">
        <v>66.59</v>
      </c>
      <c r="H264" t="s">
        <v>74</v>
      </c>
      <c r="I264" t="s">
        <v>67</v>
      </c>
      <c r="J264" s="4" t="s">
        <v>59</v>
      </c>
      <c r="K264" t="s">
        <v>29</v>
      </c>
      <c r="L264" t="s">
        <v>60</v>
      </c>
      <c r="M264" t="s">
        <v>31</v>
      </c>
      <c r="N264" t="s">
        <v>32</v>
      </c>
      <c r="O264">
        <v>10</v>
      </c>
      <c r="P264">
        <v>13</v>
      </c>
      <c r="Q264" t="s">
        <v>29</v>
      </c>
      <c r="R264" t="s">
        <v>61</v>
      </c>
      <c r="S264" s="3">
        <v>49.94</v>
      </c>
      <c r="T264" t="s">
        <v>62</v>
      </c>
      <c r="U264" t="s">
        <v>63</v>
      </c>
      <c r="V264" t="str">
        <f t="shared" si="16"/>
        <v>2026-05</v>
      </c>
      <c r="W264" t="str">
        <f t="shared" si="17"/>
        <v>8-14 days</v>
      </c>
      <c r="X264" t="str">
        <f t="shared" si="18"/>
        <v>Refund Issued</v>
      </c>
      <c r="Y264" t="str">
        <f t="shared" si="19"/>
        <v>Low</v>
      </c>
    </row>
    <row r="265" spans="1:25" ht="27.6">
      <c r="A265" t="s">
        <v>936</v>
      </c>
      <c r="B265" t="s">
        <v>937</v>
      </c>
      <c r="C265" t="s">
        <v>938</v>
      </c>
      <c r="D265" s="2">
        <v>46141</v>
      </c>
      <c r="E265" t="s">
        <v>47</v>
      </c>
      <c r="F265" t="s">
        <v>25</v>
      </c>
      <c r="G265" s="3">
        <v>62.57</v>
      </c>
      <c r="H265" t="s">
        <v>74</v>
      </c>
      <c r="I265" t="s">
        <v>27</v>
      </c>
      <c r="J265" s="4" t="s">
        <v>42</v>
      </c>
      <c r="K265" t="s">
        <v>33</v>
      </c>
      <c r="L265" t="s">
        <v>30</v>
      </c>
      <c r="M265" t="s">
        <v>31</v>
      </c>
      <c r="N265" t="s">
        <v>84</v>
      </c>
      <c r="O265">
        <v>5</v>
      </c>
      <c r="P265">
        <v>6</v>
      </c>
      <c r="Q265" t="s">
        <v>29</v>
      </c>
      <c r="R265" t="s">
        <v>34</v>
      </c>
      <c r="S265" s="3">
        <v>0</v>
      </c>
      <c r="T265" t="s">
        <v>35</v>
      </c>
      <c r="U265" t="s">
        <v>63</v>
      </c>
      <c r="V265" t="str">
        <f t="shared" si="16"/>
        <v>2026-04</v>
      </c>
      <c r="W265" t="str">
        <f t="shared" si="17"/>
        <v>4-7 days</v>
      </c>
      <c r="X265" t="str">
        <f t="shared" si="18"/>
        <v>No Refund</v>
      </c>
      <c r="Y265" t="str">
        <f t="shared" si="19"/>
        <v>High</v>
      </c>
    </row>
    <row r="266" spans="1:25" ht="27.6">
      <c r="A266" t="s">
        <v>939</v>
      </c>
      <c r="B266" t="s">
        <v>940</v>
      </c>
      <c r="C266" t="s">
        <v>941</v>
      </c>
      <c r="D266" s="2">
        <v>46079</v>
      </c>
      <c r="E266" t="s">
        <v>40</v>
      </c>
      <c r="F266" t="s">
        <v>118</v>
      </c>
      <c r="G266" s="3">
        <v>25.83</v>
      </c>
      <c r="H266" t="s">
        <v>58</v>
      </c>
      <c r="I266" t="s">
        <v>27</v>
      </c>
      <c r="J266" s="4" t="s">
        <v>119</v>
      </c>
      <c r="K266" t="s">
        <v>33</v>
      </c>
      <c r="L266" t="s">
        <v>30</v>
      </c>
      <c r="M266" t="s">
        <v>31</v>
      </c>
      <c r="N266" t="s">
        <v>32</v>
      </c>
      <c r="O266">
        <v>5</v>
      </c>
      <c r="P266">
        <v>6</v>
      </c>
      <c r="Q266" t="s">
        <v>29</v>
      </c>
      <c r="R266" t="s">
        <v>85</v>
      </c>
      <c r="S266" s="3">
        <v>25.83</v>
      </c>
      <c r="T266" t="s">
        <v>121</v>
      </c>
      <c r="U266" t="s">
        <v>63</v>
      </c>
      <c r="V266" t="str">
        <f t="shared" si="16"/>
        <v>2026-02</v>
      </c>
      <c r="W266" t="str">
        <f t="shared" si="17"/>
        <v>4-7 days</v>
      </c>
      <c r="X266" t="str">
        <f t="shared" si="18"/>
        <v>Refund Issued</v>
      </c>
      <c r="Y266" t="str">
        <f t="shared" si="19"/>
        <v>High</v>
      </c>
    </row>
    <row r="267" spans="1:25" ht="27.6">
      <c r="A267" t="s">
        <v>942</v>
      </c>
      <c r="B267" t="s">
        <v>943</v>
      </c>
      <c r="C267" t="s">
        <v>944</v>
      </c>
      <c r="D267" s="2">
        <v>46156</v>
      </c>
      <c r="E267" t="s">
        <v>47</v>
      </c>
      <c r="F267" t="s">
        <v>118</v>
      </c>
      <c r="G267" s="3">
        <v>93.42</v>
      </c>
      <c r="H267" t="s">
        <v>89</v>
      </c>
      <c r="I267" t="s">
        <v>27</v>
      </c>
      <c r="J267" s="4" t="s">
        <v>119</v>
      </c>
      <c r="K267" t="s">
        <v>29</v>
      </c>
      <c r="L267" t="s">
        <v>120</v>
      </c>
      <c r="M267" t="s">
        <v>96</v>
      </c>
      <c r="N267" t="s">
        <v>32</v>
      </c>
      <c r="O267">
        <v>5</v>
      </c>
      <c r="P267">
        <v>5</v>
      </c>
      <c r="Q267" t="s">
        <v>33</v>
      </c>
      <c r="R267" t="s">
        <v>85</v>
      </c>
      <c r="S267" s="3">
        <v>93.42</v>
      </c>
      <c r="T267" t="s">
        <v>121</v>
      </c>
      <c r="U267" t="s">
        <v>53</v>
      </c>
      <c r="V267" t="str">
        <f t="shared" si="16"/>
        <v>2026-05</v>
      </c>
      <c r="W267" t="str">
        <f t="shared" si="17"/>
        <v>4-7 days</v>
      </c>
      <c r="X267" t="str">
        <f t="shared" si="18"/>
        <v>Refund Issued</v>
      </c>
      <c r="Y267" t="str">
        <f t="shared" si="19"/>
        <v>High</v>
      </c>
    </row>
    <row r="268" spans="1:25" ht="27.6">
      <c r="A268" t="s">
        <v>945</v>
      </c>
      <c r="B268" t="s">
        <v>946</v>
      </c>
      <c r="C268" t="s">
        <v>947</v>
      </c>
      <c r="D268" s="2">
        <v>46155</v>
      </c>
      <c r="E268" t="s">
        <v>24</v>
      </c>
      <c r="F268" t="s">
        <v>57</v>
      </c>
      <c r="G268" s="3">
        <v>13.6</v>
      </c>
      <c r="H268" t="s">
        <v>89</v>
      </c>
      <c r="I268" t="s">
        <v>27</v>
      </c>
      <c r="J268" s="4" t="s">
        <v>59</v>
      </c>
      <c r="K268" t="s">
        <v>33</v>
      </c>
      <c r="L268" t="s">
        <v>60</v>
      </c>
      <c r="M268" t="s">
        <v>31</v>
      </c>
      <c r="N268" t="s">
        <v>32</v>
      </c>
      <c r="O268">
        <v>10</v>
      </c>
      <c r="P268">
        <v>14</v>
      </c>
      <c r="Q268" t="s">
        <v>29</v>
      </c>
      <c r="R268" t="s">
        <v>61</v>
      </c>
      <c r="S268" s="3">
        <v>6.8</v>
      </c>
      <c r="T268" t="s">
        <v>52</v>
      </c>
      <c r="U268" t="s">
        <v>63</v>
      </c>
      <c r="V268" t="str">
        <f t="shared" si="16"/>
        <v>2026-05</v>
      </c>
      <c r="W268" t="str">
        <f t="shared" si="17"/>
        <v>8-14 days</v>
      </c>
      <c r="X268" t="str">
        <f t="shared" si="18"/>
        <v>Refund Issued</v>
      </c>
      <c r="Y268" t="str">
        <f t="shared" si="19"/>
        <v>Low</v>
      </c>
    </row>
    <row r="269" spans="1:25" ht="27.6">
      <c r="A269" t="s">
        <v>948</v>
      </c>
      <c r="B269" t="s">
        <v>949</v>
      </c>
      <c r="C269" t="s">
        <v>950</v>
      </c>
      <c r="D269" s="2">
        <v>46053</v>
      </c>
      <c r="E269" t="s">
        <v>40</v>
      </c>
      <c r="F269" t="s">
        <v>82</v>
      </c>
      <c r="G269" s="3">
        <v>30.59</v>
      </c>
      <c r="H269" t="s">
        <v>58</v>
      </c>
      <c r="I269" t="s">
        <v>27</v>
      </c>
      <c r="J269" s="4" t="s">
        <v>114</v>
      </c>
      <c r="K269" t="s">
        <v>29</v>
      </c>
      <c r="L269" t="s">
        <v>30</v>
      </c>
      <c r="M269" t="s">
        <v>31</v>
      </c>
      <c r="N269" t="s">
        <v>32</v>
      </c>
      <c r="O269">
        <v>7</v>
      </c>
      <c r="P269">
        <v>7</v>
      </c>
      <c r="Q269" t="s">
        <v>33</v>
      </c>
      <c r="R269" t="s">
        <v>85</v>
      </c>
      <c r="S269" s="3">
        <v>15.29</v>
      </c>
      <c r="T269" t="s">
        <v>43</v>
      </c>
      <c r="U269" t="s">
        <v>53</v>
      </c>
      <c r="V269" t="str">
        <f t="shared" si="16"/>
        <v>2026-01</v>
      </c>
      <c r="W269" t="str">
        <f t="shared" si="17"/>
        <v>4-7 days</v>
      </c>
      <c r="X269" t="str">
        <f t="shared" si="18"/>
        <v>Refund Issued</v>
      </c>
      <c r="Y269" t="str">
        <f t="shared" si="19"/>
        <v>High</v>
      </c>
    </row>
    <row r="270" spans="1:25" ht="27.6">
      <c r="A270" t="s">
        <v>951</v>
      </c>
      <c r="B270" t="s">
        <v>952</v>
      </c>
      <c r="C270" t="s">
        <v>953</v>
      </c>
      <c r="D270" s="2">
        <v>46154</v>
      </c>
      <c r="E270" t="s">
        <v>24</v>
      </c>
      <c r="F270" t="s">
        <v>172</v>
      </c>
      <c r="G270" s="3">
        <v>16.89</v>
      </c>
      <c r="H270" t="s">
        <v>74</v>
      </c>
      <c r="I270" t="s">
        <v>50</v>
      </c>
      <c r="J270" s="4" t="s">
        <v>173</v>
      </c>
      <c r="K270" t="s">
        <v>29</v>
      </c>
      <c r="L270" t="s">
        <v>30</v>
      </c>
      <c r="M270" t="s">
        <v>31</v>
      </c>
      <c r="N270" t="s">
        <v>32</v>
      </c>
      <c r="O270">
        <v>7</v>
      </c>
      <c r="P270">
        <v>4</v>
      </c>
      <c r="Q270" t="s">
        <v>33</v>
      </c>
      <c r="R270" t="s">
        <v>174</v>
      </c>
      <c r="S270" s="3">
        <v>0</v>
      </c>
      <c r="T270" t="s">
        <v>110</v>
      </c>
      <c r="U270" t="s">
        <v>53</v>
      </c>
      <c r="V270" t="str">
        <f t="shared" si="16"/>
        <v>2026-05</v>
      </c>
      <c r="W270" t="str">
        <f t="shared" si="17"/>
        <v>4-7 days</v>
      </c>
      <c r="X270" t="str">
        <f t="shared" si="18"/>
        <v>No Refund</v>
      </c>
      <c r="Y270" t="str">
        <f t="shared" si="19"/>
        <v>Medium</v>
      </c>
    </row>
    <row r="271" spans="1:25" ht="27.6">
      <c r="A271" t="s">
        <v>954</v>
      </c>
      <c r="B271" t="s">
        <v>38</v>
      </c>
      <c r="C271" t="s">
        <v>955</v>
      </c>
      <c r="D271" s="2">
        <v>46143</v>
      </c>
      <c r="E271" t="s">
        <v>94</v>
      </c>
      <c r="F271" t="s">
        <v>25</v>
      </c>
      <c r="G271" s="3">
        <v>135.22</v>
      </c>
      <c r="H271" t="s">
        <v>49</v>
      </c>
      <c r="I271" t="s">
        <v>50</v>
      </c>
      <c r="J271" s="4" t="s">
        <v>42</v>
      </c>
      <c r="K271" t="s">
        <v>33</v>
      </c>
      <c r="L271" t="s">
        <v>30</v>
      </c>
      <c r="M271" t="s">
        <v>31</v>
      </c>
      <c r="N271" t="s">
        <v>32</v>
      </c>
      <c r="O271">
        <v>5</v>
      </c>
      <c r="P271">
        <v>4</v>
      </c>
      <c r="Q271" t="s">
        <v>33</v>
      </c>
      <c r="R271" t="s">
        <v>34</v>
      </c>
      <c r="S271" s="3">
        <v>135.22</v>
      </c>
      <c r="T271" t="s">
        <v>35</v>
      </c>
      <c r="U271" t="s">
        <v>36</v>
      </c>
      <c r="V271" t="str">
        <f t="shared" si="16"/>
        <v>2026-05</v>
      </c>
      <c r="W271" t="str">
        <f t="shared" si="17"/>
        <v>4-7 days</v>
      </c>
      <c r="X271" t="str">
        <f t="shared" si="18"/>
        <v>Refund Issued</v>
      </c>
      <c r="Y271" t="str">
        <f t="shared" si="19"/>
        <v>High</v>
      </c>
    </row>
    <row r="272" spans="1:25" ht="27.6">
      <c r="A272" t="s">
        <v>956</v>
      </c>
      <c r="B272" t="s">
        <v>957</v>
      </c>
      <c r="C272" t="s">
        <v>958</v>
      </c>
      <c r="D272" s="2">
        <v>46119</v>
      </c>
      <c r="E272" t="s">
        <v>24</v>
      </c>
      <c r="F272" t="s">
        <v>25</v>
      </c>
      <c r="G272" s="3">
        <v>40.89</v>
      </c>
      <c r="H272" t="s">
        <v>74</v>
      </c>
      <c r="I272" t="s">
        <v>50</v>
      </c>
      <c r="J272" s="4" t="s">
        <v>959</v>
      </c>
      <c r="K272" t="s">
        <v>29</v>
      </c>
      <c r="L272" t="s">
        <v>30</v>
      </c>
      <c r="M272" t="s">
        <v>96</v>
      </c>
      <c r="N272" t="s">
        <v>32</v>
      </c>
      <c r="O272">
        <v>5</v>
      </c>
      <c r="P272">
        <v>1</v>
      </c>
      <c r="Q272" t="s">
        <v>33</v>
      </c>
      <c r="R272" t="s">
        <v>34</v>
      </c>
      <c r="S272" s="3">
        <v>40.89</v>
      </c>
      <c r="T272" t="s">
        <v>35</v>
      </c>
      <c r="U272" t="s">
        <v>53</v>
      </c>
      <c r="V272" t="str">
        <f t="shared" si="16"/>
        <v>2026-04</v>
      </c>
      <c r="W272" t="str">
        <f t="shared" si="17"/>
        <v>0-3 days</v>
      </c>
      <c r="X272" t="str">
        <f t="shared" si="18"/>
        <v>Refund Issued</v>
      </c>
      <c r="Y272" t="str">
        <f t="shared" si="19"/>
        <v>High</v>
      </c>
    </row>
    <row r="273" spans="1:25" ht="27.6">
      <c r="A273" t="s">
        <v>960</v>
      </c>
      <c r="B273" t="s">
        <v>961</v>
      </c>
      <c r="C273" t="s">
        <v>962</v>
      </c>
      <c r="D273" s="2">
        <v>46056</v>
      </c>
      <c r="E273" t="s">
        <v>94</v>
      </c>
      <c r="F273" t="s">
        <v>172</v>
      </c>
      <c r="G273" s="3">
        <v>63.94</v>
      </c>
      <c r="H273" t="s">
        <v>108</v>
      </c>
      <c r="I273" t="s">
        <v>27</v>
      </c>
      <c r="J273" s="4" t="s">
        <v>285</v>
      </c>
      <c r="K273" t="s">
        <v>29</v>
      </c>
      <c r="L273" t="s">
        <v>30</v>
      </c>
      <c r="M273" t="s">
        <v>31</v>
      </c>
      <c r="N273" t="s">
        <v>32</v>
      </c>
      <c r="O273">
        <v>7</v>
      </c>
      <c r="P273">
        <v>4</v>
      </c>
      <c r="Q273" t="s">
        <v>33</v>
      </c>
      <c r="R273" t="s">
        <v>174</v>
      </c>
      <c r="S273" s="3">
        <v>0</v>
      </c>
      <c r="T273" t="s">
        <v>110</v>
      </c>
      <c r="U273" t="s">
        <v>36</v>
      </c>
      <c r="V273" t="str">
        <f t="shared" si="16"/>
        <v>2026-02</v>
      </c>
      <c r="W273" t="str">
        <f t="shared" si="17"/>
        <v>4-7 days</v>
      </c>
      <c r="X273" t="str">
        <f t="shared" si="18"/>
        <v>No Refund</v>
      </c>
      <c r="Y273" t="str">
        <f t="shared" si="19"/>
        <v>Medium</v>
      </c>
    </row>
    <row r="274" spans="1:25" ht="27.6">
      <c r="A274" t="s">
        <v>963</v>
      </c>
      <c r="B274" t="s">
        <v>964</v>
      </c>
      <c r="C274" t="s">
        <v>965</v>
      </c>
      <c r="D274" s="2">
        <v>46170</v>
      </c>
      <c r="E274" t="s">
        <v>24</v>
      </c>
      <c r="F274" t="s">
        <v>25</v>
      </c>
      <c r="G274" s="3">
        <v>38.729999999999997</v>
      </c>
      <c r="H274" t="s">
        <v>49</v>
      </c>
      <c r="I274" t="s">
        <v>27</v>
      </c>
      <c r="J274" s="4" t="s">
        <v>966</v>
      </c>
      <c r="K274" t="s">
        <v>29</v>
      </c>
      <c r="L274" t="s">
        <v>30</v>
      </c>
      <c r="M274" t="s">
        <v>31</v>
      </c>
      <c r="N274" t="s">
        <v>32</v>
      </c>
      <c r="O274">
        <v>5</v>
      </c>
      <c r="P274">
        <v>4</v>
      </c>
      <c r="Q274" t="s">
        <v>33</v>
      </c>
      <c r="R274" t="s">
        <v>34</v>
      </c>
      <c r="S274" s="3">
        <v>0</v>
      </c>
      <c r="T274" t="s">
        <v>35</v>
      </c>
      <c r="U274" t="s">
        <v>53</v>
      </c>
      <c r="V274" t="str">
        <f t="shared" si="16"/>
        <v>2026-05</v>
      </c>
      <c r="W274" t="str">
        <f t="shared" si="17"/>
        <v>4-7 days</v>
      </c>
      <c r="X274" t="str">
        <f t="shared" si="18"/>
        <v>No Refund</v>
      </c>
      <c r="Y274" t="str">
        <f t="shared" si="19"/>
        <v>High</v>
      </c>
    </row>
    <row r="275" spans="1:25" ht="27.6">
      <c r="A275" t="s">
        <v>967</v>
      </c>
      <c r="B275" t="s">
        <v>968</v>
      </c>
      <c r="C275" t="s">
        <v>969</v>
      </c>
      <c r="D275" s="2">
        <v>46075</v>
      </c>
      <c r="E275" t="s">
        <v>40</v>
      </c>
      <c r="F275" t="s">
        <v>118</v>
      </c>
      <c r="G275" s="3">
        <v>31.89</v>
      </c>
      <c r="H275" t="s">
        <v>58</v>
      </c>
      <c r="I275" t="s">
        <v>50</v>
      </c>
      <c r="J275" s="4" t="s">
        <v>119</v>
      </c>
      <c r="K275" t="s">
        <v>29</v>
      </c>
      <c r="L275" t="s">
        <v>120</v>
      </c>
      <c r="M275" t="s">
        <v>96</v>
      </c>
      <c r="N275" t="s">
        <v>32</v>
      </c>
      <c r="O275">
        <v>5</v>
      </c>
      <c r="P275">
        <v>4</v>
      </c>
      <c r="Q275" t="s">
        <v>33</v>
      </c>
      <c r="R275" t="s">
        <v>85</v>
      </c>
      <c r="S275" s="3">
        <v>31.89</v>
      </c>
      <c r="T275" t="s">
        <v>121</v>
      </c>
      <c r="U275" t="s">
        <v>36</v>
      </c>
      <c r="V275" t="str">
        <f t="shared" si="16"/>
        <v>2026-02</v>
      </c>
      <c r="W275" t="str">
        <f t="shared" si="17"/>
        <v>4-7 days</v>
      </c>
      <c r="X275" t="str">
        <f t="shared" si="18"/>
        <v>Refund Issued</v>
      </c>
      <c r="Y275" t="str">
        <f t="shared" si="19"/>
        <v>High</v>
      </c>
    </row>
    <row r="276" spans="1:25" ht="27.6">
      <c r="A276" t="s">
        <v>970</v>
      </c>
      <c r="B276" t="s">
        <v>971</v>
      </c>
      <c r="C276" t="s">
        <v>972</v>
      </c>
      <c r="D276" s="2">
        <v>46075</v>
      </c>
      <c r="E276" t="s">
        <v>24</v>
      </c>
      <c r="F276" t="s">
        <v>57</v>
      </c>
      <c r="G276" s="3">
        <v>38.840000000000003</v>
      </c>
      <c r="H276" t="s">
        <v>89</v>
      </c>
      <c r="I276" t="s">
        <v>50</v>
      </c>
      <c r="J276" s="4" t="s">
        <v>59</v>
      </c>
      <c r="K276" t="s">
        <v>33</v>
      </c>
      <c r="L276" t="s">
        <v>60</v>
      </c>
      <c r="M276" t="s">
        <v>31</v>
      </c>
      <c r="N276" t="s">
        <v>32</v>
      </c>
      <c r="O276">
        <v>10</v>
      </c>
      <c r="P276">
        <v>11</v>
      </c>
      <c r="Q276" t="s">
        <v>29</v>
      </c>
      <c r="R276" t="s">
        <v>61</v>
      </c>
      <c r="S276" s="3">
        <v>0</v>
      </c>
      <c r="T276" t="s">
        <v>62</v>
      </c>
      <c r="U276" t="s">
        <v>63</v>
      </c>
      <c r="V276" t="str">
        <f t="shared" si="16"/>
        <v>2026-02</v>
      </c>
      <c r="W276" t="str">
        <f t="shared" si="17"/>
        <v>8-14 days</v>
      </c>
      <c r="X276" t="str">
        <f t="shared" si="18"/>
        <v>No Refund</v>
      </c>
      <c r="Y276" t="str">
        <f t="shared" si="19"/>
        <v>Low</v>
      </c>
    </row>
    <row r="277" spans="1:25" ht="27.6">
      <c r="A277" t="s">
        <v>973</v>
      </c>
      <c r="B277" t="s">
        <v>974</v>
      </c>
      <c r="C277" t="s">
        <v>975</v>
      </c>
      <c r="D277" s="2">
        <v>46064</v>
      </c>
      <c r="E277" t="s">
        <v>24</v>
      </c>
      <c r="F277" t="s">
        <v>82</v>
      </c>
      <c r="G277" s="3">
        <v>328.57</v>
      </c>
      <c r="H277" t="s">
        <v>89</v>
      </c>
      <c r="I277" t="s">
        <v>50</v>
      </c>
      <c r="J277" s="4" t="s">
        <v>114</v>
      </c>
      <c r="K277" t="s">
        <v>29</v>
      </c>
      <c r="L277" t="s">
        <v>30</v>
      </c>
      <c r="M277" t="s">
        <v>31</v>
      </c>
      <c r="N277" t="s">
        <v>32</v>
      </c>
      <c r="O277">
        <v>7</v>
      </c>
      <c r="P277">
        <v>9</v>
      </c>
      <c r="Q277" t="s">
        <v>29</v>
      </c>
      <c r="R277" t="s">
        <v>85</v>
      </c>
      <c r="S277" s="3">
        <v>0</v>
      </c>
      <c r="T277" t="s">
        <v>43</v>
      </c>
      <c r="U277" t="s">
        <v>63</v>
      </c>
      <c r="V277" t="str">
        <f t="shared" si="16"/>
        <v>2026-02</v>
      </c>
      <c r="W277" t="str">
        <f t="shared" si="17"/>
        <v>8-14 days</v>
      </c>
      <c r="X277" t="str">
        <f t="shared" si="18"/>
        <v>No Refund</v>
      </c>
      <c r="Y277" t="str">
        <f t="shared" si="19"/>
        <v>High</v>
      </c>
    </row>
    <row r="278" spans="1:25" ht="27.6">
      <c r="A278" t="s">
        <v>976</v>
      </c>
      <c r="B278" t="s">
        <v>977</v>
      </c>
      <c r="C278" t="s">
        <v>978</v>
      </c>
      <c r="D278" s="2">
        <v>46134</v>
      </c>
      <c r="E278" t="s">
        <v>24</v>
      </c>
      <c r="F278" t="s">
        <v>118</v>
      </c>
      <c r="G278" s="3">
        <v>24.98</v>
      </c>
      <c r="H278" t="s">
        <v>58</v>
      </c>
      <c r="I278" t="s">
        <v>27</v>
      </c>
      <c r="J278" s="4" t="s">
        <v>979</v>
      </c>
      <c r="K278" t="s">
        <v>33</v>
      </c>
      <c r="L278" t="s">
        <v>30</v>
      </c>
      <c r="M278" t="s">
        <v>31</v>
      </c>
      <c r="N278" t="s">
        <v>32</v>
      </c>
      <c r="O278">
        <v>5</v>
      </c>
      <c r="P278">
        <v>6</v>
      </c>
      <c r="Q278" t="s">
        <v>29</v>
      </c>
      <c r="R278" t="s">
        <v>85</v>
      </c>
      <c r="S278" s="3">
        <v>0</v>
      </c>
      <c r="T278" t="s">
        <v>121</v>
      </c>
      <c r="U278" t="s">
        <v>63</v>
      </c>
      <c r="V278" t="str">
        <f t="shared" si="16"/>
        <v>2026-04</v>
      </c>
      <c r="W278" t="str">
        <f t="shared" si="17"/>
        <v>4-7 days</v>
      </c>
      <c r="X278" t="str">
        <f t="shared" si="18"/>
        <v>No Refund</v>
      </c>
      <c r="Y278" t="str">
        <f t="shared" si="19"/>
        <v>High</v>
      </c>
    </row>
    <row r="279" spans="1:25" ht="27.6">
      <c r="A279" t="s">
        <v>980</v>
      </c>
      <c r="B279" t="s">
        <v>981</v>
      </c>
      <c r="C279" t="s">
        <v>982</v>
      </c>
      <c r="D279" s="2">
        <v>46025</v>
      </c>
      <c r="E279" t="s">
        <v>24</v>
      </c>
      <c r="F279" t="s">
        <v>172</v>
      </c>
      <c r="G279" s="3">
        <v>75.239999999999995</v>
      </c>
      <c r="H279" t="s">
        <v>26</v>
      </c>
      <c r="I279" t="s">
        <v>67</v>
      </c>
      <c r="J279" s="4" t="s">
        <v>173</v>
      </c>
      <c r="K279" t="s">
        <v>29</v>
      </c>
      <c r="L279" t="s">
        <v>30</v>
      </c>
      <c r="M279" t="s">
        <v>31</v>
      </c>
      <c r="N279" t="s">
        <v>32</v>
      </c>
      <c r="O279">
        <v>7</v>
      </c>
      <c r="P279">
        <v>5</v>
      </c>
      <c r="Q279" t="s">
        <v>33</v>
      </c>
      <c r="R279" t="s">
        <v>174</v>
      </c>
      <c r="S279" s="3">
        <v>37.619999999999997</v>
      </c>
      <c r="T279" t="s">
        <v>110</v>
      </c>
      <c r="U279" t="s">
        <v>36</v>
      </c>
      <c r="V279" t="str">
        <f t="shared" si="16"/>
        <v>2026-01</v>
      </c>
      <c r="W279" t="str">
        <f t="shared" si="17"/>
        <v>4-7 days</v>
      </c>
      <c r="X279" t="str">
        <f t="shared" si="18"/>
        <v>Refund Issued</v>
      </c>
      <c r="Y279" t="str">
        <f t="shared" si="19"/>
        <v>Medium</v>
      </c>
    </row>
    <row r="280" spans="1:25" ht="27.6">
      <c r="A280" t="s">
        <v>983</v>
      </c>
      <c r="B280" t="s">
        <v>984</v>
      </c>
      <c r="C280" t="s">
        <v>985</v>
      </c>
      <c r="D280" s="2">
        <v>46045</v>
      </c>
      <c r="E280" t="s">
        <v>94</v>
      </c>
      <c r="F280" t="s">
        <v>57</v>
      </c>
      <c r="G280" s="3">
        <v>28.39</v>
      </c>
      <c r="H280" t="s">
        <v>89</v>
      </c>
      <c r="I280" t="s">
        <v>27</v>
      </c>
      <c r="J280" s="4" t="s">
        <v>155</v>
      </c>
      <c r="K280" t="s">
        <v>29</v>
      </c>
      <c r="L280" t="s">
        <v>60</v>
      </c>
      <c r="M280" t="s">
        <v>31</v>
      </c>
      <c r="N280" t="s">
        <v>32</v>
      </c>
      <c r="O280">
        <v>10</v>
      </c>
      <c r="P280">
        <v>12</v>
      </c>
      <c r="Q280" t="s">
        <v>29</v>
      </c>
      <c r="R280" t="s">
        <v>61</v>
      </c>
      <c r="S280" s="3">
        <v>0</v>
      </c>
      <c r="T280" t="s">
        <v>62</v>
      </c>
      <c r="U280" t="s">
        <v>63</v>
      </c>
      <c r="V280" t="str">
        <f t="shared" si="16"/>
        <v>2026-01</v>
      </c>
      <c r="W280" t="str">
        <f t="shared" si="17"/>
        <v>8-14 days</v>
      </c>
      <c r="X280" t="str">
        <f t="shared" si="18"/>
        <v>No Refund</v>
      </c>
      <c r="Y280" t="str">
        <f t="shared" si="19"/>
        <v>Low</v>
      </c>
    </row>
    <row r="281" spans="1:25" ht="27.6">
      <c r="A281" t="s">
        <v>986</v>
      </c>
      <c r="B281" t="s">
        <v>987</v>
      </c>
      <c r="C281" t="s">
        <v>988</v>
      </c>
      <c r="D281" s="2">
        <v>46093</v>
      </c>
      <c r="E281" t="s">
        <v>24</v>
      </c>
      <c r="F281" t="s">
        <v>48</v>
      </c>
      <c r="G281" s="3">
        <v>36.21</v>
      </c>
      <c r="H281" t="s">
        <v>26</v>
      </c>
      <c r="I281" t="s">
        <v>27</v>
      </c>
      <c r="J281" s="4" t="s">
        <v>68</v>
      </c>
      <c r="K281" t="s">
        <v>29</v>
      </c>
      <c r="L281" t="s">
        <v>30</v>
      </c>
      <c r="M281" t="s">
        <v>31</v>
      </c>
      <c r="N281" t="s">
        <v>32</v>
      </c>
      <c r="O281">
        <v>10</v>
      </c>
      <c r="P281">
        <v>6</v>
      </c>
      <c r="Q281" t="s">
        <v>33</v>
      </c>
      <c r="R281" t="s">
        <v>34</v>
      </c>
      <c r="S281" s="3">
        <v>27.16</v>
      </c>
      <c r="T281" t="s">
        <v>69</v>
      </c>
      <c r="U281" t="s">
        <v>53</v>
      </c>
      <c r="V281" t="str">
        <f t="shared" si="16"/>
        <v>2026-03</v>
      </c>
      <c r="W281" t="str">
        <f t="shared" si="17"/>
        <v>4-7 days</v>
      </c>
      <c r="X281" t="str">
        <f t="shared" si="18"/>
        <v>Refund Issued</v>
      </c>
      <c r="Y281" t="str">
        <f t="shared" si="19"/>
        <v>Low</v>
      </c>
    </row>
    <row r="282" spans="1:25" ht="27.6">
      <c r="A282" t="s">
        <v>989</v>
      </c>
      <c r="B282" t="s">
        <v>990</v>
      </c>
      <c r="C282" t="s">
        <v>991</v>
      </c>
      <c r="D282" s="2">
        <v>46170</v>
      </c>
      <c r="E282" t="s">
        <v>24</v>
      </c>
      <c r="F282" t="s">
        <v>82</v>
      </c>
      <c r="G282" s="3">
        <v>28.58</v>
      </c>
      <c r="H282" t="s">
        <v>74</v>
      </c>
      <c r="I282" t="s">
        <v>50</v>
      </c>
      <c r="J282" s="4" t="s">
        <v>992</v>
      </c>
      <c r="K282" t="s">
        <v>33</v>
      </c>
      <c r="L282" t="s">
        <v>30</v>
      </c>
      <c r="M282" t="s">
        <v>31</v>
      </c>
      <c r="N282" t="s">
        <v>90</v>
      </c>
      <c r="O282">
        <v>7</v>
      </c>
      <c r="P282">
        <v>6</v>
      </c>
      <c r="Q282" t="s">
        <v>33</v>
      </c>
      <c r="R282" t="s">
        <v>85</v>
      </c>
      <c r="S282" s="3">
        <v>0</v>
      </c>
      <c r="T282" t="s">
        <v>69</v>
      </c>
      <c r="U282" t="s">
        <v>53</v>
      </c>
      <c r="V282" t="str">
        <f t="shared" si="16"/>
        <v>2026-05</v>
      </c>
      <c r="W282" t="str">
        <f t="shared" si="17"/>
        <v>4-7 days</v>
      </c>
      <c r="X282" t="str">
        <f t="shared" si="18"/>
        <v>No Refund</v>
      </c>
      <c r="Y282" t="str">
        <f t="shared" si="19"/>
        <v>High</v>
      </c>
    </row>
    <row r="283" spans="1:25" ht="27.6">
      <c r="A283" t="s">
        <v>993</v>
      </c>
      <c r="B283" t="s">
        <v>994</v>
      </c>
      <c r="C283" t="s">
        <v>995</v>
      </c>
      <c r="D283" s="2">
        <v>46079</v>
      </c>
      <c r="E283" t="s">
        <v>40</v>
      </c>
      <c r="F283" t="s">
        <v>118</v>
      </c>
      <c r="G283" s="3">
        <v>41.44</v>
      </c>
      <c r="H283" t="s">
        <v>49</v>
      </c>
      <c r="I283" t="s">
        <v>27</v>
      </c>
      <c r="J283" s="4" t="s">
        <v>996</v>
      </c>
      <c r="K283" t="s">
        <v>29</v>
      </c>
      <c r="L283" t="s">
        <v>120</v>
      </c>
      <c r="M283" t="s">
        <v>96</v>
      </c>
      <c r="N283" t="s">
        <v>32</v>
      </c>
      <c r="O283">
        <v>5</v>
      </c>
      <c r="P283">
        <v>1</v>
      </c>
      <c r="Q283" t="s">
        <v>33</v>
      </c>
      <c r="R283" t="s">
        <v>85</v>
      </c>
      <c r="S283" s="3">
        <v>41.44</v>
      </c>
      <c r="T283" t="s">
        <v>121</v>
      </c>
      <c r="U283" t="s">
        <v>36</v>
      </c>
      <c r="V283" t="str">
        <f t="shared" si="16"/>
        <v>2026-02</v>
      </c>
      <c r="W283" t="str">
        <f t="shared" si="17"/>
        <v>0-3 days</v>
      </c>
      <c r="X283" t="str">
        <f t="shared" si="18"/>
        <v>Refund Issued</v>
      </c>
      <c r="Y283" t="str">
        <f t="shared" si="19"/>
        <v>High</v>
      </c>
    </row>
    <row r="284" spans="1:25" ht="27.6">
      <c r="A284" t="s">
        <v>997</v>
      </c>
      <c r="B284" t="s">
        <v>998</v>
      </c>
      <c r="C284" t="s">
        <v>999</v>
      </c>
      <c r="D284" s="2">
        <v>46103</v>
      </c>
      <c r="E284" t="s">
        <v>24</v>
      </c>
      <c r="F284" t="s">
        <v>73</v>
      </c>
      <c r="G284" s="3">
        <v>40.369999999999997</v>
      </c>
      <c r="H284" t="s">
        <v>58</v>
      </c>
      <c r="I284" t="s">
        <v>27</v>
      </c>
      <c r="J284" s="4" t="s">
        <v>75</v>
      </c>
      <c r="K284" t="s">
        <v>29</v>
      </c>
      <c r="L284" t="s">
        <v>60</v>
      </c>
      <c r="M284" t="s">
        <v>31</v>
      </c>
      <c r="N284" t="s">
        <v>32</v>
      </c>
      <c r="O284">
        <v>10</v>
      </c>
      <c r="P284">
        <v>11</v>
      </c>
      <c r="Q284" t="s">
        <v>29</v>
      </c>
      <c r="R284" t="s">
        <v>61</v>
      </c>
      <c r="S284" s="3">
        <v>20.18</v>
      </c>
      <c r="T284" t="s">
        <v>156</v>
      </c>
      <c r="U284" t="s">
        <v>63</v>
      </c>
      <c r="V284" t="str">
        <f t="shared" si="16"/>
        <v>2026-03</v>
      </c>
      <c r="W284" t="str">
        <f t="shared" si="17"/>
        <v>8-14 days</v>
      </c>
      <c r="X284" t="str">
        <f t="shared" si="18"/>
        <v>Refund Issued</v>
      </c>
      <c r="Y284" t="str">
        <f t="shared" si="19"/>
        <v>Low</v>
      </c>
    </row>
    <row r="285" spans="1:25" ht="27.6">
      <c r="A285" t="s">
        <v>1000</v>
      </c>
      <c r="B285" t="s">
        <v>1001</v>
      </c>
      <c r="C285" t="s">
        <v>1002</v>
      </c>
      <c r="D285" s="2">
        <v>46149</v>
      </c>
      <c r="E285" t="s">
        <v>47</v>
      </c>
      <c r="F285" t="s">
        <v>57</v>
      </c>
      <c r="G285" s="3">
        <v>43.08</v>
      </c>
      <c r="H285" t="s">
        <v>108</v>
      </c>
      <c r="I285" t="s">
        <v>27</v>
      </c>
      <c r="J285" s="4" t="s">
        <v>59</v>
      </c>
      <c r="K285" t="s">
        <v>29</v>
      </c>
      <c r="L285" t="s">
        <v>60</v>
      </c>
      <c r="M285" t="s">
        <v>31</v>
      </c>
      <c r="N285" t="s">
        <v>90</v>
      </c>
      <c r="O285">
        <v>10</v>
      </c>
      <c r="P285">
        <v>13</v>
      </c>
      <c r="Q285" t="s">
        <v>29</v>
      </c>
      <c r="R285" t="s">
        <v>61</v>
      </c>
      <c r="S285" s="3">
        <v>0</v>
      </c>
      <c r="T285" t="s">
        <v>62</v>
      </c>
      <c r="U285" t="s">
        <v>63</v>
      </c>
      <c r="V285" t="str">
        <f t="shared" si="16"/>
        <v>2026-05</v>
      </c>
      <c r="W285" t="str">
        <f t="shared" si="17"/>
        <v>8-14 days</v>
      </c>
      <c r="X285" t="str">
        <f t="shared" si="18"/>
        <v>No Refund</v>
      </c>
      <c r="Y285" t="str">
        <f t="shared" si="19"/>
        <v>Low</v>
      </c>
    </row>
    <row r="286" spans="1:25" ht="27.6">
      <c r="A286" t="s">
        <v>1003</v>
      </c>
      <c r="B286" t="s">
        <v>1004</v>
      </c>
      <c r="C286" t="s">
        <v>1005</v>
      </c>
      <c r="D286" s="2">
        <v>46124</v>
      </c>
      <c r="E286" t="s">
        <v>24</v>
      </c>
      <c r="F286" t="s">
        <v>172</v>
      </c>
      <c r="G286" s="3">
        <v>37.76</v>
      </c>
      <c r="H286" t="s">
        <v>89</v>
      </c>
      <c r="I286" t="s">
        <v>27</v>
      </c>
      <c r="J286" s="4" t="s">
        <v>173</v>
      </c>
      <c r="K286" t="s">
        <v>33</v>
      </c>
      <c r="L286" t="s">
        <v>30</v>
      </c>
      <c r="M286" t="s">
        <v>31</v>
      </c>
      <c r="N286" t="s">
        <v>32</v>
      </c>
      <c r="O286">
        <v>7</v>
      </c>
      <c r="P286">
        <v>9</v>
      </c>
      <c r="Q286" t="s">
        <v>29</v>
      </c>
      <c r="R286" t="s">
        <v>174</v>
      </c>
      <c r="S286" s="3">
        <v>18.88</v>
      </c>
      <c r="T286" t="s">
        <v>69</v>
      </c>
      <c r="U286" t="s">
        <v>63</v>
      </c>
      <c r="V286" t="str">
        <f t="shared" si="16"/>
        <v>2026-04</v>
      </c>
      <c r="W286" t="str">
        <f t="shared" si="17"/>
        <v>8-14 days</v>
      </c>
      <c r="X286" t="str">
        <f t="shared" si="18"/>
        <v>Refund Issued</v>
      </c>
      <c r="Y286" t="str">
        <f t="shared" si="19"/>
        <v>Medium</v>
      </c>
    </row>
    <row r="287" spans="1:25" ht="27.6">
      <c r="A287" t="s">
        <v>1006</v>
      </c>
      <c r="B287" t="s">
        <v>1007</v>
      </c>
      <c r="C287" t="s">
        <v>1008</v>
      </c>
      <c r="D287" s="2">
        <v>46171</v>
      </c>
      <c r="E287" t="s">
        <v>24</v>
      </c>
      <c r="F287" t="s">
        <v>82</v>
      </c>
      <c r="G287" s="3">
        <v>77.41</v>
      </c>
      <c r="H287" t="s">
        <v>41</v>
      </c>
      <c r="I287" t="s">
        <v>27</v>
      </c>
      <c r="J287" s="4" t="s">
        <v>1009</v>
      </c>
      <c r="K287" t="s">
        <v>29</v>
      </c>
      <c r="L287" t="s">
        <v>30</v>
      </c>
      <c r="M287" t="s">
        <v>31</v>
      </c>
      <c r="N287" t="s">
        <v>32</v>
      </c>
      <c r="O287">
        <v>7</v>
      </c>
      <c r="P287">
        <v>6</v>
      </c>
      <c r="Q287" t="s">
        <v>33</v>
      </c>
      <c r="R287" t="s">
        <v>85</v>
      </c>
      <c r="S287" s="3">
        <v>58.06</v>
      </c>
      <c r="T287" t="s">
        <v>62</v>
      </c>
      <c r="U287" t="s">
        <v>53</v>
      </c>
      <c r="V287" t="str">
        <f t="shared" si="16"/>
        <v>2026-05</v>
      </c>
      <c r="W287" t="str">
        <f t="shared" si="17"/>
        <v>4-7 days</v>
      </c>
      <c r="X287" t="str">
        <f t="shared" si="18"/>
        <v>Refund Issued</v>
      </c>
      <c r="Y287" t="str">
        <f t="shared" si="19"/>
        <v>High</v>
      </c>
    </row>
    <row r="288" spans="1:25" ht="27.6">
      <c r="A288" t="s">
        <v>1010</v>
      </c>
      <c r="B288" t="s">
        <v>1011</v>
      </c>
      <c r="C288" t="s">
        <v>1012</v>
      </c>
      <c r="D288" s="2">
        <v>46125</v>
      </c>
      <c r="E288" t="s">
        <v>24</v>
      </c>
      <c r="F288" t="s">
        <v>25</v>
      </c>
      <c r="G288" s="3">
        <v>11.38</v>
      </c>
      <c r="H288" t="s">
        <v>74</v>
      </c>
      <c r="I288" t="s">
        <v>67</v>
      </c>
      <c r="J288" s="4" t="s">
        <v>42</v>
      </c>
      <c r="K288" t="s">
        <v>33</v>
      </c>
      <c r="L288" t="s">
        <v>30</v>
      </c>
      <c r="M288" t="s">
        <v>31</v>
      </c>
      <c r="N288" t="s">
        <v>32</v>
      </c>
      <c r="O288">
        <v>5</v>
      </c>
      <c r="P288">
        <v>3</v>
      </c>
      <c r="Q288" t="s">
        <v>33</v>
      </c>
      <c r="R288" t="s">
        <v>34</v>
      </c>
      <c r="S288" s="3">
        <v>0</v>
      </c>
      <c r="T288" t="s">
        <v>110</v>
      </c>
      <c r="U288" t="s">
        <v>53</v>
      </c>
      <c r="V288" t="str">
        <f t="shared" si="16"/>
        <v>2026-04</v>
      </c>
      <c r="W288" t="str">
        <f t="shared" si="17"/>
        <v>0-3 days</v>
      </c>
      <c r="X288" t="str">
        <f t="shared" si="18"/>
        <v>No Refund</v>
      </c>
      <c r="Y288" t="str">
        <f t="shared" si="19"/>
        <v>High</v>
      </c>
    </row>
    <row r="289" spans="1:25" ht="27.6">
      <c r="A289" t="s">
        <v>1013</v>
      </c>
      <c r="B289" t="s">
        <v>1014</v>
      </c>
      <c r="C289" t="s">
        <v>1015</v>
      </c>
      <c r="D289" s="2">
        <v>46130</v>
      </c>
      <c r="E289" t="s">
        <v>47</v>
      </c>
      <c r="F289" t="s">
        <v>48</v>
      </c>
      <c r="G289" s="3">
        <v>116.14</v>
      </c>
      <c r="H289" t="s">
        <v>58</v>
      </c>
      <c r="I289" t="s">
        <v>27</v>
      </c>
      <c r="J289" s="4" t="s">
        <v>51</v>
      </c>
      <c r="K289" t="s">
        <v>29</v>
      </c>
      <c r="L289" t="s">
        <v>30</v>
      </c>
      <c r="M289" t="s">
        <v>31</v>
      </c>
      <c r="N289" t="s">
        <v>32</v>
      </c>
      <c r="O289">
        <v>10</v>
      </c>
      <c r="P289">
        <v>3</v>
      </c>
      <c r="Q289" t="s">
        <v>33</v>
      </c>
      <c r="R289" t="s">
        <v>34</v>
      </c>
      <c r="S289" s="3">
        <v>0</v>
      </c>
      <c r="T289" t="s">
        <v>52</v>
      </c>
      <c r="U289" t="s">
        <v>36</v>
      </c>
      <c r="V289" t="str">
        <f t="shared" si="16"/>
        <v>2026-04</v>
      </c>
      <c r="W289" t="str">
        <f t="shared" si="17"/>
        <v>0-3 days</v>
      </c>
      <c r="X289" t="str">
        <f t="shared" si="18"/>
        <v>No Refund</v>
      </c>
      <c r="Y289" t="str">
        <f t="shared" si="19"/>
        <v>Low</v>
      </c>
    </row>
    <row r="290" spans="1:25" ht="27.6">
      <c r="A290" t="s">
        <v>1016</v>
      </c>
      <c r="B290" t="s">
        <v>1017</v>
      </c>
      <c r="C290" t="s">
        <v>1018</v>
      </c>
      <c r="D290" s="2">
        <v>46078</v>
      </c>
      <c r="E290" t="s">
        <v>40</v>
      </c>
      <c r="F290" t="s">
        <v>82</v>
      </c>
      <c r="G290" s="3">
        <v>57.07</v>
      </c>
      <c r="H290" t="s">
        <v>41</v>
      </c>
      <c r="I290" t="s">
        <v>27</v>
      </c>
      <c r="J290" s="4" t="s">
        <v>114</v>
      </c>
      <c r="K290" t="s">
        <v>29</v>
      </c>
      <c r="L290" t="s">
        <v>30</v>
      </c>
      <c r="M290" t="s">
        <v>31</v>
      </c>
      <c r="N290" t="s">
        <v>32</v>
      </c>
      <c r="O290">
        <v>7</v>
      </c>
      <c r="P290">
        <v>8</v>
      </c>
      <c r="Q290" t="s">
        <v>29</v>
      </c>
      <c r="R290" t="s">
        <v>85</v>
      </c>
      <c r="S290" s="3">
        <v>57.07</v>
      </c>
      <c r="T290" t="s">
        <v>62</v>
      </c>
      <c r="U290" t="s">
        <v>63</v>
      </c>
      <c r="V290" t="str">
        <f t="shared" si="16"/>
        <v>2026-02</v>
      </c>
      <c r="W290" t="str">
        <f t="shared" si="17"/>
        <v>8-14 days</v>
      </c>
      <c r="X290" t="str">
        <f t="shared" si="18"/>
        <v>Refund Issued</v>
      </c>
      <c r="Y290" t="str">
        <f t="shared" si="19"/>
        <v>High</v>
      </c>
    </row>
    <row r="291" spans="1:25" ht="27.6">
      <c r="A291" t="s">
        <v>1019</v>
      </c>
      <c r="B291" t="s">
        <v>1020</v>
      </c>
      <c r="C291" t="s">
        <v>1021</v>
      </c>
      <c r="D291" s="2">
        <v>46095</v>
      </c>
      <c r="E291" t="s">
        <v>24</v>
      </c>
      <c r="F291" t="s">
        <v>103</v>
      </c>
      <c r="G291" s="3">
        <v>37.74</v>
      </c>
      <c r="H291" t="s">
        <v>26</v>
      </c>
      <c r="I291" t="s">
        <v>27</v>
      </c>
      <c r="J291" s="4" t="s">
        <v>104</v>
      </c>
      <c r="K291" t="s">
        <v>33</v>
      </c>
      <c r="L291" t="s">
        <v>30</v>
      </c>
      <c r="M291" t="s">
        <v>31</v>
      </c>
      <c r="N291" t="s">
        <v>126</v>
      </c>
      <c r="O291">
        <v>5</v>
      </c>
      <c r="P291">
        <v>5</v>
      </c>
      <c r="Q291" t="s">
        <v>33</v>
      </c>
      <c r="R291" t="s">
        <v>34</v>
      </c>
      <c r="S291" s="3">
        <v>0</v>
      </c>
      <c r="T291" t="s">
        <v>35</v>
      </c>
      <c r="U291" t="s">
        <v>36</v>
      </c>
      <c r="V291" t="str">
        <f t="shared" si="16"/>
        <v>2026-03</v>
      </c>
      <c r="W291" t="str">
        <f t="shared" si="17"/>
        <v>4-7 days</v>
      </c>
      <c r="X291" t="str">
        <f t="shared" si="18"/>
        <v>No Refund</v>
      </c>
      <c r="Y291" t="str">
        <f t="shared" si="19"/>
        <v>Medium</v>
      </c>
    </row>
    <row r="292" spans="1:25" ht="27.6">
      <c r="A292" t="s">
        <v>1022</v>
      </c>
      <c r="B292" t="s">
        <v>1023</v>
      </c>
      <c r="C292" t="s">
        <v>1024</v>
      </c>
      <c r="D292" s="2">
        <v>46041</v>
      </c>
      <c r="E292" t="s">
        <v>24</v>
      </c>
      <c r="F292" t="s">
        <v>82</v>
      </c>
      <c r="G292" s="3">
        <v>18.47</v>
      </c>
      <c r="H292" t="s">
        <v>58</v>
      </c>
      <c r="I292" t="s">
        <v>27</v>
      </c>
      <c r="J292" s="4" t="s">
        <v>1025</v>
      </c>
      <c r="K292" t="s">
        <v>33</v>
      </c>
      <c r="L292" t="s">
        <v>30</v>
      </c>
      <c r="M292" t="s">
        <v>31</v>
      </c>
      <c r="N292" t="s">
        <v>126</v>
      </c>
      <c r="O292">
        <v>7</v>
      </c>
      <c r="P292">
        <v>9</v>
      </c>
      <c r="Q292" t="s">
        <v>29</v>
      </c>
      <c r="R292" t="s">
        <v>85</v>
      </c>
      <c r="S292" s="3">
        <v>0</v>
      </c>
      <c r="T292" t="s">
        <v>69</v>
      </c>
      <c r="U292" t="s">
        <v>63</v>
      </c>
      <c r="V292" t="str">
        <f t="shared" si="16"/>
        <v>2026-01</v>
      </c>
      <c r="W292" t="str">
        <f t="shared" si="17"/>
        <v>8-14 days</v>
      </c>
      <c r="X292" t="str">
        <f t="shared" si="18"/>
        <v>No Refund</v>
      </c>
      <c r="Y292" t="str">
        <f t="shared" si="19"/>
        <v>High</v>
      </c>
    </row>
    <row r="293" spans="1:25" ht="27.6">
      <c r="A293" t="s">
        <v>1026</v>
      </c>
      <c r="B293" t="s">
        <v>1027</v>
      </c>
      <c r="C293" t="s">
        <v>1028</v>
      </c>
      <c r="D293" s="2">
        <v>46070</v>
      </c>
      <c r="E293" t="s">
        <v>94</v>
      </c>
      <c r="F293" t="s">
        <v>25</v>
      </c>
      <c r="G293" s="3">
        <v>24.12</v>
      </c>
      <c r="H293" t="s">
        <v>58</v>
      </c>
      <c r="I293" t="s">
        <v>50</v>
      </c>
      <c r="J293" s="4" t="s">
        <v>1029</v>
      </c>
      <c r="K293" t="s">
        <v>29</v>
      </c>
      <c r="L293" t="s">
        <v>30</v>
      </c>
      <c r="M293" t="s">
        <v>96</v>
      </c>
      <c r="N293" t="s">
        <v>32</v>
      </c>
      <c r="O293">
        <v>5</v>
      </c>
      <c r="P293">
        <v>2</v>
      </c>
      <c r="Q293" t="s">
        <v>33</v>
      </c>
      <c r="R293" t="s">
        <v>34</v>
      </c>
      <c r="S293" s="3">
        <v>24.12</v>
      </c>
      <c r="T293" t="s">
        <v>110</v>
      </c>
      <c r="U293" t="s">
        <v>53</v>
      </c>
      <c r="V293" t="str">
        <f t="shared" si="16"/>
        <v>2026-02</v>
      </c>
      <c r="W293" t="str">
        <f t="shared" si="17"/>
        <v>0-3 days</v>
      </c>
      <c r="X293" t="str">
        <f t="shared" si="18"/>
        <v>Refund Issued</v>
      </c>
      <c r="Y293" t="str">
        <f t="shared" si="19"/>
        <v>High</v>
      </c>
    </row>
    <row r="294" spans="1:25" ht="27.6">
      <c r="A294" t="s">
        <v>1030</v>
      </c>
      <c r="B294" t="s">
        <v>1031</v>
      </c>
      <c r="C294" t="s">
        <v>1032</v>
      </c>
      <c r="D294" s="2">
        <v>46036</v>
      </c>
      <c r="E294" t="s">
        <v>24</v>
      </c>
      <c r="F294" t="s">
        <v>82</v>
      </c>
      <c r="G294" s="3">
        <v>61.65</v>
      </c>
      <c r="H294" t="s">
        <v>41</v>
      </c>
      <c r="I294" t="s">
        <v>50</v>
      </c>
      <c r="J294" s="4" t="s">
        <v>114</v>
      </c>
      <c r="K294" t="s">
        <v>29</v>
      </c>
      <c r="L294" t="s">
        <v>30</v>
      </c>
      <c r="M294" t="s">
        <v>31</v>
      </c>
      <c r="N294" t="s">
        <v>32</v>
      </c>
      <c r="O294">
        <v>7</v>
      </c>
      <c r="P294">
        <v>5</v>
      </c>
      <c r="Q294" t="s">
        <v>33</v>
      </c>
      <c r="R294" t="s">
        <v>85</v>
      </c>
      <c r="S294" s="3">
        <v>0</v>
      </c>
      <c r="T294" t="s">
        <v>69</v>
      </c>
      <c r="U294" t="s">
        <v>53</v>
      </c>
      <c r="V294" t="str">
        <f t="shared" si="16"/>
        <v>2026-01</v>
      </c>
      <c r="W294" t="str">
        <f t="shared" si="17"/>
        <v>4-7 days</v>
      </c>
      <c r="X294" t="str">
        <f t="shared" si="18"/>
        <v>No Refund</v>
      </c>
      <c r="Y294" t="str">
        <f t="shared" si="19"/>
        <v>High</v>
      </c>
    </row>
    <row r="295" spans="1:25" ht="27.6">
      <c r="A295" t="s">
        <v>1033</v>
      </c>
      <c r="B295" t="s">
        <v>1034</v>
      </c>
      <c r="C295" t="s">
        <v>1035</v>
      </c>
      <c r="D295" s="2">
        <v>46114</v>
      </c>
      <c r="E295" t="s">
        <v>94</v>
      </c>
      <c r="F295" t="s">
        <v>118</v>
      </c>
      <c r="G295" s="3">
        <v>10.08</v>
      </c>
      <c r="H295" t="s">
        <v>89</v>
      </c>
      <c r="I295" t="s">
        <v>67</v>
      </c>
      <c r="J295" s="4" t="s">
        <v>119</v>
      </c>
      <c r="K295" t="s">
        <v>29</v>
      </c>
      <c r="L295" t="s">
        <v>120</v>
      </c>
      <c r="M295" t="s">
        <v>96</v>
      </c>
      <c r="N295" t="s">
        <v>32</v>
      </c>
      <c r="O295">
        <v>5</v>
      </c>
      <c r="P295">
        <v>5</v>
      </c>
      <c r="Q295" t="s">
        <v>33</v>
      </c>
      <c r="R295" t="s">
        <v>85</v>
      </c>
      <c r="S295" s="3">
        <v>10.08</v>
      </c>
      <c r="T295" t="s">
        <v>121</v>
      </c>
      <c r="U295" t="s">
        <v>53</v>
      </c>
      <c r="V295" t="str">
        <f t="shared" si="16"/>
        <v>2026-04</v>
      </c>
      <c r="W295" t="str">
        <f t="shared" si="17"/>
        <v>4-7 days</v>
      </c>
      <c r="X295" t="str">
        <f t="shared" si="18"/>
        <v>Refund Issued</v>
      </c>
      <c r="Y295" t="str">
        <f t="shared" si="19"/>
        <v>High</v>
      </c>
    </row>
    <row r="296" spans="1:25" ht="27.6">
      <c r="A296" t="s">
        <v>1036</v>
      </c>
      <c r="B296" t="s">
        <v>1037</v>
      </c>
      <c r="C296" t="s">
        <v>1038</v>
      </c>
      <c r="D296" s="2">
        <v>46159</v>
      </c>
      <c r="E296" t="s">
        <v>24</v>
      </c>
      <c r="F296" t="s">
        <v>82</v>
      </c>
      <c r="G296" s="3">
        <v>54.39</v>
      </c>
      <c r="H296" t="s">
        <v>108</v>
      </c>
      <c r="I296" t="s">
        <v>27</v>
      </c>
      <c r="J296" s="4" t="s">
        <v>1039</v>
      </c>
      <c r="K296" t="s">
        <v>29</v>
      </c>
      <c r="L296" t="s">
        <v>30</v>
      </c>
      <c r="M296" t="s">
        <v>31</v>
      </c>
      <c r="N296" t="s">
        <v>84</v>
      </c>
      <c r="O296">
        <v>7</v>
      </c>
      <c r="P296">
        <v>5</v>
      </c>
      <c r="Q296" t="s">
        <v>33</v>
      </c>
      <c r="R296" t="s">
        <v>85</v>
      </c>
      <c r="S296" s="3">
        <v>0</v>
      </c>
      <c r="T296" t="s">
        <v>43</v>
      </c>
      <c r="U296" t="s">
        <v>36</v>
      </c>
      <c r="V296" t="str">
        <f t="shared" si="16"/>
        <v>2026-05</v>
      </c>
      <c r="W296" t="str">
        <f t="shared" si="17"/>
        <v>4-7 days</v>
      </c>
      <c r="X296" t="str">
        <f t="shared" si="18"/>
        <v>No Refund</v>
      </c>
      <c r="Y296" t="str">
        <f t="shared" si="19"/>
        <v>High</v>
      </c>
    </row>
    <row r="297" spans="1:25" ht="27.6">
      <c r="A297" t="s">
        <v>1040</v>
      </c>
      <c r="B297" t="s">
        <v>1041</v>
      </c>
      <c r="C297" t="s">
        <v>1042</v>
      </c>
      <c r="D297" s="2">
        <v>46025</v>
      </c>
      <c r="E297" t="s">
        <v>40</v>
      </c>
      <c r="F297" t="s">
        <v>82</v>
      </c>
      <c r="G297" s="3">
        <v>68.849999999999994</v>
      </c>
      <c r="H297" t="s">
        <v>49</v>
      </c>
      <c r="I297" t="s">
        <v>27</v>
      </c>
      <c r="J297" s="4" t="s">
        <v>114</v>
      </c>
      <c r="K297" t="s">
        <v>33</v>
      </c>
      <c r="L297" t="s">
        <v>30</v>
      </c>
      <c r="M297" t="s">
        <v>31</v>
      </c>
      <c r="N297" t="s">
        <v>126</v>
      </c>
      <c r="O297">
        <v>7</v>
      </c>
      <c r="P297">
        <v>6</v>
      </c>
      <c r="Q297" t="s">
        <v>33</v>
      </c>
      <c r="R297" t="s">
        <v>85</v>
      </c>
      <c r="S297" s="3">
        <v>0</v>
      </c>
      <c r="T297" t="s">
        <v>43</v>
      </c>
      <c r="U297" t="s">
        <v>36</v>
      </c>
      <c r="V297" t="str">
        <f t="shared" si="16"/>
        <v>2026-01</v>
      </c>
      <c r="W297" t="str">
        <f t="shared" si="17"/>
        <v>4-7 days</v>
      </c>
      <c r="X297" t="str">
        <f t="shared" si="18"/>
        <v>No Refund</v>
      </c>
      <c r="Y297" t="str">
        <f t="shared" si="19"/>
        <v>High</v>
      </c>
    </row>
    <row r="298" spans="1:25" ht="27.6">
      <c r="A298" t="s">
        <v>1043</v>
      </c>
      <c r="B298" t="s">
        <v>1044</v>
      </c>
      <c r="C298" t="s">
        <v>1045</v>
      </c>
      <c r="D298" s="2">
        <v>46134</v>
      </c>
      <c r="E298" t="s">
        <v>24</v>
      </c>
      <c r="F298" t="s">
        <v>25</v>
      </c>
      <c r="G298" s="3">
        <v>71.28</v>
      </c>
      <c r="H298" t="s">
        <v>108</v>
      </c>
      <c r="I298" t="s">
        <v>27</v>
      </c>
      <c r="J298" s="4" t="s">
        <v>42</v>
      </c>
      <c r="K298" t="s">
        <v>33</v>
      </c>
      <c r="L298" t="s">
        <v>30</v>
      </c>
      <c r="M298" t="s">
        <v>31</v>
      </c>
      <c r="N298" t="s">
        <v>126</v>
      </c>
      <c r="O298">
        <v>5</v>
      </c>
      <c r="P298">
        <v>6</v>
      </c>
      <c r="Q298" t="s">
        <v>29</v>
      </c>
      <c r="R298" t="s">
        <v>34</v>
      </c>
      <c r="S298" s="3">
        <v>0</v>
      </c>
      <c r="T298" t="s">
        <v>35</v>
      </c>
      <c r="U298" t="s">
        <v>63</v>
      </c>
      <c r="V298" t="str">
        <f t="shared" si="16"/>
        <v>2026-04</v>
      </c>
      <c r="W298" t="str">
        <f t="shared" si="17"/>
        <v>4-7 days</v>
      </c>
      <c r="X298" t="str">
        <f t="shared" si="18"/>
        <v>No Refund</v>
      </c>
      <c r="Y298" t="str">
        <f t="shared" si="19"/>
        <v>High</v>
      </c>
    </row>
    <row r="299" spans="1:25" ht="27.6">
      <c r="A299" t="s">
        <v>1046</v>
      </c>
      <c r="B299" t="s">
        <v>1047</v>
      </c>
      <c r="C299" t="s">
        <v>1048</v>
      </c>
      <c r="D299" s="2">
        <v>46159</v>
      </c>
      <c r="E299" t="s">
        <v>40</v>
      </c>
      <c r="F299" t="s">
        <v>82</v>
      </c>
      <c r="G299" s="3">
        <v>75.98</v>
      </c>
      <c r="H299" t="s">
        <v>41</v>
      </c>
      <c r="I299" t="s">
        <v>27</v>
      </c>
      <c r="J299" s="4" t="s">
        <v>114</v>
      </c>
      <c r="K299" t="s">
        <v>29</v>
      </c>
      <c r="L299" t="s">
        <v>30</v>
      </c>
      <c r="M299" t="s">
        <v>31</v>
      </c>
      <c r="N299" t="s">
        <v>32</v>
      </c>
      <c r="O299">
        <v>7</v>
      </c>
      <c r="P299">
        <v>11</v>
      </c>
      <c r="Q299" t="s">
        <v>29</v>
      </c>
      <c r="R299" t="s">
        <v>85</v>
      </c>
      <c r="S299" s="3">
        <v>0</v>
      </c>
      <c r="T299" t="s">
        <v>69</v>
      </c>
      <c r="U299" t="s">
        <v>63</v>
      </c>
      <c r="V299" t="str">
        <f t="shared" si="16"/>
        <v>2026-05</v>
      </c>
      <c r="W299" t="str">
        <f t="shared" si="17"/>
        <v>8-14 days</v>
      </c>
      <c r="X299" t="str">
        <f t="shared" si="18"/>
        <v>No Refund</v>
      </c>
      <c r="Y299" t="str">
        <f t="shared" si="19"/>
        <v>High</v>
      </c>
    </row>
    <row r="300" spans="1:25" ht="27.6">
      <c r="A300" t="s">
        <v>1049</v>
      </c>
      <c r="B300" t="s">
        <v>1050</v>
      </c>
      <c r="C300" t="s">
        <v>1051</v>
      </c>
      <c r="D300" s="2">
        <v>46061</v>
      </c>
      <c r="E300" t="s">
        <v>24</v>
      </c>
      <c r="F300" t="s">
        <v>172</v>
      </c>
      <c r="G300" s="3">
        <v>24.29</v>
      </c>
      <c r="H300" t="s">
        <v>41</v>
      </c>
      <c r="I300" t="s">
        <v>27</v>
      </c>
      <c r="J300" s="4" t="s">
        <v>285</v>
      </c>
      <c r="K300" t="s">
        <v>29</v>
      </c>
      <c r="L300" t="s">
        <v>30</v>
      </c>
      <c r="M300" t="s">
        <v>31</v>
      </c>
      <c r="N300" t="s">
        <v>32</v>
      </c>
      <c r="O300">
        <v>7</v>
      </c>
      <c r="P300">
        <v>8</v>
      </c>
      <c r="Q300" t="s">
        <v>29</v>
      </c>
      <c r="R300" t="s">
        <v>174</v>
      </c>
      <c r="S300" s="3">
        <v>18.22</v>
      </c>
      <c r="T300" t="s">
        <v>69</v>
      </c>
      <c r="U300" t="s">
        <v>63</v>
      </c>
      <c r="V300" t="str">
        <f t="shared" si="16"/>
        <v>2026-02</v>
      </c>
      <c r="W300" t="str">
        <f t="shared" si="17"/>
        <v>8-14 days</v>
      </c>
      <c r="X300" t="str">
        <f t="shared" si="18"/>
        <v>Refund Issued</v>
      </c>
      <c r="Y300" t="str">
        <f t="shared" si="19"/>
        <v>Medium</v>
      </c>
    </row>
    <row r="301" spans="1:25" ht="27.6">
      <c r="A301" t="s">
        <v>1052</v>
      </c>
      <c r="B301" t="s">
        <v>1053</v>
      </c>
      <c r="C301" t="s">
        <v>1054</v>
      </c>
      <c r="D301" s="2">
        <v>46031</v>
      </c>
      <c r="E301" t="s">
        <v>24</v>
      </c>
      <c r="F301" t="s">
        <v>57</v>
      </c>
      <c r="G301" s="3">
        <v>62.36</v>
      </c>
      <c r="H301" t="s">
        <v>108</v>
      </c>
      <c r="I301" t="s">
        <v>27</v>
      </c>
      <c r="J301" s="4" t="s">
        <v>59</v>
      </c>
      <c r="K301" t="s">
        <v>33</v>
      </c>
      <c r="L301" t="s">
        <v>60</v>
      </c>
      <c r="M301" t="s">
        <v>31</v>
      </c>
      <c r="N301" t="s">
        <v>84</v>
      </c>
      <c r="O301">
        <v>10</v>
      </c>
      <c r="P301">
        <v>15</v>
      </c>
      <c r="Q301" t="s">
        <v>29</v>
      </c>
      <c r="R301" t="s">
        <v>61</v>
      </c>
      <c r="S301" s="3">
        <v>0</v>
      </c>
      <c r="T301" t="s">
        <v>52</v>
      </c>
      <c r="U301" t="s">
        <v>63</v>
      </c>
      <c r="V301" t="str">
        <f t="shared" si="16"/>
        <v>2026-01</v>
      </c>
      <c r="W301" t="str">
        <f t="shared" si="17"/>
        <v>15+ days</v>
      </c>
      <c r="X301" t="str">
        <f t="shared" si="18"/>
        <v>No Refund</v>
      </c>
      <c r="Y301" t="str">
        <f t="shared" si="19"/>
        <v>Low</v>
      </c>
    </row>
    <row r="302" spans="1:25" ht="27.6">
      <c r="A302" t="s">
        <v>1055</v>
      </c>
      <c r="B302" t="s">
        <v>1056</v>
      </c>
      <c r="C302" t="s">
        <v>1057</v>
      </c>
      <c r="D302" s="2">
        <v>46136</v>
      </c>
      <c r="E302" t="s">
        <v>24</v>
      </c>
      <c r="F302" t="s">
        <v>48</v>
      </c>
      <c r="G302" s="3">
        <v>7.71</v>
      </c>
      <c r="H302" t="s">
        <v>26</v>
      </c>
      <c r="I302" t="s">
        <v>50</v>
      </c>
      <c r="J302" s="4" t="s">
        <v>51</v>
      </c>
      <c r="K302" t="s">
        <v>33</v>
      </c>
      <c r="L302" t="s">
        <v>30</v>
      </c>
      <c r="M302" t="s">
        <v>31</v>
      </c>
      <c r="N302" t="s">
        <v>84</v>
      </c>
      <c r="O302">
        <v>10</v>
      </c>
      <c r="P302">
        <v>3</v>
      </c>
      <c r="Q302" t="s">
        <v>33</v>
      </c>
      <c r="R302" t="s">
        <v>34</v>
      </c>
      <c r="S302" s="3">
        <v>0</v>
      </c>
      <c r="T302" t="s">
        <v>52</v>
      </c>
      <c r="U302" t="s">
        <v>53</v>
      </c>
      <c r="V302" t="str">
        <f t="shared" si="16"/>
        <v>2026-04</v>
      </c>
      <c r="W302" t="str">
        <f t="shared" si="17"/>
        <v>0-3 days</v>
      </c>
      <c r="X302" t="str">
        <f t="shared" si="18"/>
        <v>No Refund</v>
      </c>
      <c r="Y302" t="str">
        <f t="shared" si="19"/>
        <v>Low</v>
      </c>
    </row>
    <row r="303" spans="1:25" ht="27.6">
      <c r="A303" t="s">
        <v>1058</v>
      </c>
      <c r="B303" t="s">
        <v>1059</v>
      </c>
      <c r="C303" t="s">
        <v>1060</v>
      </c>
      <c r="D303" s="2">
        <v>46099</v>
      </c>
      <c r="E303" t="s">
        <v>24</v>
      </c>
      <c r="F303" t="s">
        <v>73</v>
      </c>
      <c r="G303" s="3">
        <v>79.67</v>
      </c>
      <c r="H303" t="s">
        <v>26</v>
      </c>
      <c r="I303" t="s">
        <v>27</v>
      </c>
      <c r="J303" s="4" t="s">
        <v>389</v>
      </c>
      <c r="K303" t="s">
        <v>29</v>
      </c>
      <c r="L303" t="s">
        <v>60</v>
      </c>
      <c r="M303" t="s">
        <v>31</v>
      </c>
      <c r="N303" t="s">
        <v>32</v>
      </c>
      <c r="O303">
        <v>10</v>
      </c>
      <c r="P303">
        <v>15</v>
      </c>
      <c r="Q303" t="s">
        <v>29</v>
      </c>
      <c r="R303" t="s">
        <v>61</v>
      </c>
      <c r="S303" s="3">
        <v>39.840000000000003</v>
      </c>
      <c r="T303" t="s">
        <v>156</v>
      </c>
      <c r="U303" t="s">
        <v>63</v>
      </c>
      <c r="V303" t="str">
        <f t="shared" si="16"/>
        <v>2026-03</v>
      </c>
      <c r="W303" t="str">
        <f t="shared" si="17"/>
        <v>15+ days</v>
      </c>
      <c r="X303" t="str">
        <f t="shared" si="18"/>
        <v>Refund Issued</v>
      </c>
      <c r="Y303" t="str">
        <f t="shared" si="19"/>
        <v>Low</v>
      </c>
    </row>
    <row r="304" spans="1:25" ht="27.6">
      <c r="A304" t="s">
        <v>1061</v>
      </c>
      <c r="B304" t="s">
        <v>1062</v>
      </c>
      <c r="C304" t="s">
        <v>1063</v>
      </c>
      <c r="D304" s="2">
        <v>46033</v>
      </c>
      <c r="E304" t="s">
        <v>47</v>
      </c>
      <c r="F304" t="s">
        <v>103</v>
      </c>
      <c r="G304" s="3">
        <v>55.99</v>
      </c>
      <c r="H304" t="s">
        <v>49</v>
      </c>
      <c r="I304" t="s">
        <v>27</v>
      </c>
      <c r="J304" s="4" t="s">
        <v>134</v>
      </c>
      <c r="K304" t="s">
        <v>33</v>
      </c>
      <c r="L304" t="s">
        <v>30</v>
      </c>
      <c r="M304" t="s">
        <v>31</v>
      </c>
      <c r="N304" t="s">
        <v>126</v>
      </c>
      <c r="O304">
        <v>5</v>
      </c>
      <c r="P304">
        <v>4</v>
      </c>
      <c r="Q304" t="s">
        <v>33</v>
      </c>
      <c r="R304" t="s">
        <v>34</v>
      </c>
      <c r="S304" s="3">
        <v>0</v>
      </c>
      <c r="T304" t="s">
        <v>35</v>
      </c>
      <c r="U304" t="s">
        <v>53</v>
      </c>
      <c r="V304" t="str">
        <f t="shared" si="16"/>
        <v>2026-01</v>
      </c>
      <c r="W304" t="str">
        <f t="shared" si="17"/>
        <v>4-7 days</v>
      </c>
      <c r="X304" t="str">
        <f t="shared" si="18"/>
        <v>No Refund</v>
      </c>
      <c r="Y304" t="str">
        <f t="shared" si="19"/>
        <v>Medium</v>
      </c>
    </row>
    <row r="305" spans="1:25" ht="27.6">
      <c r="A305" t="s">
        <v>1064</v>
      </c>
      <c r="B305" t="s">
        <v>1065</v>
      </c>
      <c r="C305" t="s">
        <v>1066</v>
      </c>
      <c r="D305" s="2">
        <v>46062</v>
      </c>
      <c r="E305" t="s">
        <v>40</v>
      </c>
      <c r="F305" t="s">
        <v>57</v>
      </c>
      <c r="G305" s="3">
        <v>19.86</v>
      </c>
      <c r="H305" t="s">
        <v>89</v>
      </c>
      <c r="I305" t="s">
        <v>67</v>
      </c>
      <c r="J305" s="4" t="s">
        <v>155</v>
      </c>
      <c r="K305" t="s">
        <v>33</v>
      </c>
      <c r="L305" t="s">
        <v>60</v>
      </c>
      <c r="M305" t="s">
        <v>31</v>
      </c>
      <c r="N305" t="s">
        <v>32</v>
      </c>
      <c r="O305">
        <v>10</v>
      </c>
      <c r="P305">
        <v>11</v>
      </c>
      <c r="Q305" t="s">
        <v>29</v>
      </c>
      <c r="R305" t="s">
        <v>61</v>
      </c>
      <c r="S305" s="3">
        <v>14.89</v>
      </c>
      <c r="T305" t="s">
        <v>52</v>
      </c>
      <c r="U305" t="s">
        <v>63</v>
      </c>
      <c r="V305" t="str">
        <f t="shared" si="16"/>
        <v>2026-02</v>
      </c>
      <c r="W305" t="str">
        <f t="shared" si="17"/>
        <v>8-14 days</v>
      </c>
      <c r="X305" t="str">
        <f t="shared" si="18"/>
        <v>Refund Issued</v>
      </c>
      <c r="Y305" t="str">
        <f t="shared" si="19"/>
        <v>Low</v>
      </c>
    </row>
    <row r="306" spans="1:25" ht="27.6">
      <c r="A306" t="s">
        <v>1067</v>
      </c>
      <c r="B306" t="s">
        <v>1068</v>
      </c>
      <c r="C306" t="s">
        <v>1069</v>
      </c>
      <c r="D306" s="2">
        <v>46033</v>
      </c>
      <c r="E306" t="s">
        <v>47</v>
      </c>
      <c r="F306" t="s">
        <v>82</v>
      </c>
      <c r="G306" s="3">
        <v>15.06</v>
      </c>
      <c r="H306" t="s">
        <v>74</v>
      </c>
      <c r="I306" t="s">
        <v>50</v>
      </c>
      <c r="J306" s="4" t="s">
        <v>114</v>
      </c>
      <c r="K306" t="s">
        <v>33</v>
      </c>
      <c r="L306" t="s">
        <v>30</v>
      </c>
      <c r="M306" t="s">
        <v>31</v>
      </c>
      <c r="N306" t="s">
        <v>126</v>
      </c>
      <c r="O306">
        <v>7</v>
      </c>
      <c r="P306">
        <v>5</v>
      </c>
      <c r="Q306" t="s">
        <v>33</v>
      </c>
      <c r="R306" t="s">
        <v>85</v>
      </c>
      <c r="S306" s="3">
        <v>0</v>
      </c>
      <c r="T306" t="s">
        <v>69</v>
      </c>
      <c r="U306" t="s">
        <v>53</v>
      </c>
      <c r="V306" t="str">
        <f t="shared" si="16"/>
        <v>2026-01</v>
      </c>
      <c r="W306" t="str">
        <f t="shared" si="17"/>
        <v>4-7 days</v>
      </c>
      <c r="X306" t="str">
        <f t="shared" si="18"/>
        <v>No Refund</v>
      </c>
      <c r="Y306" t="str">
        <f t="shared" si="19"/>
        <v>High</v>
      </c>
    </row>
    <row r="307" spans="1:25" ht="27.6">
      <c r="A307" t="s">
        <v>1070</v>
      </c>
      <c r="B307" t="s">
        <v>1071</v>
      </c>
      <c r="C307" t="s">
        <v>1072</v>
      </c>
      <c r="D307" s="2">
        <v>46138</v>
      </c>
      <c r="E307" t="s">
        <v>24</v>
      </c>
      <c r="F307" t="s">
        <v>118</v>
      </c>
      <c r="G307" s="3">
        <v>55.93</v>
      </c>
      <c r="H307" t="s">
        <v>74</v>
      </c>
      <c r="I307" t="s">
        <v>67</v>
      </c>
      <c r="J307" s="4" t="s">
        <v>119</v>
      </c>
      <c r="K307" t="s">
        <v>29</v>
      </c>
      <c r="L307" t="s">
        <v>120</v>
      </c>
      <c r="M307" t="s">
        <v>96</v>
      </c>
      <c r="N307" t="s">
        <v>32</v>
      </c>
      <c r="O307">
        <v>5</v>
      </c>
      <c r="P307">
        <v>1</v>
      </c>
      <c r="Q307" t="s">
        <v>33</v>
      </c>
      <c r="R307" t="s">
        <v>85</v>
      </c>
      <c r="S307" s="3">
        <v>55.93</v>
      </c>
      <c r="T307" t="s">
        <v>121</v>
      </c>
      <c r="U307" t="s">
        <v>53</v>
      </c>
      <c r="V307" t="str">
        <f t="shared" si="16"/>
        <v>2026-04</v>
      </c>
      <c r="W307" t="str">
        <f t="shared" si="17"/>
        <v>0-3 days</v>
      </c>
      <c r="X307" t="str">
        <f t="shared" si="18"/>
        <v>Refund Issued</v>
      </c>
      <c r="Y307" t="str">
        <f t="shared" si="19"/>
        <v>High</v>
      </c>
    </row>
    <row r="308" spans="1:25" ht="27.6">
      <c r="A308" t="s">
        <v>1073</v>
      </c>
      <c r="B308" t="s">
        <v>1074</v>
      </c>
      <c r="C308" t="s">
        <v>1075</v>
      </c>
      <c r="D308" s="2">
        <v>46160</v>
      </c>
      <c r="E308" t="s">
        <v>40</v>
      </c>
      <c r="F308" t="s">
        <v>25</v>
      </c>
      <c r="G308" s="3">
        <v>126.53</v>
      </c>
      <c r="H308" t="s">
        <v>74</v>
      </c>
      <c r="I308" t="s">
        <v>50</v>
      </c>
      <c r="J308" s="4" t="s">
        <v>1076</v>
      </c>
      <c r="K308" t="s">
        <v>29</v>
      </c>
      <c r="L308" t="s">
        <v>30</v>
      </c>
      <c r="M308" t="s">
        <v>96</v>
      </c>
      <c r="N308" t="s">
        <v>32</v>
      </c>
      <c r="O308">
        <v>5</v>
      </c>
      <c r="P308">
        <v>5</v>
      </c>
      <c r="Q308" t="s">
        <v>33</v>
      </c>
      <c r="R308" t="s">
        <v>34</v>
      </c>
      <c r="S308" s="3">
        <v>126.53</v>
      </c>
      <c r="T308" t="s">
        <v>35</v>
      </c>
      <c r="U308" t="s">
        <v>53</v>
      </c>
      <c r="V308" t="str">
        <f t="shared" si="16"/>
        <v>2026-05</v>
      </c>
      <c r="W308" t="str">
        <f t="shared" si="17"/>
        <v>4-7 days</v>
      </c>
      <c r="X308" t="str">
        <f t="shared" si="18"/>
        <v>Refund Issued</v>
      </c>
      <c r="Y308" t="str">
        <f t="shared" si="19"/>
        <v>High</v>
      </c>
    </row>
    <row r="309" spans="1:25" ht="27.6">
      <c r="A309" t="s">
        <v>1077</v>
      </c>
      <c r="B309" t="s">
        <v>1078</v>
      </c>
      <c r="C309" t="s">
        <v>1079</v>
      </c>
      <c r="D309" s="2">
        <v>46074</v>
      </c>
      <c r="E309" t="s">
        <v>24</v>
      </c>
      <c r="F309" t="s">
        <v>25</v>
      </c>
      <c r="G309" s="3">
        <v>29.42</v>
      </c>
      <c r="H309" t="s">
        <v>89</v>
      </c>
      <c r="I309" t="s">
        <v>50</v>
      </c>
      <c r="J309" s="4" t="s">
        <v>1080</v>
      </c>
      <c r="K309" t="s">
        <v>29</v>
      </c>
      <c r="L309" t="s">
        <v>30</v>
      </c>
      <c r="M309" t="s">
        <v>96</v>
      </c>
      <c r="N309" t="s">
        <v>32</v>
      </c>
      <c r="O309">
        <v>5</v>
      </c>
      <c r="P309">
        <v>7</v>
      </c>
      <c r="Q309" t="s">
        <v>29</v>
      </c>
      <c r="R309" t="s">
        <v>34</v>
      </c>
      <c r="S309" s="3">
        <v>29.42</v>
      </c>
      <c r="T309" t="s">
        <v>43</v>
      </c>
      <c r="U309" t="s">
        <v>63</v>
      </c>
      <c r="V309" t="str">
        <f t="shared" si="16"/>
        <v>2026-02</v>
      </c>
      <c r="W309" t="str">
        <f t="shared" si="17"/>
        <v>4-7 days</v>
      </c>
      <c r="X309" t="str">
        <f t="shared" si="18"/>
        <v>Refund Issued</v>
      </c>
      <c r="Y309" t="str">
        <f t="shared" si="19"/>
        <v>High</v>
      </c>
    </row>
    <row r="310" spans="1:25" ht="27.6">
      <c r="A310" t="s">
        <v>1081</v>
      </c>
      <c r="B310" t="s">
        <v>1082</v>
      </c>
      <c r="C310" t="s">
        <v>1083</v>
      </c>
      <c r="D310" s="2">
        <v>46148</v>
      </c>
      <c r="E310" t="s">
        <v>94</v>
      </c>
      <c r="F310" t="s">
        <v>57</v>
      </c>
      <c r="G310" s="3">
        <v>35.549999999999997</v>
      </c>
      <c r="H310" t="s">
        <v>41</v>
      </c>
      <c r="I310" t="s">
        <v>50</v>
      </c>
      <c r="J310" s="4" t="s">
        <v>59</v>
      </c>
      <c r="K310" t="s">
        <v>33</v>
      </c>
      <c r="L310" t="s">
        <v>60</v>
      </c>
      <c r="M310" t="s">
        <v>31</v>
      </c>
      <c r="N310" t="s">
        <v>32</v>
      </c>
      <c r="O310">
        <v>10</v>
      </c>
      <c r="P310">
        <v>16</v>
      </c>
      <c r="Q310" t="s">
        <v>29</v>
      </c>
      <c r="R310" t="s">
        <v>61</v>
      </c>
      <c r="S310" s="3">
        <v>0</v>
      </c>
      <c r="T310" t="s">
        <v>52</v>
      </c>
      <c r="U310" t="s">
        <v>63</v>
      </c>
      <c r="V310" t="str">
        <f t="shared" si="16"/>
        <v>2026-05</v>
      </c>
      <c r="W310" t="str">
        <f t="shared" si="17"/>
        <v>15+ days</v>
      </c>
      <c r="X310" t="str">
        <f t="shared" si="18"/>
        <v>No Refund</v>
      </c>
      <c r="Y310" t="str">
        <f t="shared" si="19"/>
        <v>Low</v>
      </c>
    </row>
    <row r="311" spans="1:25" ht="27.6">
      <c r="A311" t="s">
        <v>1084</v>
      </c>
      <c r="B311" t="s">
        <v>1085</v>
      </c>
      <c r="C311" t="s">
        <v>1086</v>
      </c>
      <c r="D311" s="2">
        <v>46078</v>
      </c>
      <c r="E311" t="s">
        <v>94</v>
      </c>
      <c r="F311" t="s">
        <v>25</v>
      </c>
      <c r="G311" s="3">
        <v>81.540000000000006</v>
      </c>
      <c r="H311" t="s">
        <v>74</v>
      </c>
      <c r="I311" t="s">
        <v>27</v>
      </c>
      <c r="J311" s="4" t="s">
        <v>1087</v>
      </c>
      <c r="K311" t="s">
        <v>29</v>
      </c>
      <c r="L311" t="s">
        <v>30</v>
      </c>
      <c r="M311" t="s">
        <v>31</v>
      </c>
      <c r="N311" t="s">
        <v>32</v>
      </c>
      <c r="O311">
        <v>5</v>
      </c>
      <c r="P311">
        <v>1</v>
      </c>
      <c r="Q311" t="s">
        <v>33</v>
      </c>
      <c r="R311" t="s">
        <v>34</v>
      </c>
      <c r="S311" s="3">
        <v>81.540000000000006</v>
      </c>
      <c r="T311" t="s">
        <v>35</v>
      </c>
      <c r="U311" t="s">
        <v>36</v>
      </c>
      <c r="V311" t="str">
        <f t="shared" si="16"/>
        <v>2026-02</v>
      </c>
      <c r="W311" t="str">
        <f t="shared" si="17"/>
        <v>0-3 days</v>
      </c>
      <c r="X311" t="str">
        <f t="shared" si="18"/>
        <v>Refund Issued</v>
      </c>
      <c r="Y311" t="str">
        <f t="shared" si="19"/>
        <v>High</v>
      </c>
    </row>
    <row r="312" spans="1:25" ht="27.6">
      <c r="A312" t="s">
        <v>1088</v>
      </c>
      <c r="B312" t="s">
        <v>1089</v>
      </c>
      <c r="C312" t="s">
        <v>1090</v>
      </c>
      <c r="D312" s="2">
        <v>46140</v>
      </c>
      <c r="E312" t="s">
        <v>40</v>
      </c>
      <c r="F312" t="s">
        <v>82</v>
      </c>
      <c r="G312" s="3">
        <v>46.86</v>
      </c>
      <c r="H312" t="s">
        <v>58</v>
      </c>
      <c r="I312" t="s">
        <v>27</v>
      </c>
      <c r="J312" s="4" t="s">
        <v>1091</v>
      </c>
      <c r="K312" t="s">
        <v>33</v>
      </c>
      <c r="L312" t="s">
        <v>30</v>
      </c>
      <c r="M312" t="s">
        <v>31</v>
      </c>
      <c r="N312" t="s">
        <v>32</v>
      </c>
      <c r="O312">
        <v>7</v>
      </c>
      <c r="P312">
        <v>14</v>
      </c>
      <c r="Q312" t="s">
        <v>29</v>
      </c>
      <c r="R312" t="s">
        <v>85</v>
      </c>
      <c r="S312" s="3">
        <v>0</v>
      </c>
      <c r="T312" t="s">
        <v>69</v>
      </c>
      <c r="U312" t="s">
        <v>63</v>
      </c>
      <c r="V312" t="str">
        <f t="shared" si="16"/>
        <v>2026-04</v>
      </c>
      <c r="W312" t="str">
        <f t="shared" si="17"/>
        <v>8-14 days</v>
      </c>
      <c r="X312" t="str">
        <f t="shared" si="18"/>
        <v>No Refund</v>
      </c>
      <c r="Y312" t="str">
        <f t="shared" si="19"/>
        <v>High</v>
      </c>
    </row>
    <row r="313" spans="1:25" ht="27.6">
      <c r="A313" t="s">
        <v>1092</v>
      </c>
      <c r="B313" t="s">
        <v>1093</v>
      </c>
      <c r="C313" t="s">
        <v>1094</v>
      </c>
      <c r="D313" s="2">
        <v>46133</v>
      </c>
      <c r="E313" t="s">
        <v>40</v>
      </c>
      <c r="F313" t="s">
        <v>118</v>
      </c>
      <c r="G313" s="3">
        <v>17.600000000000001</v>
      </c>
      <c r="H313" t="s">
        <v>108</v>
      </c>
      <c r="I313" t="s">
        <v>50</v>
      </c>
      <c r="J313" s="4" t="s">
        <v>119</v>
      </c>
      <c r="K313" t="s">
        <v>33</v>
      </c>
      <c r="L313" t="s">
        <v>30</v>
      </c>
      <c r="M313" t="s">
        <v>31</v>
      </c>
      <c r="N313" t="s">
        <v>32</v>
      </c>
      <c r="O313">
        <v>5</v>
      </c>
      <c r="P313">
        <v>6</v>
      </c>
      <c r="Q313" t="s">
        <v>29</v>
      </c>
      <c r="R313" t="s">
        <v>85</v>
      </c>
      <c r="S313" s="3">
        <v>0</v>
      </c>
      <c r="T313" t="s">
        <v>121</v>
      </c>
      <c r="U313" t="s">
        <v>63</v>
      </c>
      <c r="V313" t="str">
        <f t="shared" si="16"/>
        <v>2026-04</v>
      </c>
      <c r="W313" t="str">
        <f t="shared" si="17"/>
        <v>4-7 days</v>
      </c>
      <c r="X313" t="str">
        <f t="shared" si="18"/>
        <v>No Refund</v>
      </c>
      <c r="Y313" t="str">
        <f t="shared" si="19"/>
        <v>High</v>
      </c>
    </row>
    <row r="314" spans="1:25" ht="27.6">
      <c r="A314" t="s">
        <v>1095</v>
      </c>
      <c r="B314" t="s">
        <v>1096</v>
      </c>
      <c r="C314" t="s">
        <v>1097</v>
      </c>
      <c r="D314" s="2">
        <v>46031</v>
      </c>
      <c r="E314" t="s">
        <v>94</v>
      </c>
      <c r="F314" t="s">
        <v>172</v>
      </c>
      <c r="G314" s="3">
        <v>26.76</v>
      </c>
      <c r="H314" t="s">
        <v>74</v>
      </c>
      <c r="I314" t="s">
        <v>27</v>
      </c>
      <c r="J314" s="4" t="s">
        <v>173</v>
      </c>
      <c r="K314" t="s">
        <v>29</v>
      </c>
      <c r="L314" t="s">
        <v>30</v>
      </c>
      <c r="M314" t="s">
        <v>31</v>
      </c>
      <c r="N314" t="s">
        <v>32</v>
      </c>
      <c r="O314">
        <v>7</v>
      </c>
      <c r="P314">
        <v>10</v>
      </c>
      <c r="Q314" t="s">
        <v>29</v>
      </c>
      <c r="R314" t="s">
        <v>174</v>
      </c>
      <c r="S314" s="3">
        <v>0</v>
      </c>
      <c r="T314" t="s">
        <v>110</v>
      </c>
      <c r="U314" t="s">
        <v>63</v>
      </c>
      <c r="V314" t="str">
        <f t="shared" si="16"/>
        <v>2026-01</v>
      </c>
      <c r="W314" t="str">
        <f t="shared" si="17"/>
        <v>8-14 days</v>
      </c>
      <c r="X314" t="str">
        <f t="shared" si="18"/>
        <v>No Refund</v>
      </c>
      <c r="Y314" t="str">
        <f t="shared" si="19"/>
        <v>Medium</v>
      </c>
    </row>
    <row r="315" spans="1:25" ht="27.6">
      <c r="A315" t="s">
        <v>1098</v>
      </c>
      <c r="B315" t="s">
        <v>1099</v>
      </c>
      <c r="C315" t="s">
        <v>1100</v>
      </c>
      <c r="D315" s="2">
        <v>46140</v>
      </c>
      <c r="E315" t="s">
        <v>24</v>
      </c>
      <c r="F315" t="s">
        <v>25</v>
      </c>
      <c r="G315" s="3">
        <v>25.44</v>
      </c>
      <c r="H315" t="s">
        <v>74</v>
      </c>
      <c r="I315" t="s">
        <v>27</v>
      </c>
      <c r="J315" s="4" t="s">
        <v>42</v>
      </c>
      <c r="K315" t="s">
        <v>29</v>
      </c>
      <c r="L315" t="s">
        <v>30</v>
      </c>
      <c r="M315" t="s">
        <v>31</v>
      </c>
      <c r="N315" t="s">
        <v>32</v>
      </c>
      <c r="O315">
        <v>5</v>
      </c>
      <c r="P315">
        <v>1</v>
      </c>
      <c r="Q315" t="s">
        <v>33</v>
      </c>
      <c r="R315" t="s">
        <v>34</v>
      </c>
      <c r="S315" s="3">
        <v>0</v>
      </c>
      <c r="T315" t="s">
        <v>35</v>
      </c>
      <c r="U315" t="s">
        <v>53</v>
      </c>
      <c r="V315" t="str">
        <f t="shared" si="16"/>
        <v>2026-04</v>
      </c>
      <c r="W315" t="str">
        <f t="shared" si="17"/>
        <v>0-3 days</v>
      </c>
      <c r="X315" t="str">
        <f t="shared" si="18"/>
        <v>No Refund</v>
      </c>
      <c r="Y315" t="str">
        <f t="shared" si="19"/>
        <v>High</v>
      </c>
    </row>
    <row r="316" spans="1:25" ht="27.6">
      <c r="A316" t="s">
        <v>1101</v>
      </c>
      <c r="B316" t="s">
        <v>1102</v>
      </c>
      <c r="C316" t="s">
        <v>1103</v>
      </c>
      <c r="D316" s="2">
        <v>46147</v>
      </c>
      <c r="E316" t="s">
        <v>40</v>
      </c>
      <c r="F316" t="s">
        <v>103</v>
      </c>
      <c r="G316" s="3">
        <v>134.80000000000001</v>
      </c>
      <c r="H316" t="s">
        <v>89</v>
      </c>
      <c r="I316" t="s">
        <v>50</v>
      </c>
      <c r="J316" s="4" t="s">
        <v>104</v>
      </c>
      <c r="K316" t="s">
        <v>29</v>
      </c>
      <c r="L316" t="s">
        <v>30</v>
      </c>
      <c r="M316" t="s">
        <v>31</v>
      </c>
      <c r="N316" t="s">
        <v>32</v>
      </c>
      <c r="O316">
        <v>5</v>
      </c>
      <c r="P316">
        <v>6</v>
      </c>
      <c r="Q316" t="s">
        <v>29</v>
      </c>
      <c r="R316" t="s">
        <v>34</v>
      </c>
      <c r="S316" s="3">
        <v>101.1</v>
      </c>
      <c r="T316" t="s">
        <v>247</v>
      </c>
      <c r="U316" t="s">
        <v>63</v>
      </c>
      <c r="V316" t="str">
        <f t="shared" si="16"/>
        <v>2026-05</v>
      </c>
      <c r="W316" t="str">
        <f t="shared" si="17"/>
        <v>4-7 days</v>
      </c>
      <c r="X316" t="str">
        <f t="shared" si="18"/>
        <v>Refund Issued</v>
      </c>
      <c r="Y316" t="str">
        <f t="shared" si="19"/>
        <v>Medium</v>
      </c>
    </row>
    <row r="317" spans="1:25" ht="27.6">
      <c r="A317" t="s">
        <v>1104</v>
      </c>
      <c r="B317" t="s">
        <v>1105</v>
      </c>
      <c r="C317" t="s">
        <v>1106</v>
      </c>
      <c r="D317" s="2">
        <v>46081</v>
      </c>
      <c r="E317" t="s">
        <v>40</v>
      </c>
      <c r="F317" t="s">
        <v>57</v>
      </c>
      <c r="G317" s="3">
        <v>49.59</v>
      </c>
      <c r="H317" t="s">
        <v>89</v>
      </c>
      <c r="I317" t="s">
        <v>27</v>
      </c>
      <c r="J317" s="4" t="s">
        <v>155</v>
      </c>
      <c r="K317" t="s">
        <v>29</v>
      </c>
      <c r="L317" t="s">
        <v>60</v>
      </c>
      <c r="M317" t="s">
        <v>31</v>
      </c>
      <c r="N317" t="s">
        <v>32</v>
      </c>
      <c r="O317">
        <v>10</v>
      </c>
      <c r="P317">
        <v>11</v>
      </c>
      <c r="Q317" t="s">
        <v>29</v>
      </c>
      <c r="R317" t="s">
        <v>61</v>
      </c>
      <c r="S317" s="3">
        <v>49.59</v>
      </c>
      <c r="T317" t="s">
        <v>156</v>
      </c>
      <c r="U317" t="s">
        <v>63</v>
      </c>
      <c r="V317" t="str">
        <f t="shared" si="16"/>
        <v>2026-02</v>
      </c>
      <c r="W317" t="str">
        <f t="shared" si="17"/>
        <v>8-14 days</v>
      </c>
      <c r="X317" t="str">
        <f t="shared" si="18"/>
        <v>Refund Issued</v>
      </c>
      <c r="Y317" t="str">
        <f t="shared" si="19"/>
        <v>Low</v>
      </c>
    </row>
    <row r="318" spans="1:25" ht="27.6">
      <c r="A318" t="s">
        <v>1107</v>
      </c>
      <c r="B318" t="s">
        <v>1108</v>
      </c>
      <c r="C318" t="s">
        <v>1109</v>
      </c>
      <c r="D318" s="2">
        <v>46079</v>
      </c>
      <c r="E318" t="s">
        <v>47</v>
      </c>
      <c r="F318" t="s">
        <v>57</v>
      </c>
      <c r="G318" s="3">
        <v>18.670000000000002</v>
      </c>
      <c r="H318" t="s">
        <v>108</v>
      </c>
      <c r="I318" t="s">
        <v>50</v>
      </c>
      <c r="J318" s="4" t="s">
        <v>155</v>
      </c>
      <c r="K318" t="s">
        <v>29</v>
      </c>
      <c r="L318" t="s">
        <v>60</v>
      </c>
      <c r="M318" t="s">
        <v>31</v>
      </c>
      <c r="N318" t="s">
        <v>32</v>
      </c>
      <c r="O318">
        <v>10</v>
      </c>
      <c r="P318">
        <v>10</v>
      </c>
      <c r="Q318" t="s">
        <v>33</v>
      </c>
      <c r="R318" t="s">
        <v>61</v>
      </c>
      <c r="S318" s="3">
        <v>0</v>
      </c>
      <c r="T318" t="s">
        <v>52</v>
      </c>
      <c r="U318" t="s">
        <v>63</v>
      </c>
      <c r="V318" t="str">
        <f t="shared" si="16"/>
        <v>2026-02</v>
      </c>
      <c r="W318" t="str">
        <f t="shared" si="17"/>
        <v>8-14 days</v>
      </c>
      <c r="X318" t="str">
        <f t="shared" si="18"/>
        <v>No Refund</v>
      </c>
      <c r="Y318" t="str">
        <f t="shared" si="19"/>
        <v>Low</v>
      </c>
    </row>
    <row r="319" spans="1:25" ht="27.6">
      <c r="A319" t="s">
        <v>1110</v>
      </c>
      <c r="B319" t="s">
        <v>1111</v>
      </c>
      <c r="C319" t="s">
        <v>1112</v>
      </c>
      <c r="D319" s="2">
        <v>46124</v>
      </c>
      <c r="E319" t="s">
        <v>40</v>
      </c>
      <c r="F319" t="s">
        <v>25</v>
      </c>
      <c r="G319" s="3">
        <v>76.7</v>
      </c>
      <c r="H319" t="s">
        <v>74</v>
      </c>
      <c r="I319" t="s">
        <v>27</v>
      </c>
      <c r="J319" s="4" t="s">
        <v>1113</v>
      </c>
      <c r="K319" t="s">
        <v>29</v>
      </c>
      <c r="L319" t="s">
        <v>30</v>
      </c>
      <c r="M319" t="s">
        <v>31</v>
      </c>
      <c r="N319" t="s">
        <v>32</v>
      </c>
      <c r="O319">
        <v>5</v>
      </c>
      <c r="P319">
        <v>9</v>
      </c>
      <c r="Q319" t="s">
        <v>29</v>
      </c>
      <c r="R319" t="s">
        <v>34</v>
      </c>
      <c r="S319" s="3">
        <v>0</v>
      </c>
      <c r="T319" t="s">
        <v>43</v>
      </c>
      <c r="U319" t="s">
        <v>63</v>
      </c>
      <c r="V319" t="str">
        <f t="shared" si="16"/>
        <v>2026-04</v>
      </c>
      <c r="W319" t="str">
        <f t="shared" si="17"/>
        <v>8-14 days</v>
      </c>
      <c r="X319" t="str">
        <f t="shared" si="18"/>
        <v>No Refund</v>
      </c>
      <c r="Y319" t="str">
        <f t="shared" si="19"/>
        <v>High</v>
      </c>
    </row>
    <row r="320" spans="1:25" ht="27.6">
      <c r="A320" t="s">
        <v>1114</v>
      </c>
      <c r="B320" t="s">
        <v>1115</v>
      </c>
      <c r="C320" t="s">
        <v>1116</v>
      </c>
      <c r="D320" s="2">
        <v>46128</v>
      </c>
      <c r="E320" t="s">
        <v>47</v>
      </c>
      <c r="F320" t="s">
        <v>82</v>
      </c>
      <c r="G320" s="3">
        <v>21.25</v>
      </c>
      <c r="H320" t="s">
        <v>26</v>
      </c>
      <c r="I320" t="s">
        <v>50</v>
      </c>
      <c r="J320" s="4" t="s">
        <v>114</v>
      </c>
      <c r="K320" t="s">
        <v>29</v>
      </c>
      <c r="L320" t="s">
        <v>30</v>
      </c>
      <c r="M320" t="s">
        <v>31</v>
      </c>
      <c r="N320" t="s">
        <v>32</v>
      </c>
      <c r="O320">
        <v>7</v>
      </c>
      <c r="P320">
        <v>1</v>
      </c>
      <c r="Q320" t="s">
        <v>33</v>
      </c>
      <c r="R320" t="s">
        <v>85</v>
      </c>
      <c r="S320" s="3">
        <v>10.62</v>
      </c>
      <c r="T320" t="s">
        <v>69</v>
      </c>
      <c r="U320" t="s">
        <v>53</v>
      </c>
      <c r="V320" t="str">
        <f t="shared" si="16"/>
        <v>2026-04</v>
      </c>
      <c r="W320" t="str">
        <f t="shared" si="17"/>
        <v>0-3 days</v>
      </c>
      <c r="X320" t="str">
        <f t="shared" si="18"/>
        <v>Refund Issued</v>
      </c>
      <c r="Y320" t="str">
        <f t="shared" si="19"/>
        <v>High</v>
      </c>
    </row>
    <row r="321" spans="1:25" ht="27.6">
      <c r="A321" t="s">
        <v>1117</v>
      </c>
      <c r="B321" t="s">
        <v>1118</v>
      </c>
      <c r="C321" t="s">
        <v>1119</v>
      </c>
      <c r="D321" s="2">
        <v>46044</v>
      </c>
      <c r="E321" t="s">
        <v>24</v>
      </c>
      <c r="F321" t="s">
        <v>25</v>
      </c>
      <c r="G321" s="3">
        <v>14.43</v>
      </c>
      <c r="H321" t="s">
        <v>26</v>
      </c>
      <c r="I321" t="s">
        <v>27</v>
      </c>
      <c r="J321" s="4" t="s">
        <v>1120</v>
      </c>
      <c r="K321" t="s">
        <v>33</v>
      </c>
      <c r="L321" t="s">
        <v>30</v>
      </c>
      <c r="M321" t="s">
        <v>31</v>
      </c>
      <c r="N321" t="s">
        <v>32</v>
      </c>
      <c r="O321">
        <v>5</v>
      </c>
      <c r="P321">
        <v>2</v>
      </c>
      <c r="Q321" t="s">
        <v>33</v>
      </c>
      <c r="R321" t="s">
        <v>34</v>
      </c>
      <c r="S321" s="3">
        <v>10.82</v>
      </c>
      <c r="T321" t="s">
        <v>110</v>
      </c>
      <c r="U321" t="s">
        <v>36</v>
      </c>
      <c r="V321" t="str">
        <f t="shared" si="16"/>
        <v>2026-01</v>
      </c>
      <c r="W321" t="str">
        <f t="shared" si="17"/>
        <v>0-3 days</v>
      </c>
      <c r="X321" t="str">
        <f t="shared" si="18"/>
        <v>Refund Issued</v>
      </c>
      <c r="Y321" t="str">
        <f t="shared" si="19"/>
        <v>High</v>
      </c>
    </row>
    <row r="322" spans="1:25" ht="27.6">
      <c r="A322" t="s">
        <v>1121</v>
      </c>
      <c r="B322" t="s">
        <v>1122</v>
      </c>
      <c r="C322" t="s">
        <v>1123</v>
      </c>
      <c r="D322" s="2">
        <v>46172</v>
      </c>
      <c r="E322" t="s">
        <v>94</v>
      </c>
      <c r="F322" t="s">
        <v>172</v>
      </c>
      <c r="G322" s="3">
        <v>27.68</v>
      </c>
      <c r="H322" t="s">
        <v>74</v>
      </c>
      <c r="I322" t="s">
        <v>67</v>
      </c>
      <c r="J322" s="4" t="s">
        <v>173</v>
      </c>
      <c r="K322" t="s">
        <v>29</v>
      </c>
      <c r="L322" t="s">
        <v>30</v>
      </c>
      <c r="M322" t="s">
        <v>31</v>
      </c>
      <c r="N322" t="s">
        <v>32</v>
      </c>
      <c r="O322">
        <v>7</v>
      </c>
      <c r="P322">
        <v>1</v>
      </c>
      <c r="Q322" t="s">
        <v>33</v>
      </c>
      <c r="R322" t="s">
        <v>174</v>
      </c>
      <c r="S322" s="3">
        <v>0</v>
      </c>
      <c r="T322" t="s">
        <v>69</v>
      </c>
      <c r="U322" t="s">
        <v>36</v>
      </c>
      <c r="V322" t="str">
        <f t="shared" ref="V322:V385" si="20">TEXT(D322,"yyyy-mm")</f>
        <v>2026-05</v>
      </c>
      <c r="W322" t="str">
        <f t="shared" ref="W322:W385" si="21">IF(P322&lt;=3,"0-3 days",IF(P322&lt;=7,"4-7 days",IF(P322&lt;=14,"8-14 days","15+ days")))</f>
        <v>0-3 days</v>
      </c>
      <c r="X322" t="str">
        <f t="shared" ref="X322:X385" si="22">IF(S322&gt;0,"Refund Issued","No Refund")</f>
        <v>No Refund</v>
      </c>
      <c r="Y322" t="str">
        <f t="shared" ref="Y322:Y385" si="23">IF(OR(F322="Failed Payment",F322="Duplicate Debit",F322="Refund Delay"),"High",IF(OR(F322="Merchant Not Credited",F322="Wrong Amount Debited"),"Medium","Low"))</f>
        <v>Medium</v>
      </c>
    </row>
    <row r="323" spans="1:25" ht="27.6">
      <c r="A323" t="s">
        <v>1124</v>
      </c>
      <c r="B323" t="s">
        <v>1125</v>
      </c>
      <c r="C323" t="s">
        <v>1126</v>
      </c>
      <c r="D323" s="2">
        <v>46121</v>
      </c>
      <c r="E323" t="s">
        <v>24</v>
      </c>
      <c r="F323" t="s">
        <v>82</v>
      </c>
      <c r="G323" s="3">
        <v>5.37</v>
      </c>
      <c r="H323" t="s">
        <v>89</v>
      </c>
      <c r="I323" t="s">
        <v>27</v>
      </c>
      <c r="J323" s="4" t="s">
        <v>114</v>
      </c>
      <c r="K323" t="s">
        <v>29</v>
      </c>
      <c r="L323" t="s">
        <v>30</v>
      </c>
      <c r="M323" t="s">
        <v>31</v>
      </c>
      <c r="N323" t="s">
        <v>32</v>
      </c>
      <c r="O323">
        <v>7</v>
      </c>
      <c r="P323">
        <v>7</v>
      </c>
      <c r="Q323" t="s">
        <v>33</v>
      </c>
      <c r="R323" t="s">
        <v>85</v>
      </c>
      <c r="S323" s="3">
        <v>0</v>
      </c>
      <c r="T323" t="s">
        <v>69</v>
      </c>
      <c r="U323" t="s">
        <v>53</v>
      </c>
      <c r="V323" t="str">
        <f t="shared" si="20"/>
        <v>2026-04</v>
      </c>
      <c r="W323" t="str">
        <f t="shared" si="21"/>
        <v>4-7 days</v>
      </c>
      <c r="X323" t="str">
        <f t="shared" si="22"/>
        <v>No Refund</v>
      </c>
      <c r="Y323" t="str">
        <f t="shared" si="23"/>
        <v>High</v>
      </c>
    </row>
    <row r="324" spans="1:25" ht="27.6">
      <c r="A324" t="s">
        <v>1127</v>
      </c>
      <c r="B324" t="s">
        <v>1128</v>
      </c>
      <c r="C324" t="s">
        <v>1129</v>
      </c>
      <c r="D324" s="2">
        <v>46108</v>
      </c>
      <c r="E324" t="s">
        <v>47</v>
      </c>
      <c r="F324" t="s">
        <v>103</v>
      </c>
      <c r="G324" s="3">
        <v>29.9</v>
      </c>
      <c r="H324" t="s">
        <v>89</v>
      </c>
      <c r="I324" t="s">
        <v>27</v>
      </c>
      <c r="J324" s="4" t="s">
        <v>104</v>
      </c>
      <c r="K324" t="s">
        <v>29</v>
      </c>
      <c r="L324" t="s">
        <v>30</v>
      </c>
      <c r="M324" t="s">
        <v>31</v>
      </c>
      <c r="N324" t="s">
        <v>84</v>
      </c>
      <c r="O324">
        <v>5</v>
      </c>
      <c r="P324">
        <v>10</v>
      </c>
      <c r="Q324" t="s">
        <v>29</v>
      </c>
      <c r="R324" t="s">
        <v>34</v>
      </c>
      <c r="S324" s="3">
        <v>0</v>
      </c>
      <c r="T324" t="s">
        <v>247</v>
      </c>
      <c r="U324" t="s">
        <v>63</v>
      </c>
      <c r="V324" t="str">
        <f t="shared" si="20"/>
        <v>2026-03</v>
      </c>
      <c r="W324" t="str">
        <f t="shared" si="21"/>
        <v>8-14 days</v>
      </c>
      <c r="X324" t="str">
        <f t="shared" si="22"/>
        <v>No Refund</v>
      </c>
      <c r="Y324" t="str">
        <f t="shared" si="23"/>
        <v>Medium</v>
      </c>
    </row>
    <row r="325" spans="1:25" ht="27.6">
      <c r="A325" t="s">
        <v>1130</v>
      </c>
      <c r="B325" t="s">
        <v>1131</v>
      </c>
      <c r="C325" t="s">
        <v>1132</v>
      </c>
      <c r="D325" s="2">
        <v>46110</v>
      </c>
      <c r="E325" t="s">
        <v>94</v>
      </c>
      <c r="F325" t="s">
        <v>172</v>
      </c>
      <c r="G325" s="3">
        <v>15.29</v>
      </c>
      <c r="H325" t="s">
        <v>58</v>
      </c>
      <c r="I325" t="s">
        <v>50</v>
      </c>
      <c r="J325" s="4" t="s">
        <v>285</v>
      </c>
      <c r="K325" t="s">
        <v>29</v>
      </c>
      <c r="L325" t="s">
        <v>30</v>
      </c>
      <c r="M325" t="s">
        <v>31</v>
      </c>
      <c r="N325" t="s">
        <v>32</v>
      </c>
      <c r="O325">
        <v>7</v>
      </c>
      <c r="P325">
        <v>3</v>
      </c>
      <c r="Q325" t="s">
        <v>33</v>
      </c>
      <c r="R325" t="s">
        <v>174</v>
      </c>
      <c r="S325" s="3">
        <v>0</v>
      </c>
      <c r="T325" t="s">
        <v>69</v>
      </c>
      <c r="U325" t="s">
        <v>36</v>
      </c>
      <c r="V325" t="str">
        <f t="shared" si="20"/>
        <v>2026-03</v>
      </c>
      <c r="W325" t="str">
        <f t="shared" si="21"/>
        <v>0-3 days</v>
      </c>
      <c r="X325" t="str">
        <f t="shared" si="22"/>
        <v>No Refund</v>
      </c>
      <c r="Y325" t="str">
        <f t="shared" si="23"/>
        <v>Medium</v>
      </c>
    </row>
    <row r="326" spans="1:25" ht="27.6">
      <c r="A326" t="s">
        <v>1133</v>
      </c>
      <c r="B326" t="s">
        <v>1134</v>
      </c>
      <c r="C326" t="s">
        <v>1135</v>
      </c>
      <c r="D326" s="2">
        <v>46161</v>
      </c>
      <c r="E326" t="s">
        <v>24</v>
      </c>
      <c r="F326" t="s">
        <v>172</v>
      </c>
      <c r="G326" s="3">
        <v>58.79</v>
      </c>
      <c r="H326" t="s">
        <v>74</v>
      </c>
      <c r="I326" t="s">
        <v>67</v>
      </c>
      <c r="J326" s="4" t="s">
        <v>173</v>
      </c>
      <c r="K326" t="s">
        <v>29</v>
      </c>
      <c r="L326" t="s">
        <v>30</v>
      </c>
      <c r="M326" t="s">
        <v>31</v>
      </c>
      <c r="N326" t="s">
        <v>32</v>
      </c>
      <c r="O326">
        <v>7</v>
      </c>
      <c r="P326">
        <v>13</v>
      </c>
      <c r="Q326" t="s">
        <v>29</v>
      </c>
      <c r="R326" t="s">
        <v>174</v>
      </c>
      <c r="S326" s="3">
        <v>0</v>
      </c>
      <c r="T326" t="s">
        <v>110</v>
      </c>
      <c r="U326" t="s">
        <v>63</v>
      </c>
      <c r="V326" t="str">
        <f t="shared" si="20"/>
        <v>2026-05</v>
      </c>
      <c r="W326" t="str">
        <f t="shared" si="21"/>
        <v>8-14 days</v>
      </c>
      <c r="X326" t="str">
        <f t="shared" si="22"/>
        <v>No Refund</v>
      </c>
      <c r="Y326" t="str">
        <f t="shared" si="23"/>
        <v>Medium</v>
      </c>
    </row>
    <row r="327" spans="1:25" ht="27.6">
      <c r="A327" t="s">
        <v>1136</v>
      </c>
      <c r="B327" t="s">
        <v>1137</v>
      </c>
      <c r="C327" t="s">
        <v>1138</v>
      </c>
      <c r="D327" s="2">
        <v>46040</v>
      </c>
      <c r="E327" t="s">
        <v>47</v>
      </c>
      <c r="F327" t="s">
        <v>48</v>
      </c>
      <c r="G327" s="3">
        <v>17.899999999999999</v>
      </c>
      <c r="H327" t="s">
        <v>74</v>
      </c>
      <c r="I327" t="s">
        <v>50</v>
      </c>
      <c r="J327" s="4" t="s">
        <v>68</v>
      </c>
      <c r="K327" t="s">
        <v>33</v>
      </c>
      <c r="L327" t="s">
        <v>30</v>
      </c>
      <c r="M327" t="s">
        <v>31</v>
      </c>
      <c r="N327" t="s">
        <v>90</v>
      </c>
      <c r="O327">
        <v>10</v>
      </c>
      <c r="P327">
        <v>5</v>
      </c>
      <c r="Q327" t="s">
        <v>33</v>
      </c>
      <c r="R327" t="s">
        <v>34</v>
      </c>
      <c r="S327" s="3">
        <v>0</v>
      </c>
      <c r="T327" t="s">
        <v>52</v>
      </c>
      <c r="U327" t="s">
        <v>36</v>
      </c>
      <c r="V327" t="str">
        <f t="shared" si="20"/>
        <v>2026-01</v>
      </c>
      <c r="W327" t="str">
        <f t="shared" si="21"/>
        <v>4-7 days</v>
      </c>
      <c r="X327" t="str">
        <f t="shared" si="22"/>
        <v>No Refund</v>
      </c>
      <c r="Y327" t="str">
        <f t="shared" si="23"/>
        <v>Low</v>
      </c>
    </row>
    <row r="328" spans="1:25" ht="27.6">
      <c r="A328" t="s">
        <v>1139</v>
      </c>
      <c r="B328" t="s">
        <v>1140</v>
      </c>
      <c r="C328" t="s">
        <v>1141</v>
      </c>
      <c r="D328" s="2">
        <v>46071</v>
      </c>
      <c r="E328" t="s">
        <v>24</v>
      </c>
      <c r="F328" t="s">
        <v>25</v>
      </c>
      <c r="G328" s="3">
        <v>108.45</v>
      </c>
      <c r="H328" t="s">
        <v>41</v>
      </c>
      <c r="I328" t="s">
        <v>50</v>
      </c>
      <c r="J328" s="4" t="s">
        <v>42</v>
      </c>
      <c r="K328" t="s">
        <v>29</v>
      </c>
      <c r="L328" t="s">
        <v>30</v>
      </c>
      <c r="M328" t="s">
        <v>96</v>
      </c>
      <c r="N328" t="s">
        <v>32</v>
      </c>
      <c r="O328">
        <v>5</v>
      </c>
      <c r="P328">
        <v>6</v>
      </c>
      <c r="Q328" t="s">
        <v>29</v>
      </c>
      <c r="R328" t="s">
        <v>34</v>
      </c>
      <c r="S328" s="3">
        <v>108.45</v>
      </c>
      <c r="T328" t="s">
        <v>35</v>
      </c>
      <c r="U328" t="s">
        <v>63</v>
      </c>
      <c r="V328" t="str">
        <f t="shared" si="20"/>
        <v>2026-02</v>
      </c>
      <c r="W328" t="str">
        <f t="shared" si="21"/>
        <v>4-7 days</v>
      </c>
      <c r="X328" t="str">
        <f t="shared" si="22"/>
        <v>Refund Issued</v>
      </c>
      <c r="Y328" t="str">
        <f t="shared" si="23"/>
        <v>High</v>
      </c>
    </row>
    <row r="329" spans="1:25" ht="27.6">
      <c r="A329" t="s">
        <v>1142</v>
      </c>
      <c r="B329" t="s">
        <v>1143</v>
      </c>
      <c r="C329" t="s">
        <v>1144</v>
      </c>
      <c r="D329" s="2">
        <v>46143</v>
      </c>
      <c r="E329" t="s">
        <v>40</v>
      </c>
      <c r="F329" t="s">
        <v>82</v>
      </c>
      <c r="G329" s="3">
        <v>111.02</v>
      </c>
      <c r="H329" t="s">
        <v>74</v>
      </c>
      <c r="I329" t="s">
        <v>27</v>
      </c>
      <c r="J329" s="4" t="s">
        <v>1145</v>
      </c>
      <c r="K329" t="s">
        <v>29</v>
      </c>
      <c r="L329" t="s">
        <v>30</v>
      </c>
      <c r="M329" t="s">
        <v>31</v>
      </c>
      <c r="N329" t="s">
        <v>32</v>
      </c>
      <c r="O329">
        <v>7</v>
      </c>
      <c r="P329">
        <v>10</v>
      </c>
      <c r="Q329" t="s">
        <v>29</v>
      </c>
      <c r="R329" t="s">
        <v>85</v>
      </c>
      <c r="S329" s="3">
        <v>83.27</v>
      </c>
      <c r="T329" t="s">
        <v>69</v>
      </c>
      <c r="U329" t="s">
        <v>63</v>
      </c>
      <c r="V329" t="str">
        <f t="shared" si="20"/>
        <v>2026-05</v>
      </c>
      <c r="W329" t="str">
        <f t="shared" si="21"/>
        <v>8-14 days</v>
      </c>
      <c r="X329" t="str">
        <f t="shared" si="22"/>
        <v>Refund Issued</v>
      </c>
      <c r="Y329" t="str">
        <f t="shared" si="23"/>
        <v>High</v>
      </c>
    </row>
    <row r="330" spans="1:25" ht="27.6">
      <c r="A330" t="s">
        <v>1146</v>
      </c>
      <c r="B330" t="s">
        <v>1147</v>
      </c>
      <c r="C330" t="s">
        <v>1148</v>
      </c>
      <c r="D330" s="2">
        <v>46074</v>
      </c>
      <c r="E330" t="s">
        <v>40</v>
      </c>
      <c r="F330" t="s">
        <v>25</v>
      </c>
      <c r="G330" s="3">
        <v>115.54</v>
      </c>
      <c r="H330" t="s">
        <v>41</v>
      </c>
      <c r="I330" t="s">
        <v>67</v>
      </c>
      <c r="J330" s="4" t="s">
        <v>42</v>
      </c>
      <c r="K330" t="s">
        <v>33</v>
      </c>
      <c r="L330" t="s">
        <v>30</v>
      </c>
      <c r="M330" t="s">
        <v>31</v>
      </c>
      <c r="N330" t="s">
        <v>32</v>
      </c>
      <c r="O330">
        <v>5</v>
      </c>
      <c r="P330">
        <v>8</v>
      </c>
      <c r="Q330" t="s">
        <v>29</v>
      </c>
      <c r="R330" t="s">
        <v>34</v>
      </c>
      <c r="S330" s="3">
        <v>86.66</v>
      </c>
      <c r="T330" t="s">
        <v>43</v>
      </c>
      <c r="U330" t="s">
        <v>63</v>
      </c>
      <c r="V330" t="str">
        <f t="shared" si="20"/>
        <v>2026-02</v>
      </c>
      <c r="W330" t="str">
        <f t="shared" si="21"/>
        <v>8-14 days</v>
      </c>
      <c r="X330" t="str">
        <f t="shared" si="22"/>
        <v>Refund Issued</v>
      </c>
      <c r="Y330" t="str">
        <f t="shared" si="23"/>
        <v>High</v>
      </c>
    </row>
    <row r="331" spans="1:25" ht="27.6">
      <c r="A331" t="s">
        <v>1149</v>
      </c>
      <c r="B331" t="s">
        <v>1150</v>
      </c>
      <c r="C331" t="s">
        <v>1151</v>
      </c>
      <c r="D331" s="2">
        <v>46032</v>
      </c>
      <c r="E331" t="s">
        <v>47</v>
      </c>
      <c r="F331" t="s">
        <v>82</v>
      </c>
      <c r="G331" s="3">
        <v>22.76</v>
      </c>
      <c r="H331" t="s">
        <v>89</v>
      </c>
      <c r="I331" t="s">
        <v>27</v>
      </c>
      <c r="J331" s="4" t="s">
        <v>527</v>
      </c>
      <c r="K331" t="s">
        <v>33</v>
      </c>
      <c r="L331" t="s">
        <v>30</v>
      </c>
      <c r="M331" t="s">
        <v>31</v>
      </c>
      <c r="N331" t="s">
        <v>32</v>
      </c>
      <c r="O331">
        <v>7</v>
      </c>
      <c r="P331">
        <v>9</v>
      </c>
      <c r="Q331" t="s">
        <v>29</v>
      </c>
      <c r="R331" t="s">
        <v>85</v>
      </c>
      <c r="S331" s="3">
        <v>17.07</v>
      </c>
      <c r="T331" t="s">
        <v>43</v>
      </c>
      <c r="U331" t="s">
        <v>63</v>
      </c>
      <c r="V331" t="str">
        <f t="shared" si="20"/>
        <v>2026-01</v>
      </c>
      <c r="W331" t="str">
        <f t="shared" si="21"/>
        <v>8-14 days</v>
      </c>
      <c r="X331" t="str">
        <f t="shared" si="22"/>
        <v>Refund Issued</v>
      </c>
      <c r="Y331" t="str">
        <f t="shared" si="23"/>
        <v>High</v>
      </c>
    </row>
    <row r="332" spans="1:25" ht="27.6">
      <c r="A332" t="s">
        <v>1152</v>
      </c>
      <c r="B332" t="s">
        <v>1153</v>
      </c>
      <c r="C332" t="s">
        <v>1154</v>
      </c>
      <c r="D332" s="2">
        <v>46131</v>
      </c>
      <c r="E332" t="s">
        <v>24</v>
      </c>
      <c r="F332" t="s">
        <v>73</v>
      </c>
      <c r="G332" s="3">
        <v>34.81</v>
      </c>
      <c r="H332" t="s">
        <v>26</v>
      </c>
      <c r="I332" t="s">
        <v>50</v>
      </c>
      <c r="J332" s="4" t="s">
        <v>75</v>
      </c>
      <c r="K332" t="s">
        <v>29</v>
      </c>
      <c r="L332" t="s">
        <v>60</v>
      </c>
      <c r="M332" t="s">
        <v>31</v>
      </c>
      <c r="N332" t="s">
        <v>32</v>
      </c>
      <c r="O332">
        <v>10</v>
      </c>
      <c r="P332">
        <v>15</v>
      </c>
      <c r="Q332" t="s">
        <v>29</v>
      </c>
      <c r="R332" t="s">
        <v>61</v>
      </c>
      <c r="S332" s="3">
        <v>26.11</v>
      </c>
      <c r="T332" t="s">
        <v>62</v>
      </c>
      <c r="U332" t="s">
        <v>63</v>
      </c>
      <c r="V332" t="str">
        <f t="shared" si="20"/>
        <v>2026-04</v>
      </c>
      <c r="W332" t="str">
        <f t="shared" si="21"/>
        <v>15+ days</v>
      </c>
      <c r="X332" t="str">
        <f t="shared" si="22"/>
        <v>Refund Issued</v>
      </c>
      <c r="Y332" t="str">
        <f t="shared" si="23"/>
        <v>Low</v>
      </c>
    </row>
    <row r="333" spans="1:25" ht="27.6">
      <c r="A333" t="s">
        <v>1155</v>
      </c>
      <c r="B333" t="s">
        <v>1156</v>
      </c>
      <c r="C333" t="s">
        <v>1157</v>
      </c>
      <c r="D333" s="2">
        <v>46074</v>
      </c>
      <c r="E333" t="s">
        <v>94</v>
      </c>
      <c r="F333" t="s">
        <v>25</v>
      </c>
      <c r="G333" s="3">
        <v>19.489999999999998</v>
      </c>
      <c r="H333" t="s">
        <v>58</v>
      </c>
      <c r="I333" t="s">
        <v>67</v>
      </c>
      <c r="J333" s="4" t="s">
        <v>1158</v>
      </c>
      <c r="K333" t="s">
        <v>29</v>
      </c>
      <c r="L333" t="s">
        <v>30</v>
      </c>
      <c r="M333" t="s">
        <v>31</v>
      </c>
      <c r="N333" t="s">
        <v>32</v>
      </c>
      <c r="O333">
        <v>5</v>
      </c>
      <c r="P333">
        <v>4</v>
      </c>
      <c r="Q333" t="s">
        <v>33</v>
      </c>
      <c r="R333" t="s">
        <v>34</v>
      </c>
      <c r="S333" s="3">
        <v>0</v>
      </c>
      <c r="T333" t="s">
        <v>110</v>
      </c>
      <c r="U333" t="s">
        <v>36</v>
      </c>
      <c r="V333" t="str">
        <f t="shared" si="20"/>
        <v>2026-02</v>
      </c>
      <c r="W333" t="str">
        <f t="shared" si="21"/>
        <v>4-7 days</v>
      </c>
      <c r="X333" t="str">
        <f t="shared" si="22"/>
        <v>No Refund</v>
      </c>
      <c r="Y333" t="str">
        <f t="shared" si="23"/>
        <v>High</v>
      </c>
    </row>
    <row r="334" spans="1:25" ht="27.6">
      <c r="A334" t="s">
        <v>1159</v>
      </c>
      <c r="B334" t="s">
        <v>1160</v>
      </c>
      <c r="C334" t="s">
        <v>1161</v>
      </c>
      <c r="D334" s="2">
        <v>46121</v>
      </c>
      <c r="E334" t="s">
        <v>40</v>
      </c>
      <c r="F334" t="s">
        <v>48</v>
      </c>
      <c r="G334" s="3">
        <v>49.13</v>
      </c>
      <c r="H334" t="s">
        <v>89</v>
      </c>
      <c r="I334" t="s">
        <v>27</v>
      </c>
      <c r="J334" s="4" t="s">
        <v>51</v>
      </c>
      <c r="K334" t="s">
        <v>33</v>
      </c>
      <c r="L334" t="s">
        <v>30</v>
      </c>
      <c r="M334" t="s">
        <v>31</v>
      </c>
      <c r="N334" t="s">
        <v>32</v>
      </c>
      <c r="O334">
        <v>10</v>
      </c>
      <c r="P334">
        <v>4</v>
      </c>
      <c r="Q334" t="s">
        <v>33</v>
      </c>
      <c r="R334" t="s">
        <v>34</v>
      </c>
      <c r="S334" s="3">
        <v>0</v>
      </c>
      <c r="T334" t="s">
        <v>52</v>
      </c>
      <c r="U334" t="s">
        <v>53</v>
      </c>
      <c r="V334" t="str">
        <f t="shared" si="20"/>
        <v>2026-04</v>
      </c>
      <c r="W334" t="str">
        <f t="shared" si="21"/>
        <v>4-7 days</v>
      </c>
      <c r="X334" t="str">
        <f t="shared" si="22"/>
        <v>No Refund</v>
      </c>
      <c r="Y334" t="str">
        <f t="shared" si="23"/>
        <v>Low</v>
      </c>
    </row>
    <row r="335" spans="1:25" ht="27.6">
      <c r="A335" t="s">
        <v>1162</v>
      </c>
      <c r="B335" t="s">
        <v>1163</v>
      </c>
      <c r="C335" t="s">
        <v>1164</v>
      </c>
      <c r="D335" s="2">
        <v>46102</v>
      </c>
      <c r="E335" t="s">
        <v>40</v>
      </c>
      <c r="F335" t="s">
        <v>48</v>
      </c>
      <c r="G335" s="3">
        <v>27.77</v>
      </c>
      <c r="H335" t="s">
        <v>74</v>
      </c>
      <c r="I335" t="s">
        <v>67</v>
      </c>
      <c r="J335" s="4" t="s">
        <v>68</v>
      </c>
      <c r="K335" t="s">
        <v>29</v>
      </c>
      <c r="L335" t="s">
        <v>30</v>
      </c>
      <c r="M335" t="s">
        <v>31</v>
      </c>
      <c r="N335" t="s">
        <v>32</v>
      </c>
      <c r="O335">
        <v>10</v>
      </c>
      <c r="P335">
        <v>4</v>
      </c>
      <c r="Q335" t="s">
        <v>33</v>
      </c>
      <c r="R335" t="s">
        <v>34</v>
      </c>
      <c r="S335" s="3">
        <v>20.83</v>
      </c>
      <c r="T335" t="s">
        <v>52</v>
      </c>
      <c r="U335" t="s">
        <v>53</v>
      </c>
      <c r="V335" t="str">
        <f t="shared" si="20"/>
        <v>2026-03</v>
      </c>
      <c r="W335" t="str">
        <f t="shared" si="21"/>
        <v>4-7 days</v>
      </c>
      <c r="X335" t="str">
        <f t="shared" si="22"/>
        <v>Refund Issued</v>
      </c>
      <c r="Y335" t="str">
        <f t="shared" si="23"/>
        <v>Low</v>
      </c>
    </row>
    <row r="336" spans="1:25" ht="27.6">
      <c r="A336" t="s">
        <v>1165</v>
      </c>
      <c r="B336" t="s">
        <v>1166</v>
      </c>
      <c r="C336" t="s">
        <v>1167</v>
      </c>
      <c r="D336" s="2">
        <v>46173</v>
      </c>
      <c r="E336" t="s">
        <v>40</v>
      </c>
      <c r="F336" t="s">
        <v>82</v>
      </c>
      <c r="G336" s="3">
        <v>32.700000000000003</v>
      </c>
      <c r="H336" t="s">
        <v>26</v>
      </c>
      <c r="I336" t="s">
        <v>27</v>
      </c>
      <c r="J336" s="4" t="s">
        <v>114</v>
      </c>
      <c r="K336" t="s">
        <v>29</v>
      </c>
      <c r="L336" t="s">
        <v>30</v>
      </c>
      <c r="M336" t="s">
        <v>31</v>
      </c>
      <c r="N336" t="s">
        <v>32</v>
      </c>
      <c r="O336">
        <v>7</v>
      </c>
      <c r="P336">
        <v>2</v>
      </c>
      <c r="Q336" t="s">
        <v>33</v>
      </c>
      <c r="R336" t="s">
        <v>85</v>
      </c>
      <c r="S336" s="3">
        <v>16.350000000000001</v>
      </c>
      <c r="T336" t="s">
        <v>62</v>
      </c>
      <c r="U336" t="s">
        <v>36</v>
      </c>
      <c r="V336" t="str">
        <f t="shared" si="20"/>
        <v>2026-05</v>
      </c>
      <c r="W336" t="str">
        <f t="shared" si="21"/>
        <v>0-3 days</v>
      </c>
      <c r="X336" t="str">
        <f t="shared" si="22"/>
        <v>Refund Issued</v>
      </c>
      <c r="Y336" t="str">
        <f t="shared" si="23"/>
        <v>High</v>
      </c>
    </row>
    <row r="337" spans="1:25" ht="27.6">
      <c r="A337" t="s">
        <v>1168</v>
      </c>
      <c r="B337" t="s">
        <v>977</v>
      </c>
      <c r="C337" t="s">
        <v>1169</v>
      </c>
      <c r="D337" s="2">
        <v>46031</v>
      </c>
      <c r="E337" t="s">
        <v>40</v>
      </c>
      <c r="F337" t="s">
        <v>57</v>
      </c>
      <c r="G337" s="3">
        <v>13.09</v>
      </c>
      <c r="H337" t="s">
        <v>74</v>
      </c>
      <c r="I337" t="s">
        <v>27</v>
      </c>
      <c r="J337" s="4" t="s">
        <v>59</v>
      </c>
      <c r="K337" t="s">
        <v>29</v>
      </c>
      <c r="L337" t="s">
        <v>60</v>
      </c>
      <c r="M337" t="s">
        <v>31</v>
      </c>
      <c r="N337" t="s">
        <v>32</v>
      </c>
      <c r="O337">
        <v>10</v>
      </c>
      <c r="P337">
        <v>6</v>
      </c>
      <c r="Q337" t="s">
        <v>33</v>
      </c>
      <c r="R337" t="s">
        <v>61</v>
      </c>
      <c r="S337" s="3">
        <v>0</v>
      </c>
      <c r="T337" t="s">
        <v>62</v>
      </c>
      <c r="U337" t="s">
        <v>63</v>
      </c>
      <c r="V337" t="str">
        <f t="shared" si="20"/>
        <v>2026-01</v>
      </c>
      <c r="W337" t="str">
        <f t="shared" si="21"/>
        <v>4-7 days</v>
      </c>
      <c r="X337" t="str">
        <f t="shared" si="22"/>
        <v>No Refund</v>
      </c>
      <c r="Y337" t="str">
        <f t="shared" si="23"/>
        <v>Low</v>
      </c>
    </row>
    <row r="338" spans="1:25" ht="27.6">
      <c r="A338" t="s">
        <v>1170</v>
      </c>
      <c r="B338" t="s">
        <v>1171</v>
      </c>
      <c r="C338" t="s">
        <v>1172</v>
      </c>
      <c r="D338" s="2">
        <v>46171</v>
      </c>
      <c r="E338" t="s">
        <v>24</v>
      </c>
      <c r="F338" t="s">
        <v>25</v>
      </c>
      <c r="G338" s="3">
        <v>72.11</v>
      </c>
      <c r="H338" t="s">
        <v>108</v>
      </c>
      <c r="I338" t="s">
        <v>67</v>
      </c>
      <c r="J338" s="4" t="s">
        <v>42</v>
      </c>
      <c r="K338" t="s">
        <v>33</v>
      </c>
      <c r="L338" t="s">
        <v>30</v>
      </c>
      <c r="M338" t="s">
        <v>31</v>
      </c>
      <c r="N338" t="s">
        <v>32</v>
      </c>
      <c r="O338">
        <v>5</v>
      </c>
      <c r="P338">
        <v>12</v>
      </c>
      <c r="Q338" t="s">
        <v>29</v>
      </c>
      <c r="R338" t="s">
        <v>34</v>
      </c>
      <c r="S338" s="3">
        <v>0</v>
      </c>
      <c r="T338" t="s">
        <v>35</v>
      </c>
      <c r="U338" t="s">
        <v>63</v>
      </c>
      <c r="V338" t="str">
        <f t="shared" si="20"/>
        <v>2026-05</v>
      </c>
      <c r="W338" t="str">
        <f t="shared" si="21"/>
        <v>8-14 days</v>
      </c>
      <c r="X338" t="str">
        <f t="shared" si="22"/>
        <v>No Refund</v>
      </c>
      <c r="Y338" t="str">
        <f t="shared" si="23"/>
        <v>High</v>
      </c>
    </row>
    <row r="339" spans="1:25" ht="27.6">
      <c r="A339" t="s">
        <v>1173</v>
      </c>
      <c r="B339" t="s">
        <v>1174</v>
      </c>
      <c r="C339" t="s">
        <v>1175</v>
      </c>
      <c r="D339" s="2">
        <v>46157</v>
      </c>
      <c r="E339" t="s">
        <v>24</v>
      </c>
      <c r="F339" t="s">
        <v>118</v>
      </c>
      <c r="G339" s="3">
        <v>9</v>
      </c>
      <c r="H339" t="s">
        <v>58</v>
      </c>
      <c r="I339" t="s">
        <v>50</v>
      </c>
      <c r="J339" s="4" t="s">
        <v>119</v>
      </c>
      <c r="K339" t="s">
        <v>29</v>
      </c>
      <c r="L339" t="s">
        <v>120</v>
      </c>
      <c r="M339" t="s">
        <v>96</v>
      </c>
      <c r="N339" t="s">
        <v>32</v>
      </c>
      <c r="O339">
        <v>5</v>
      </c>
      <c r="P339">
        <v>4</v>
      </c>
      <c r="Q339" t="s">
        <v>33</v>
      </c>
      <c r="R339" t="s">
        <v>85</v>
      </c>
      <c r="S339" s="3">
        <v>9</v>
      </c>
      <c r="T339" t="s">
        <v>121</v>
      </c>
      <c r="U339" t="s">
        <v>36</v>
      </c>
      <c r="V339" t="str">
        <f t="shared" si="20"/>
        <v>2026-05</v>
      </c>
      <c r="W339" t="str">
        <f t="shared" si="21"/>
        <v>4-7 days</v>
      </c>
      <c r="X339" t="str">
        <f t="shared" si="22"/>
        <v>Refund Issued</v>
      </c>
      <c r="Y339" t="str">
        <f t="shared" si="23"/>
        <v>High</v>
      </c>
    </row>
    <row r="340" spans="1:25" ht="27.6">
      <c r="A340" t="s">
        <v>1176</v>
      </c>
      <c r="B340" t="s">
        <v>670</v>
      </c>
      <c r="C340" t="s">
        <v>1177</v>
      </c>
      <c r="D340" s="2">
        <v>46157</v>
      </c>
      <c r="E340" t="s">
        <v>47</v>
      </c>
      <c r="F340" t="s">
        <v>172</v>
      </c>
      <c r="G340" s="3">
        <v>203.3</v>
      </c>
      <c r="H340" t="s">
        <v>108</v>
      </c>
      <c r="I340" t="s">
        <v>50</v>
      </c>
      <c r="J340" s="4" t="s">
        <v>173</v>
      </c>
      <c r="K340" t="s">
        <v>29</v>
      </c>
      <c r="L340" t="s">
        <v>30</v>
      </c>
      <c r="M340" t="s">
        <v>31</v>
      </c>
      <c r="N340" t="s">
        <v>32</v>
      </c>
      <c r="O340">
        <v>7</v>
      </c>
      <c r="P340">
        <v>10</v>
      </c>
      <c r="Q340" t="s">
        <v>29</v>
      </c>
      <c r="R340" t="s">
        <v>174</v>
      </c>
      <c r="S340" s="3">
        <v>101.65</v>
      </c>
      <c r="T340" t="s">
        <v>286</v>
      </c>
      <c r="U340" t="s">
        <v>63</v>
      </c>
      <c r="V340" t="str">
        <f t="shared" si="20"/>
        <v>2026-05</v>
      </c>
      <c r="W340" t="str">
        <f t="shared" si="21"/>
        <v>8-14 days</v>
      </c>
      <c r="X340" t="str">
        <f t="shared" si="22"/>
        <v>Refund Issued</v>
      </c>
      <c r="Y340" t="str">
        <f t="shared" si="23"/>
        <v>Medium</v>
      </c>
    </row>
    <row r="341" spans="1:25" ht="27.6">
      <c r="A341" t="s">
        <v>1178</v>
      </c>
      <c r="B341" t="s">
        <v>1179</v>
      </c>
      <c r="C341" t="s">
        <v>1180</v>
      </c>
      <c r="D341" s="2">
        <v>46142</v>
      </c>
      <c r="E341" t="s">
        <v>47</v>
      </c>
      <c r="F341" t="s">
        <v>25</v>
      </c>
      <c r="G341" s="3">
        <v>140.02000000000001</v>
      </c>
      <c r="H341" t="s">
        <v>41</v>
      </c>
      <c r="I341" t="s">
        <v>27</v>
      </c>
      <c r="J341" s="4" t="s">
        <v>1181</v>
      </c>
      <c r="K341" t="s">
        <v>33</v>
      </c>
      <c r="L341" t="s">
        <v>30</v>
      </c>
      <c r="M341" t="s">
        <v>31</v>
      </c>
      <c r="N341" t="s">
        <v>32</v>
      </c>
      <c r="O341">
        <v>5</v>
      </c>
      <c r="P341">
        <v>3</v>
      </c>
      <c r="Q341" t="s">
        <v>33</v>
      </c>
      <c r="R341" t="s">
        <v>34</v>
      </c>
      <c r="S341" s="3">
        <v>105.02</v>
      </c>
      <c r="T341" t="s">
        <v>110</v>
      </c>
      <c r="U341" t="s">
        <v>36</v>
      </c>
      <c r="V341" t="str">
        <f t="shared" si="20"/>
        <v>2026-04</v>
      </c>
      <c r="W341" t="str">
        <f t="shared" si="21"/>
        <v>0-3 days</v>
      </c>
      <c r="X341" t="str">
        <f t="shared" si="22"/>
        <v>Refund Issued</v>
      </c>
      <c r="Y341" t="str">
        <f t="shared" si="23"/>
        <v>High</v>
      </c>
    </row>
    <row r="342" spans="1:25" ht="27.6">
      <c r="A342" t="s">
        <v>1182</v>
      </c>
      <c r="B342" t="s">
        <v>1183</v>
      </c>
      <c r="C342" t="s">
        <v>1184</v>
      </c>
      <c r="D342" s="2">
        <v>46152</v>
      </c>
      <c r="E342" t="s">
        <v>47</v>
      </c>
      <c r="F342" t="s">
        <v>57</v>
      </c>
      <c r="G342" s="3">
        <v>17.38</v>
      </c>
      <c r="H342" t="s">
        <v>108</v>
      </c>
      <c r="I342" t="s">
        <v>50</v>
      </c>
      <c r="J342" s="4" t="s">
        <v>155</v>
      </c>
      <c r="K342" t="s">
        <v>33</v>
      </c>
      <c r="L342" t="s">
        <v>60</v>
      </c>
      <c r="M342" t="s">
        <v>31</v>
      </c>
      <c r="N342" t="s">
        <v>126</v>
      </c>
      <c r="O342">
        <v>10</v>
      </c>
      <c r="P342">
        <v>11</v>
      </c>
      <c r="Q342" t="s">
        <v>29</v>
      </c>
      <c r="R342" t="s">
        <v>61</v>
      </c>
      <c r="S342" s="3">
        <v>0</v>
      </c>
      <c r="T342" t="s">
        <v>156</v>
      </c>
      <c r="U342" t="s">
        <v>63</v>
      </c>
      <c r="V342" t="str">
        <f t="shared" si="20"/>
        <v>2026-05</v>
      </c>
      <c r="W342" t="str">
        <f t="shared" si="21"/>
        <v>8-14 days</v>
      </c>
      <c r="X342" t="str">
        <f t="shared" si="22"/>
        <v>No Refund</v>
      </c>
      <c r="Y342" t="str">
        <f t="shared" si="23"/>
        <v>Low</v>
      </c>
    </row>
    <row r="343" spans="1:25" ht="27.6">
      <c r="A343" t="s">
        <v>1185</v>
      </c>
      <c r="B343" t="s">
        <v>1186</v>
      </c>
      <c r="C343" t="s">
        <v>1187</v>
      </c>
      <c r="D343" s="2">
        <v>46032</v>
      </c>
      <c r="E343" t="s">
        <v>40</v>
      </c>
      <c r="F343" t="s">
        <v>82</v>
      </c>
      <c r="G343" s="3">
        <v>225.51</v>
      </c>
      <c r="H343" t="s">
        <v>89</v>
      </c>
      <c r="I343" t="s">
        <v>67</v>
      </c>
      <c r="J343" s="4" t="s">
        <v>1188</v>
      </c>
      <c r="K343" t="s">
        <v>29</v>
      </c>
      <c r="L343" t="s">
        <v>30</v>
      </c>
      <c r="M343" t="s">
        <v>31</v>
      </c>
      <c r="N343" t="s">
        <v>84</v>
      </c>
      <c r="O343">
        <v>7</v>
      </c>
      <c r="P343">
        <v>4</v>
      </c>
      <c r="Q343" t="s">
        <v>33</v>
      </c>
      <c r="R343" t="s">
        <v>85</v>
      </c>
      <c r="S343" s="3">
        <v>0</v>
      </c>
      <c r="T343" t="s">
        <v>69</v>
      </c>
      <c r="U343" t="s">
        <v>36</v>
      </c>
      <c r="V343" t="str">
        <f t="shared" si="20"/>
        <v>2026-01</v>
      </c>
      <c r="W343" t="str">
        <f t="shared" si="21"/>
        <v>4-7 days</v>
      </c>
      <c r="X343" t="str">
        <f t="shared" si="22"/>
        <v>No Refund</v>
      </c>
      <c r="Y343" t="str">
        <f t="shared" si="23"/>
        <v>High</v>
      </c>
    </row>
    <row r="344" spans="1:25" ht="27.6">
      <c r="A344" t="s">
        <v>1189</v>
      </c>
      <c r="B344" t="s">
        <v>1190</v>
      </c>
      <c r="C344" t="s">
        <v>1191</v>
      </c>
      <c r="D344" s="2">
        <v>46076</v>
      </c>
      <c r="E344" t="s">
        <v>47</v>
      </c>
      <c r="F344" t="s">
        <v>82</v>
      </c>
      <c r="G344" s="3">
        <v>85.79</v>
      </c>
      <c r="H344" t="s">
        <v>108</v>
      </c>
      <c r="I344" t="s">
        <v>50</v>
      </c>
      <c r="J344" s="4" t="s">
        <v>1192</v>
      </c>
      <c r="K344" t="s">
        <v>33</v>
      </c>
      <c r="L344" t="s">
        <v>30</v>
      </c>
      <c r="M344" t="s">
        <v>31</v>
      </c>
      <c r="N344" t="s">
        <v>32</v>
      </c>
      <c r="O344">
        <v>7</v>
      </c>
      <c r="P344">
        <v>7</v>
      </c>
      <c r="Q344" t="s">
        <v>33</v>
      </c>
      <c r="R344" t="s">
        <v>85</v>
      </c>
      <c r="S344" s="3">
        <v>0</v>
      </c>
      <c r="T344" t="s">
        <v>62</v>
      </c>
      <c r="U344" t="s">
        <v>36</v>
      </c>
      <c r="V344" t="str">
        <f t="shared" si="20"/>
        <v>2026-02</v>
      </c>
      <c r="W344" t="str">
        <f t="shared" si="21"/>
        <v>4-7 days</v>
      </c>
      <c r="X344" t="str">
        <f t="shared" si="22"/>
        <v>No Refund</v>
      </c>
      <c r="Y344" t="str">
        <f t="shared" si="23"/>
        <v>High</v>
      </c>
    </row>
    <row r="345" spans="1:25" ht="27.6">
      <c r="A345" t="s">
        <v>1193</v>
      </c>
      <c r="B345" t="s">
        <v>1194</v>
      </c>
      <c r="C345" t="s">
        <v>1195</v>
      </c>
      <c r="D345" s="2">
        <v>46128</v>
      </c>
      <c r="E345" t="s">
        <v>24</v>
      </c>
      <c r="F345" t="s">
        <v>73</v>
      </c>
      <c r="G345" s="3">
        <v>13.49</v>
      </c>
      <c r="H345" t="s">
        <v>41</v>
      </c>
      <c r="I345" t="s">
        <v>27</v>
      </c>
      <c r="J345" s="4" t="s">
        <v>75</v>
      </c>
      <c r="K345" t="s">
        <v>29</v>
      </c>
      <c r="L345" t="s">
        <v>60</v>
      </c>
      <c r="M345" t="s">
        <v>31</v>
      </c>
      <c r="N345" t="s">
        <v>32</v>
      </c>
      <c r="O345">
        <v>10</v>
      </c>
      <c r="P345">
        <v>9</v>
      </c>
      <c r="Q345" t="s">
        <v>33</v>
      </c>
      <c r="R345" t="s">
        <v>61</v>
      </c>
      <c r="S345" s="3">
        <v>6.75</v>
      </c>
      <c r="T345" t="s">
        <v>156</v>
      </c>
      <c r="U345" t="s">
        <v>63</v>
      </c>
      <c r="V345" t="str">
        <f t="shared" si="20"/>
        <v>2026-04</v>
      </c>
      <c r="W345" t="str">
        <f t="shared" si="21"/>
        <v>8-14 days</v>
      </c>
      <c r="X345" t="str">
        <f t="shared" si="22"/>
        <v>Refund Issued</v>
      </c>
      <c r="Y345" t="str">
        <f t="shared" si="23"/>
        <v>Low</v>
      </c>
    </row>
    <row r="346" spans="1:25" ht="27.6">
      <c r="A346" t="s">
        <v>1196</v>
      </c>
      <c r="B346" t="s">
        <v>1197</v>
      </c>
      <c r="C346" t="s">
        <v>1198</v>
      </c>
      <c r="D346" s="2">
        <v>46029</v>
      </c>
      <c r="E346" t="s">
        <v>40</v>
      </c>
      <c r="F346" t="s">
        <v>73</v>
      </c>
      <c r="G346" s="3">
        <v>18.829999999999998</v>
      </c>
      <c r="H346" t="s">
        <v>108</v>
      </c>
      <c r="I346" t="s">
        <v>50</v>
      </c>
      <c r="J346" s="4" t="s">
        <v>75</v>
      </c>
      <c r="K346" t="s">
        <v>33</v>
      </c>
      <c r="L346" t="s">
        <v>60</v>
      </c>
      <c r="M346" t="s">
        <v>31</v>
      </c>
      <c r="N346" t="s">
        <v>126</v>
      </c>
      <c r="O346">
        <v>10</v>
      </c>
      <c r="P346">
        <v>14</v>
      </c>
      <c r="Q346" t="s">
        <v>29</v>
      </c>
      <c r="R346" t="s">
        <v>61</v>
      </c>
      <c r="S346" s="3">
        <v>0</v>
      </c>
      <c r="T346" t="s">
        <v>52</v>
      </c>
      <c r="U346" t="s">
        <v>63</v>
      </c>
      <c r="V346" t="str">
        <f t="shared" si="20"/>
        <v>2026-01</v>
      </c>
      <c r="W346" t="str">
        <f t="shared" si="21"/>
        <v>8-14 days</v>
      </c>
      <c r="X346" t="str">
        <f t="shared" si="22"/>
        <v>No Refund</v>
      </c>
      <c r="Y346" t="str">
        <f t="shared" si="23"/>
        <v>Low</v>
      </c>
    </row>
    <row r="347" spans="1:25" ht="27.6">
      <c r="A347" t="s">
        <v>1199</v>
      </c>
      <c r="B347" t="s">
        <v>699</v>
      </c>
      <c r="C347" t="s">
        <v>1200</v>
      </c>
      <c r="D347" s="2">
        <v>46032</v>
      </c>
      <c r="E347" t="s">
        <v>47</v>
      </c>
      <c r="F347" t="s">
        <v>103</v>
      </c>
      <c r="G347" s="3">
        <v>41.79</v>
      </c>
      <c r="H347" t="s">
        <v>26</v>
      </c>
      <c r="I347" t="s">
        <v>50</v>
      </c>
      <c r="J347" s="4" t="s">
        <v>134</v>
      </c>
      <c r="K347" t="s">
        <v>29</v>
      </c>
      <c r="L347" t="s">
        <v>30</v>
      </c>
      <c r="M347" t="s">
        <v>31</v>
      </c>
      <c r="N347" t="s">
        <v>32</v>
      </c>
      <c r="O347">
        <v>5</v>
      </c>
      <c r="P347">
        <v>10</v>
      </c>
      <c r="Q347" t="s">
        <v>29</v>
      </c>
      <c r="R347" t="s">
        <v>34</v>
      </c>
      <c r="S347" s="3">
        <v>0</v>
      </c>
      <c r="T347" t="s">
        <v>35</v>
      </c>
      <c r="U347" t="s">
        <v>63</v>
      </c>
      <c r="V347" t="str">
        <f t="shared" si="20"/>
        <v>2026-01</v>
      </c>
      <c r="W347" t="str">
        <f t="shared" si="21"/>
        <v>8-14 days</v>
      </c>
      <c r="X347" t="str">
        <f t="shared" si="22"/>
        <v>No Refund</v>
      </c>
      <c r="Y347" t="str">
        <f t="shared" si="23"/>
        <v>Medium</v>
      </c>
    </row>
    <row r="348" spans="1:25" ht="27.6">
      <c r="A348" t="s">
        <v>1201</v>
      </c>
      <c r="B348" t="s">
        <v>1202</v>
      </c>
      <c r="C348" t="s">
        <v>1203</v>
      </c>
      <c r="D348" s="2">
        <v>46102</v>
      </c>
      <c r="E348" t="s">
        <v>24</v>
      </c>
      <c r="F348" t="s">
        <v>57</v>
      </c>
      <c r="G348" s="3">
        <v>52.26</v>
      </c>
      <c r="H348" t="s">
        <v>74</v>
      </c>
      <c r="I348" t="s">
        <v>27</v>
      </c>
      <c r="J348" s="4" t="s">
        <v>59</v>
      </c>
      <c r="K348" t="s">
        <v>29</v>
      </c>
      <c r="L348" t="s">
        <v>60</v>
      </c>
      <c r="M348" t="s">
        <v>31</v>
      </c>
      <c r="N348" t="s">
        <v>32</v>
      </c>
      <c r="O348">
        <v>10</v>
      </c>
      <c r="P348">
        <v>11</v>
      </c>
      <c r="Q348" t="s">
        <v>29</v>
      </c>
      <c r="R348" t="s">
        <v>61</v>
      </c>
      <c r="S348" s="3">
        <v>26.13</v>
      </c>
      <c r="T348" t="s">
        <v>52</v>
      </c>
      <c r="U348" t="s">
        <v>63</v>
      </c>
      <c r="V348" t="str">
        <f t="shared" si="20"/>
        <v>2026-03</v>
      </c>
      <c r="W348" t="str">
        <f t="shared" si="21"/>
        <v>8-14 days</v>
      </c>
      <c r="X348" t="str">
        <f t="shared" si="22"/>
        <v>Refund Issued</v>
      </c>
      <c r="Y348" t="str">
        <f t="shared" si="23"/>
        <v>Low</v>
      </c>
    </row>
    <row r="349" spans="1:25" ht="27.6">
      <c r="A349" t="s">
        <v>1204</v>
      </c>
      <c r="B349" t="s">
        <v>1205</v>
      </c>
      <c r="C349" t="s">
        <v>1206</v>
      </c>
      <c r="D349" s="2">
        <v>46075</v>
      </c>
      <c r="E349" t="s">
        <v>47</v>
      </c>
      <c r="F349" t="s">
        <v>172</v>
      </c>
      <c r="G349" s="3">
        <v>114.53</v>
      </c>
      <c r="H349" t="s">
        <v>74</v>
      </c>
      <c r="I349" t="s">
        <v>27</v>
      </c>
      <c r="J349" s="4" t="s">
        <v>173</v>
      </c>
      <c r="K349" t="s">
        <v>29</v>
      </c>
      <c r="L349" t="s">
        <v>30</v>
      </c>
      <c r="M349" t="s">
        <v>31</v>
      </c>
      <c r="N349" t="s">
        <v>32</v>
      </c>
      <c r="O349">
        <v>7</v>
      </c>
      <c r="P349">
        <v>3</v>
      </c>
      <c r="Q349" t="s">
        <v>33</v>
      </c>
      <c r="R349" t="s">
        <v>174</v>
      </c>
      <c r="S349" s="3">
        <v>57.27</v>
      </c>
      <c r="T349" t="s">
        <v>286</v>
      </c>
      <c r="U349" t="s">
        <v>36</v>
      </c>
      <c r="V349" t="str">
        <f t="shared" si="20"/>
        <v>2026-02</v>
      </c>
      <c r="W349" t="str">
        <f t="shared" si="21"/>
        <v>0-3 days</v>
      </c>
      <c r="X349" t="str">
        <f t="shared" si="22"/>
        <v>Refund Issued</v>
      </c>
      <c r="Y349" t="str">
        <f t="shared" si="23"/>
        <v>Medium</v>
      </c>
    </row>
    <row r="350" spans="1:25" ht="27.6">
      <c r="A350" t="s">
        <v>1207</v>
      </c>
      <c r="B350" t="s">
        <v>1208</v>
      </c>
      <c r="C350" t="s">
        <v>1209</v>
      </c>
      <c r="D350" s="2">
        <v>46036</v>
      </c>
      <c r="E350" t="s">
        <v>24</v>
      </c>
      <c r="F350" t="s">
        <v>82</v>
      </c>
      <c r="G350" s="3">
        <v>74.39</v>
      </c>
      <c r="H350" t="s">
        <v>108</v>
      </c>
      <c r="I350" t="s">
        <v>50</v>
      </c>
      <c r="J350" s="4" t="s">
        <v>114</v>
      </c>
      <c r="K350" t="s">
        <v>29</v>
      </c>
      <c r="L350" t="s">
        <v>30</v>
      </c>
      <c r="M350" t="s">
        <v>31</v>
      </c>
      <c r="N350" t="s">
        <v>32</v>
      </c>
      <c r="O350">
        <v>7</v>
      </c>
      <c r="P350">
        <v>4</v>
      </c>
      <c r="Q350" t="s">
        <v>33</v>
      </c>
      <c r="R350" t="s">
        <v>85</v>
      </c>
      <c r="S350" s="3">
        <v>0</v>
      </c>
      <c r="T350" t="s">
        <v>43</v>
      </c>
      <c r="U350" t="s">
        <v>36</v>
      </c>
      <c r="V350" t="str">
        <f t="shared" si="20"/>
        <v>2026-01</v>
      </c>
      <c r="W350" t="str">
        <f t="shared" si="21"/>
        <v>4-7 days</v>
      </c>
      <c r="X350" t="str">
        <f t="shared" si="22"/>
        <v>No Refund</v>
      </c>
      <c r="Y350" t="str">
        <f t="shared" si="23"/>
        <v>High</v>
      </c>
    </row>
    <row r="351" spans="1:25" ht="27.6">
      <c r="A351" t="s">
        <v>1210</v>
      </c>
      <c r="B351" t="s">
        <v>1211</v>
      </c>
      <c r="C351" t="s">
        <v>1212</v>
      </c>
      <c r="D351" s="2">
        <v>46142</v>
      </c>
      <c r="E351" t="s">
        <v>24</v>
      </c>
      <c r="F351" t="s">
        <v>118</v>
      </c>
      <c r="G351" s="3">
        <v>99.67</v>
      </c>
      <c r="H351" t="s">
        <v>108</v>
      </c>
      <c r="I351" t="s">
        <v>27</v>
      </c>
      <c r="J351" s="4" t="s">
        <v>119</v>
      </c>
      <c r="K351" t="s">
        <v>33</v>
      </c>
      <c r="L351" t="s">
        <v>120</v>
      </c>
      <c r="M351" t="s">
        <v>96</v>
      </c>
      <c r="N351" t="s">
        <v>126</v>
      </c>
      <c r="O351">
        <v>5</v>
      </c>
      <c r="P351">
        <v>1</v>
      </c>
      <c r="Q351" t="s">
        <v>33</v>
      </c>
      <c r="R351" t="s">
        <v>85</v>
      </c>
      <c r="S351" s="3">
        <v>0</v>
      </c>
      <c r="T351" t="s">
        <v>121</v>
      </c>
      <c r="U351" t="s">
        <v>36</v>
      </c>
      <c r="V351" t="str">
        <f t="shared" si="20"/>
        <v>2026-04</v>
      </c>
      <c r="W351" t="str">
        <f t="shared" si="21"/>
        <v>0-3 days</v>
      </c>
      <c r="X351" t="str">
        <f t="shared" si="22"/>
        <v>No Refund</v>
      </c>
      <c r="Y351" t="str">
        <f t="shared" si="23"/>
        <v>High</v>
      </c>
    </row>
    <row r="352" spans="1:25" ht="27.6">
      <c r="A352" t="s">
        <v>1213</v>
      </c>
      <c r="B352" t="s">
        <v>1214</v>
      </c>
      <c r="C352" t="s">
        <v>1215</v>
      </c>
      <c r="D352" s="2">
        <v>46107</v>
      </c>
      <c r="E352" t="s">
        <v>40</v>
      </c>
      <c r="F352" t="s">
        <v>73</v>
      </c>
      <c r="G352" s="3">
        <v>37.700000000000003</v>
      </c>
      <c r="H352" t="s">
        <v>108</v>
      </c>
      <c r="I352" t="s">
        <v>27</v>
      </c>
      <c r="J352" s="4" t="s">
        <v>75</v>
      </c>
      <c r="K352" t="s">
        <v>29</v>
      </c>
      <c r="L352" t="s">
        <v>60</v>
      </c>
      <c r="M352" t="s">
        <v>31</v>
      </c>
      <c r="N352" t="s">
        <v>32</v>
      </c>
      <c r="O352">
        <v>10</v>
      </c>
      <c r="P352">
        <v>10</v>
      </c>
      <c r="Q352" t="s">
        <v>33</v>
      </c>
      <c r="R352" t="s">
        <v>61</v>
      </c>
      <c r="S352" s="3">
        <v>28.28</v>
      </c>
      <c r="T352" t="s">
        <v>156</v>
      </c>
      <c r="U352" t="s">
        <v>63</v>
      </c>
      <c r="V352" t="str">
        <f t="shared" si="20"/>
        <v>2026-03</v>
      </c>
      <c r="W352" t="str">
        <f t="shared" si="21"/>
        <v>8-14 days</v>
      </c>
      <c r="X352" t="str">
        <f t="shared" si="22"/>
        <v>Refund Issued</v>
      </c>
      <c r="Y352" t="str">
        <f t="shared" si="23"/>
        <v>Low</v>
      </c>
    </row>
    <row r="353" spans="1:25" ht="27.6">
      <c r="A353" t="s">
        <v>1216</v>
      </c>
      <c r="B353" t="s">
        <v>1217</v>
      </c>
      <c r="C353" t="s">
        <v>1218</v>
      </c>
      <c r="D353" s="2">
        <v>46041</v>
      </c>
      <c r="E353" t="s">
        <v>40</v>
      </c>
      <c r="F353" t="s">
        <v>172</v>
      </c>
      <c r="G353" s="3">
        <v>31.61</v>
      </c>
      <c r="H353" t="s">
        <v>89</v>
      </c>
      <c r="I353" t="s">
        <v>27</v>
      </c>
      <c r="J353" s="4" t="s">
        <v>285</v>
      </c>
      <c r="K353" t="s">
        <v>29</v>
      </c>
      <c r="L353" t="s">
        <v>30</v>
      </c>
      <c r="M353" t="s">
        <v>31</v>
      </c>
      <c r="N353" t="s">
        <v>32</v>
      </c>
      <c r="O353">
        <v>7</v>
      </c>
      <c r="P353">
        <v>10</v>
      </c>
      <c r="Q353" t="s">
        <v>29</v>
      </c>
      <c r="R353" t="s">
        <v>174</v>
      </c>
      <c r="S353" s="3">
        <v>31.61</v>
      </c>
      <c r="T353" t="s">
        <v>286</v>
      </c>
      <c r="U353" t="s">
        <v>63</v>
      </c>
      <c r="V353" t="str">
        <f t="shared" si="20"/>
        <v>2026-01</v>
      </c>
      <c r="W353" t="str">
        <f t="shared" si="21"/>
        <v>8-14 days</v>
      </c>
      <c r="X353" t="str">
        <f t="shared" si="22"/>
        <v>Refund Issued</v>
      </c>
      <c r="Y353" t="str">
        <f t="shared" si="23"/>
        <v>Medium</v>
      </c>
    </row>
    <row r="354" spans="1:25" ht="27.6">
      <c r="A354" t="s">
        <v>1219</v>
      </c>
      <c r="B354" t="s">
        <v>1220</v>
      </c>
      <c r="C354" t="s">
        <v>1221</v>
      </c>
      <c r="D354" s="2">
        <v>46110</v>
      </c>
      <c r="E354" t="s">
        <v>47</v>
      </c>
      <c r="F354" t="s">
        <v>118</v>
      </c>
      <c r="G354" s="3">
        <v>52.31</v>
      </c>
      <c r="H354" t="s">
        <v>58</v>
      </c>
      <c r="I354" t="s">
        <v>50</v>
      </c>
      <c r="J354" s="4" t="s">
        <v>1222</v>
      </c>
      <c r="K354" t="s">
        <v>29</v>
      </c>
      <c r="L354" t="s">
        <v>120</v>
      </c>
      <c r="M354" t="s">
        <v>96</v>
      </c>
      <c r="N354" t="s">
        <v>32</v>
      </c>
      <c r="O354">
        <v>5</v>
      </c>
      <c r="P354">
        <v>1</v>
      </c>
      <c r="Q354" t="s">
        <v>33</v>
      </c>
      <c r="R354" t="s">
        <v>85</v>
      </c>
      <c r="S354" s="3">
        <v>52.31</v>
      </c>
      <c r="T354" t="s">
        <v>121</v>
      </c>
      <c r="U354" t="s">
        <v>36</v>
      </c>
      <c r="V354" t="str">
        <f t="shared" si="20"/>
        <v>2026-03</v>
      </c>
      <c r="W354" t="str">
        <f t="shared" si="21"/>
        <v>0-3 days</v>
      </c>
      <c r="X354" t="str">
        <f t="shared" si="22"/>
        <v>Refund Issued</v>
      </c>
      <c r="Y354" t="str">
        <f t="shared" si="23"/>
        <v>High</v>
      </c>
    </row>
    <row r="355" spans="1:25" ht="27.6">
      <c r="A355" t="s">
        <v>1223</v>
      </c>
      <c r="B355" t="s">
        <v>1224</v>
      </c>
      <c r="C355" t="s">
        <v>1225</v>
      </c>
      <c r="D355" s="2">
        <v>46040</v>
      </c>
      <c r="E355" t="s">
        <v>47</v>
      </c>
      <c r="F355" t="s">
        <v>103</v>
      </c>
      <c r="G355" s="3">
        <v>88.27</v>
      </c>
      <c r="H355" t="s">
        <v>41</v>
      </c>
      <c r="I355" t="s">
        <v>50</v>
      </c>
      <c r="J355" s="4" t="s">
        <v>134</v>
      </c>
      <c r="K355" t="s">
        <v>29</v>
      </c>
      <c r="L355" t="s">
        <v>30</v>
      </c>
      <c r="M355" t="s">
        <v>31</v>
      </c>
      <c r="N355" t="s">
        <v>32</v>
      </c>
      <c r="O355">
        <v>5</v>
      </c>
      <c r="P355">
        <v>4</v>
      </c>
      <c r="Q355" t="s">
        <v>33</v>
      </c>
      <c r="R355" t="s">
        <v>34</v>
      </c>
      <c r="S355" s="3">
        <v>88.27</v>
      </c>
      <c r="T355" t="s">
        <v>35</v>
      </c>
      <c r="U355" t="s">
        <v>53</v>
      </c>
      <c r="V355" t="str">
        <f t="shared" si="20"/>
        <v>2026-01</v>
      </c>
      <c r="W355" t="str">
        <f t="shared" si="21"/>
        <v>4-7 days</v>
      </c>
      <c r="X355" t="str">
        <f t="shared" si="22"/>
        <v>Refund Issued</v>
      </c>
      <c r="Y355" t="str">
        <f t="shared" si="23"/>
        <v>Medium</v>
      </c>
    </row>
    <row r="356" spans="1:25" ht="27.6">
      <c r="A356" t="s">
        <v>1226</v>
      </c>
      <c r="B356" t="s">
        <v>1227</v>
      </c>
      <c r="C356" t="s">
        <v>1228</v>
      </c>
      <c r="D356" s="2">
        <v>46159</v>
      </c>
      <c r="E356" t="s">
        <v>24</v>
      </c>
      <c r="F356" t="s">
        <v>172</v>
      </c>
      <c r="G356" s="3">
        <v>36.71</v>
      </c>
      <c r="H356" t="s">
        <v>41</v>
      </c>
      <c r="I356" t="s">
        <v>27</v>
      </c>
      <c r="J356" s="4" t="s">
        <v>285</v>
      </c>
      <c r="K356" t="s">
        <v>33</v>
      </c>
      <c r="L356" t="s">
        <v>30</v>
      </c>
      <c r="M356" t="s">
        <v>31</v>
      </c>
      <c r="N356" t="s">
        <v>32</v>
      </c>
      <c r="O356">
        <v>7</v>
      </c>
      <c r="P356">
        <v>8</v>
      </c>
      <c r="Q356" t="s">
        <v>29</v>
      </c>
      <c r="R356" t="s">
        <v>174</v>
      </c>
      <c r="S356" s="3">
        <v>0</v>
      </c>
      <c r="T356" t="s">
        <v>110</v>
      </c>
      <c r="U356" t="s">
        <v>63</v>
      </c>
      <c r="V356" t="str">
        <f t="shared" si="20"/>
        <v>2026-05</v>
      </c>
      <c r="W356" t="str">
        <f t="shared" si="21"/>
        <v>8-14 days</v>
      </c>
      <c r="X356" t="str">
        <f t="shared" si="22"/>
        <v>No Refund</v>
      </c>
      <c r="Y356" t="str">
        <f t="shared" si="23"/>
        <v>Medium</v>
      </c>
    </row>
    <row r="357" spans="1:25" ht="27.6">
      <c r="A357" t="s">
        <v>1229</v>
      </c>
      <c r="B357" t="s">
        <v>1230</v>
      </c>
      <c r="C357" t="s">
        <v>1231</v>
      </c>
      <c r="D357" s="2">
        <v>46025</v>
      </c>
      <c r="E357" t="s">
        <v>47</v>
      </c>
      <c r="F357" t="s">
        <v>172</v>
      </c>
      <c r="G357" s="3">
        <v>18.3</v>
      </c>
      <c r="H357" t="s">
        <v>26</v>
      </c>
      <c r="I357" t="s">
        <v>27</v>
      </c>
      <c r="J357" s="4" t="s">
        <v>285</v>
      </c>
      <c r="K357" t="s">
        <v>29</v>
      </c>
      <c r="L357" t="s">
        <v>30</v>
      </c>
      <c r="M357" t="s">
        <v>31</v>
      </c>
      <c r="N357" t="s">
        <v>32</v>
      </c>
      <c r="O357">
        <v>7</v>
      </c>
      <c r="P357">
        <v>14</v>
      </c>
      <c r="Q357" t="s">
        <v>29</v>
      </c>
      <c r="R357" t="s">
        <v>174</v>
      </c>
      <c r="S357" s="3">
        <v>0</v>
      </c>
      <c r="T357" t="s">
        <v>286</v>
      </c>
      <c r="U357" t="s">
        <v>63</v>
      </c>
      <c r="V357" t="str">
        <f t="shared" si="20"/>
        <v>2026-01</v>
      </c>
      <c r="W357" t="str">
        <f t="shared" si="21"/>
        <v>8-14 days</v>
      </c>
      <c r="X357" t="str">
        <f t="shared" si="22"/>
        <v>No Refund</v>
      </c>
      <c r="Y357" t="str">
        <f t="shared" si="23"/>
        <v>Medium</v>
      </c>
    </row>
    <row r="358" spans="1:25" ht="27.6">
      <c r="A358" t="s">
        <v>1232</v>
      </c>
      <c r="B358" t="s">
        <v>1233</v>
      </c>
      <c r="C358" t="s">
        <v>1234</v>
      </c>
      <c r="D358" s="2">
        <v>46162</v>
      </c>
      <c r="E358" t="s">
        <v>24</v>
      </c>
      <c r="F358" t="s">
        <v>25</v>
      </c>
      <c r="G358" s="3">
        <v>12.38</v>
      </c>
      <c r="H358" t="s">
        <v>49</v>
      </c>
      <c r="I358" t="s">
        <v>67</v>
      </c>
      <c r="J358" s="4" t="s">
        <v>1235</v>
      </c>
      <c r="K358" t="s">
        <v>33</v>
      </c>
      <c r="L358" t="s">
        <v>30</v>
      </c>
      <c r="M358" t="s">
        <v>31</v>
      </c>
      <c r="N358" t="s">
        <v>32</v>
      </c>
      <c r="O358">
        <v>5</v>
      </c>
      <c r="P358">
        <v>7</v>
      </c>
      <c r="Q358" t="s">
        <v>29</v>
      </c>
      <c r="R358" t="s">
        <v>34</v>
      </c>
      <c r="S358" s="3">
        <v>12.38</v>
      </c>
      <c r="T358" t="s">
        <v>110</v>
      </c>
      <c r="U358" t="s">
        <v>63</v>
      </c>
      <c r="V358" t="str">
        <f t="shared" si="20"/>
        <v>2026-05</v>
      </c>
      <c r="W358" t="str">
        <f t="shared" si="21"/>
        <v>4-7 days</v>
      </c>
      <c r="X358" t="str">
        <f t="shared" si="22"/>
        <v>Refund Issued</v>
      </c>
      <c r="Y358" t="str">
        <f t="shared" si="23"/>
        <v>High</v>
      </c>
    </row>
    <row r="359" spans="1:25" ht="27.6">
      <c r="A359" t="s">
        <v>1236</v>
      </c>
      <c r="B359" t="s">
        <v>1237</v>
      </c>
      <c r="C359" t="s">
        <v>1238</v>
      </c>
      <c r="D359" s="2">
        <v>46147</v>
      </c>
      <c r="E359" t="s">
        <v>40</v>
      </c>
      <c r="F359" t="s">
        <v>48</v>
      </c>
      <c r="G359" s="3">
        <v>21.85</v>
      </c>
      <c r="H359" t="s">
        <v>49</v>
      </c>
      <c r="I359" t="s">
        <v>27</v>
      </c>
      <c r="J359" s="4" t="s">
        <v>68</v>
      </c>
      <c r="K359" t="s">
        <v>29</v>
      </c>
      <c r="L359" t="s">
        <v>30</v>
      </c>
      <c r="M359" t="s">
        <v>31</v>
      </c>
      <c r="N359" t="s">
        <v>32</v>
      </c>
      <c r="O359">
        <v>10</v>
      </c>
      <c r="P359">
        <v>11</v>
      </c>
      <c r="Q359" t="s">
        <v>29</v>
      </c>
      <c r="R359" t="s">
        <v>34</v>
      </c>
      <c r="S359" s="3">
        <v>10.93</v>
      </c>
      <c r="T359" t="s">
        <v>62</v>
      </c>
      <c r="U359" t="s">
        <v>63</v>
      </c>
      <c r="V359" t="str">
        <f t="shared" si="20"/>
        <v>2026-05</v>
      </c>
      <c r="W359" t="str">
        <f t="shared" si="21"/>
        <v>8-14 days</v>
      </c>
      <c r="X359" t="str">
        <f t="shared" si="22"/>
        <v>Refund Issued</v>
      </c>
      <c r="Y359" t="str">
        <f t="shared" si="23"/>
        <v>Low</v>
      </c>
    </row>
    <row r="360" spans="1:25" ht="27.6">
      <c r="A360" t="s">
        <v>1239</v>
      </c>
      <c r="B360" t="s">
        <v>158</v>
      </c>
      <c r="C360" t="s">
        <v>1240</v>
      </c>
      <c r="D360" s="2">
        <v>46164</v>
      </c>
      <c r="E360" t="s">
        <v>40</v>
      </c>
      <c r="F360" t="s">
        <v>82</v>
      </c>
      <c r="G360" s="3">
        <v>20.18</v>
      </c>
      <c r="H360" t="s">
        <v>26</v>
      </c>
      <c r="I360" t="s">
        <v>50</v>
      </c>
      <c r="J360" s="4" t="s">
        <v>1241</v>
      </c>
      <c r="K360" t="s">
        <v>33</v>
      </c>
      <c r="L360" t="s">
        <v>30</v>
      </c>
      <c r="M360" t="s">
        <v>31</v>
      </c>
      <c r="N360" t="s">
        <v>126</v>
      </c>
      <c r="O360">
        <v>7</v>
      </c>
      <c r="P360">
        <v>8</v>
      </c>
      <c r="Q360" t="s">
        <v>29</v>
      </c>
      <c r="R360" t="s">
        <v>85</v>
      </c>
      <c r="S360" s="3">
        <v>0</v>
      </c>
      <c r="T360" t="s">
        <v>43</v>
      </c>
      <c r="U360" t="s">
        <v>63</v>
      </c>
      <c r="V360" t="str">
        <f t="shared" si="20"/>
        <v>2026-05</v>
      </c>
      <c r="W360" t="str">
        <f t="shared" si="21"/>
        <v>8-14 days</v>
      </c>
      <c r="X360" t="str">
        <f t="shared" si="22"/>
        <v>No Refund</v>
      </c>
      <c r="Y360" t="str">
        <f t="shared" si="23"/>
        <v>High</v>
      </c>
    </row>
    <row r="361" spans="1:25" ht="27.6">
      <c r="A361" t="s">
        <v>1242</v>
      </c>
      <c r="B361" t="s">
        <v>1243</v>
      </c>
      <c r="C361" t="s">
        <v>1244</v>
      </c>
      <c r="D361" s="2">
        <v>46168</v>
      </c>
      <c r="E361" t="s">
        <v>47</v>
      </c>
      <c r="F361" t="s">
        <v>82</v>
      </c>
      <c r="G361" s="3">
        <v>861.86</v>
      </c>
      <c r="H361" t="s">
        <v>26</v>
      </c>
      <c r="I361" t="s">
        <v>27</v>
      </c>
      <c r="J361" s="4" t="s">
        <v>114</v>
      </c>
      <c r="K361" t="s">
        <v>33</v>
      </c>
      <c r="L361" t="s">
        <v>60</v>
      </c>
      <c r="M361" t="s">
        <v>31</v>
      </c>
      <c r="N361" t="s">
        <v>32</v>
      </c>
      <c r="O361">
        <v>7</v>
      </c>
      <c r="P361">
        <v>9</v>
      </c>
      <c r="Q361" t="s">
        <v>29</v>
      </c>
      <c r="R361" t="s">
        <v>85</v>
      </c>
      <c r="S361" s="3">
        <v>861.86</v>
      </c>
      <c r="T361" t="s">
        <v>69</v>
      </c>
      <c r="U361" t="s">
        <v>63</v>
      </c>
      <c r="V361" t="str">
        <f t="shared" si="20"/>
        <v>2026-05</v>
      </c>
      <c r="W361" t="str">
        <f t="shared" si="21"/>
        <v>8-14 days</v>
      </c>
      <c r="X361" t="str">
        <f t="shared" si="22"/>
        <v>Refund Issued</v>
      </c>
      <c r="Y361" t="str">
        <f t="shared" si="23"/>
        <v>High</v>
      </c>
    </row>
    <row r="362" spans="1:25" ht="27.6">
      <c r="A362" t="s">
        <v>1245</v>
      </c>
      <c r="B362" t="s">
        <v>1246</v>
      </c>
      <c r="C362" t="s">
        <v>1247</v>
      </c>
      <c r="D362" s="2">
        <v>46042</v>
      </c>
      <c r="E362" t="s">
        <v>40</v>
      </c>
      <c r="F362" t="s">
        <v>172</v>
      </c>
      <c r="G362" s="3">
        <v>54.6</v>
      </c>
      <c r="H362" t="s">
        <v>41</v>
      </c>
      <c r="I362" t="s">
        <v>50</v>
      </c>
      <c r="J362" s="4" t="s">
        <v>173</v>
      </c>
      <c r="K362" t="s">
        <v>29</v>
      </c>
      <c r="L362" t="s">
        <v>30</v>
      </c>
      <c r="M362" t="s">
        <v>31</v>
      </c>
      <c r="N362" t="s">
        <v>32</v>
      </c>
      <c r="O362">
        <v>7</v>
      </c>
      <c r="P362">
        <v>4</v>
      </c>
      <c r="Q362" t="s">
        <v>33</v>
      </c>
      <c r="R362" t="s">
        <v>174</v>
      </c>
      <c r="S362" s="3">
        <v>40.950000000000003</v>
      </c>
      <c r="T362" t="s">
        <v>286</v>
      </c>
      <c r="U362" t="s">
        <v>36</v>
      </c>
      <c r="V362" t="str">
        <f t="shared" si="20"/>
        <v>2026-01</v>
      </c>
      <c r="W362" t="str">
        <f t="shared" si="21"/>
        <v>4-7 days</v>
      </c>
      <c r="X362" t="str">
        <f t="shared" si="22"/>
        <v>Refund Issued</v>
      </c>
      <c r="Y362" t="str">
        <f t="shared" si="23"/>
        <v>Medium</v>
      </c>
    </row>
    <row r="363" spans="1:25" ht="27.6">
      <c r="A363" t="s">
        <v>1248</v>
      </c>
      <c r="B363" t="s">
        <v>1249</v>
      </c>
      <c r="C363" t="s">
        <v>1250</v>
      </c>
      <c r="D363" s="2">
        <v>46100</v>
      </c>
      <c r="E363" t="s">
        <v>40</v>
      </c>
      <c r="F363" t="s">
        <v>172</v>
      </c>
      <c r="G363" s="3">
        <v>12.01</v>
      </c>
      <c r="H363" t="s">
        <v>74</v>
      </c>
      <c r="I363" t="s">
        <v>50</v>
      </c>
      <c r="J363" s="4" t="s">
        <v>285</v>
      </c>
      <c r="K363" t="s">
        <v>33</v>
      </c>
      <c r="L363" t="s">
        <v>30</v>
      </c>
      <c r="M363" t="s">
        <v>31</v>
      </c>
      <c r="N363" t="s">
        <v>126</v>
      </c>
      <c r="O363">
        <v>7</v>
      </c>
      <c r="P363">
        <v>7</v>
      </c>
      <c r="Q363" t="s">
        <v>33</v>
      </c>
      <c r="R363" t="s">
        <v>174</v>
      </c>
      <c r="S363" s="3">
        <v>0</v>
      </c>
      <c r="T363" t="s">
        <v>286</v>
      </c>
      <c r="U363" t="s">
        <v>53</v>
      </c>
      <c r="V363" t="str">
        <f t="shared" si="20"/>
        <v>2026-03</v>
      </c>
      <c r="W363" t="str">
        <f t="shared" si="21"/>
        <v>4-7 days</v>
      </c>
      <c r="X363" t="str">
        <f t="shared" si="22"/>
        <v>No Refund</v>
      </c>
      <c r="Y363" t="str">
        <f t="shared" si="23"/>
        <v>Medium</v>
      </c>
    </row>
    <row r="364" spans="1:25" ht="27.6">
      <c r="A364" t="s">
        <v>1251</v>
      </c>
      <c r="B364" t="s">
        <v>1252</v>
      </c>
      <c r="C364" t="s">
        <v>1253</v>
      </c>
      <c r="D364" s="2">
        <v>46055</v>
      </c>
      <c r="E364" t="s">
        <v>47</v>
      </c>
      <c r="F364" t="s">
        <v>73</v>
      </c>
      <c r="G364" s="3">
        <v>27.84</v>
      </c>
      <c r="H364" t="s">
        <v>41</v>
      </c>
      <c r="I364" t="s">
        <v>27</v>
      </c>
      <c r="J364" s="4" t="s">
        <v>389</v>
      </c>
      <c r="K364" t="s">
        <v>29</v>
      </c>
      <c r="L364" t="s">
        <v>60</v>
      </c>
      <c r="M364" t="s">
        <v>31</v>
      </c>
      <c r="N364" t="s">
        <v>32</v>
      </c>
      <c r="O364">
        <v>10</v>
      </c>
      <c r="P364">
        <v>12</v>
      </c>
      <c r="Q364" t="s">
        <v>29</v>
      </c>
      <c r="R364" t="s">
        <v>61</v>
      </c>
      <c r="S364" s="3">
        <v>20.88</v>
      </c>
      <c r="T364" t="s">
        <v>62</v>
      </c>
      <c r="U364" t="s">
        <v>63</v>
      </c>
      <c r="V364" t="str">
        <f t="shared" si="20"/>
        <v>2026-02</v>
      </c>
      <c r="W364" t="str">
        <f t="shared" si="21"/>
        <v>8-14 days</v>
      </c>
      <c r="X364" t="str">
        <f t="shared" si="22"/>
        <v>Refund Issued</v>
      </c>
      <c r="Y364" t="str">
        <f t="shared" si="23"/>
        <v>Low</v>
      </c>
    </row>
    <row r="365" spans="1:25" ht="27.6">
      <c r="A365" t="s">
        <v>1254</v>
      </c>
      <c r="B365" t="s">
        <v>1255</v>
      </c>
      <c r="C365" t="s">
        <v>1256</v>
      </c>
      <c r="D365" s="2">
        <v>46083</v>
      </c>
      <c r="E365" t="s">
        <v>47</v>
      </c>
      <c r="F365" t="s">
        <v>57</v>
      </c>
      <c r="G365" s="3">
        <v>90.31</v>
      </c>
      <c r="H365" t="s">
        <v>26</v>
      </c>
      <c r="I365" t="s">
        <v>67</v>
      </c>
      <c r="J365" s="4" t="s">
        <v>155</v>
      </c>
      <c r="K365" t="s">
        <v>29</v>
      </c>
      <c r="L365" t="s">
        <v>60</v>
      </c>
      <c r="M365" t="s">
        <v>31</v>
      </c>
      <c r="N365" t="s">
        <v>90</v>
      </c>
      <c r="O365">
        <v>10</v>
      </c>
      <c r="P365">
        <v>12</v>
      </c>
      <c r="Q365" t="s">
        <v>29</v>
      </c>
      <c r="R365" t="s">
        <v>61</v>
      </c>
      <c r="S365" s="3">
        <v>0</v>
      </c>
      <c r="T365" t="s">
        <v>156</v>
      </c>
      <c r="U365" t="s">
        <v>63</v>
      </c>
      <c r="V365" t="str">
        <f t="shared" si="20"/>
        <v>2026-03</v>
      </c>
      <c r="W365" t="str">
        <f t="shared" si="21"/>
        <v>8-14 days</v>
      </c>
      <c r="X365" t="str">
        <f t="shared" si="22"/>
        <v>No Refund</v>
      </c>
      <c r="Y365" t="str">
        <f t="shared" si="23"/>
        <v>Low</v>
      </c>
    </row>
    <row r="366" spans="1:25" ht="27.6">
      <c r="A366" t="s">
        <v>1257</v>
      </c>
      <c r="B366" t="s">
        <v>1258</v>
      </c>
      <c r="C366" t="s">
        <v>1259</v>
      </c>
      <c r="D366" s="2">
        <v>46135</v>
      </c>
      <c r="E366" t="s">
        <v>40</v>
      </c>
      <c r="F366" t="s">
        <v>25</v>
      </c>
      <c r="G366" s="3">
        <v>82.84</v>
      </c>
      <c r="H366" t="s">
        <v>26</v>
      </c>
      <c r="I366" t="s">
        <v>50</v>
      </c>
      <c r="J366" s="4" t="s">
        <v>1260</v>
      </c>
      <c r="K366" t="s">
        <v>33</v>
      </c>
      <c r="L366" t="s">
        <v>30</v>
      </c>
      <c r="M366" t="s">
        <v>31</v>
      </c>
      <c r="N366" t="s">
        <v>32</v>
      </c>
      <c r="O366">
        <v>5</v>
      </c>
      <c r="P366">
        <v>12</v>
      </c>
      <c r="Q366" t="s">
        <v>29</v>
      </c>
      <c r="R366" t="s">
        <v>34</v>
      </c>
      <c r="S366" s="3">
        <v>82.84</v>
      </c>
      <c r="T366" t="s">
        <v>110</v>
      </c>
      <c r="U366" t="s">
        <v>63</v>
      </c>
      <c r="V366" t="str">
        <f t="shared" si="20"/>
        <v>2026-04</v>
      </c>
      <c r="W366" t="str">
        <f t="shared" si="21"/>
        <v>8-14 days</v>
      </c>
      <c r="X366" t="str">
        <f t="shared" si="22"/>
        <v>Refund Issued</v>
      </c>
      <c r="Y366" t="str">
        <f t="shared" si="23"/>
        <v>High</v>
      </c>
    </row>
    <row r="367" spans="1:25" ht="27.6">
      <c r="A367" t="s">
        <v>1261</v>
      </c>
      <c r="B367" t="s">
        <v>1262</v>
      </c>
      <c r="C367" t="s">
        <v>1263</v>
      </c>
      <c r="D367" s="2">
        <v>46122</v>
      </c>
      <c r="E367" t="s">
        <v>47</v>
      </c>
      <c r="F367" t="s">
        <v>25</v>
      </c>
      <c r="G367" s="3">
        <v>125.24</v>
      </c>
      <c r="H367" t="s">
        <v>58</v>
      </c>
      <c r="I367" t="s">
        <v>27</v>
      </c>
      <c r="J367" s="4" t="s">
        <v>42</v>
      </c>
      <c r="K367" t="s">
        <v>29</v>
      </c>
      <c r="L367" t="s">
        <v>30</v>
      </c>
      <c r="M367" t="s">
        <v>31</v>
      </c>
      <c r="N367" t="s">
        <v>32</v>
      </c>
      <c r="O367">
        <v>5</v>
      </c>
      <c r="P367">
        <v>7</v>
      </c>
      <c r="Q367" t="s">
        <v>29</v>
      </c>
      <c r="R367" t="s">
        <v>34</v>
      </c>
      <c r="S367" s="3">
        <v>93.93</v>
      </c>
      <c r="T367" t="s">
        <v>110</v>
      </c>
      <c r="U367" t="s">
        <v>63</v>
      </c>
      <c r="V367" t="str">
        <f t="shared" si="20"/>
        <v>2026-04</v>
      </c>
      <c r="W367" t="str">
        <f t="shared" si="21"/>
        <v>4-7 days</v>
      </c>
      <c r="X367" t="str">
        <f t="shared" si="22"/>
        <v>Refund Issued</v>
      </c>
      <c r="Y367" t="str">
        <f t="shared" si="23"/>
        <v>High</v>
      </c>
    </row>
    <row r="368" spans="1:25" ht="27.6">
      <c r="A368" t="s">
        <v>1264</v>
      </c>
      <c r="B368" t="s">
        <v>1265</v>
      </c>
      <c r="C368" t="s">
        <v>1266</v>
      </c>
      <c r="D368" s="2">
        <v>46092</v>
      </c>
      <c r="E368" t="s">
        <v>24</v>
      </c>
      <c r="F368" t="s">
        <v>25</v>
      </c>
      <c r="G368" s="3">
        <v>58.54</v>
      </c>
      <c r="H368" t="s">
        <v>49</v>
      </c>
      <c r="I368" t="s">
        <v>50</v>
      </c>
      <c r="J368" s="4" t="s">
        <v>42</v>
      </c>
      <c r="K368" t="s">
        <v>29</v>
      </c>
      <c r="L368" t="s">
        <v>30</v>
      </c>
      <c r="M368" t="s">
        <v>96</v>
      </c>
      <c r="N368" t="s">
        <v>32</v>
      </c>
      <c r="O368">
        <v>5</v>
      </c>
      <c r="P368">
        <v>4</v>
      </c>
      <c r="Q368" t="s">
        <v>33</v>
      </c>
      <c r="R368" t="s">
        <v>34</v>
      </c>
      <c r="S368" s="3">
        <v>58.54</v>
      </c>
      <c r="T368" t="s">
        <v>35</v>
      </c>
      <c r="U368" t="s">
        <v>53</v>
      </c>
      <c r="V368" t="str">
        <f t="shared" si="20"/>
        <v>2026-03</v>
      </c>
      <c r="W368" t="str">
        <f t="shared" si="21"/>
        <v>4-7 days</v>
      </c>
      <c r="X368" t="str">
        <f t="shared" si="22"/>
        <v>Refund Issued</v>
      </c>
      <c r="Y368" t="str">
        <f t="shared" si="23"/>
        <v>High</v>
      </c>
    </row>
    <row r="369" spans="1:25" ht="27.6">
      <c r="A369" t="s">
        <v>1267</v>
      </c>
      <c r="B369" t="s">
        <v>1268</v>
      </c>
      <c r="C369" t="s">
        <v>1269</v>
      </c>
      <c r="D369" s="2">
        <v>46025</v>
      </c>
      <c r="E369" t="s">
        <v>40</v>
      </c>
      <c r="F369" t="s">
        <v>25</v>
      </c>
      <c r="G369" s="3">
        <v>36.56</v>
      </c>
      <c r="H369" t="s">
        <v>41</v>
      </c>
      <c r="I369" t="s">
        <v>27</v>
      </c>
      <c r="J369" s="4" t="s">
        <v>1270</v>
      </c>
      <c r="K369" t="s">
        <v>29</v>
      </c>
      <c r="L369" t="s">
        <v>30</v>
      </c>
      <c r="M369" t="s">
        <v>31</v>
      </c>
      <c r="N369" t="s">
        <v>32</v>
      </c>
      <c r="O369">
        <v>5</v>
      </c>
      <c r="P369">
        <v>4</v>
      </c>
      <c r="Q369" t="s">
        <v>33</v>
      </c>
      <c r="R369" t="s">
        <v>34</v>
      </c>
      <c r="S369" s="3">
        <v>0</v>
      </c>
      <c r="T369" t="s">
        <v>35</v>
      </c>
      <c r="U369" t="s">
        <v>53</v>
      </c>
      <c r="V369" t="str">
        <f t="shared" si="20"/>
        <v>2026-01</v>
      </c>
      <c r="W369" t="str">
        <f t="shared" si="21"/>
        <v>4-7 days</v>
      </c>
      <c r="X369" t="str">
        <f t="shared" si="22"/>
        <v>No Refund</v>
      </c>
      <c r="Y369" t="str">
        <f t="shared" si="23"/>
        <v>High</v>
      </c>
    </row>
    <row r="370" spans="1:25" ht="27.6">
      <c r="A370" t="s">
        <v>1271</v>
      </c>
      <c r="B370" t="s">
        <v>1272</v>
      </c>
      <c r="C370" t="s">
        <v>1273</v>
      </c>
      <c r="D370" s="2">
        <v>46056</v>
      </c>
      <c r="E370" t="s">
        <v>24</v>
      </c>
      <c r="F370" t="s">
        <v>57</v>
      </c>
      <c r="G370" s="3">
        <v>121.02</v>
      </c>
      <c r="H370" t="s">
        <v>74</v>
      </c>
      <c r="I370" t="s">
        <v>67</v>
      </c>
      <c r="J370" s="4" t="s">
        <v>155</v>
      </c>
      <c r="K370" t="s">
        <v>29</v>
      </c>
      <c r="L370" t="s">
        <v>60</v>
      </c>
      <c r="M370" t="s">
        <v>31</v>
      </c>
      <c r="N370" t="s">
        <v>32</v>
      </c>
      <c r="O370">
        <v>10</v>
      </c>
      <c r="P370">
        <v>9</v>
      </c>
      <c r="Q370" t="s">
        <v>33</v>
      </c>
      <c r="R370" t="s">
        <v>61</v>
      </c>
      <c r="S370" s="3">
        <v>90.77</v>
      </c>
      <c r="T370" t="s">
        <v>52</v>
      </c>
      <c r="U370" t="s">
        <v>63</v>
      </c>
      <c r="V370" t="str">
        <f t="shared" si="20"/>
        <v>2026-02</v>
      </c>
      <c r="W370" t="str">
        <f t="shared" si="21"/>
        <v>8-14 days</v>
      </c>
      <c r="X370" t="str">
        <f t="shared" si="22"/>
        <v>Refund Issued</v>
      </c>
      <c r="Y370" t="str">
        <f t="shared" si="23"/>
        <v>Low</v>
      </c>
    </row>
    <row r="371" spans="1:25" ht="27.6">
      <c r="A371" t="s">
        <v>1274</v>
      </c>
      <c r="B371" t="s">
        <v>1275</v>
      </c>
      <c r="C371" t="s">
        <v>1276</v>
      </c>
      <c r="D371" s="2">
        <v>46064</v>
      </c>
      <c r="E371" t="s">
        <v>40</v>
      </c>
      <c r="F371" t="s">
        <v>118</v>
      </c>
      <c r="G371" s="3">
        <v>14.24</v>
      </c>
      <c r="H371" t="s">
        <v>26</v>
      </c>
      <c r="I371" t="s">
        <v>27</v>
      </c>
      <c r="J371" s="4" t="s">
        <v>119</v>
      </c>
      <c r="K371" t="s">
        <v>33</v>
      </c>
      <c r="L371" t="s">
        <v>30</v>
      </c>
      <c r="M371" t="s">
        <v>31</v>
      </c>
      <c r="N371" t="s">
        <v>32</v>
      </c>
      <c r="O371">
        <v>5</v>
      </c>
      <c r="P371">
        <v>13</v>
      </c>
      <c r="Q371" t="s">
        <v>29</v>
      </c>
      <c r="R371" t="s">
        <v>85</v>
      </c>
      <c r="S371" s="3">
        <v>7.12</v>
      </c>
      <c r="T371" t="s">
        <v>121</v>
      </c>
      <c r="U371" t="s">
        <v>63</v>
      </c>
      <c r="V371" t="str">
        <f t="shared" si="20"/>
        <v>2026-02</v>
      </c>
      <c r="W371" t="str">
        <f t="shared" si="21"/>
        <v>8-14 days</v>
      </c>
      <c r="X371" t="str">
        <f t="shared" si="22"/>
        <v>Refund Issued</v>
      </c>
      <c r="Y371" t="str">
        <f t="shared" si="23"/>
        <v>High</v>
      </c>
    </row>
    <row r="372" spans="1:25" ht="27.6">
      <c r="A372" t="s">
        <v>1277</v>
      </c>
      <c r="B372" t="s">
        <v>1278</v>
      </c>
      <c r="C372" t="s">
        <v>1279</v>
      </c>
      <c r="D372" s="2">
        <v>46148</v>
      </c>
      <c r="E372" t="s">
        <v>24</v>
      </c>
      <c r="F372" t="s">
        <v>172</v>
      </c>
      <c r="G372" s="3">
        <v>31.2</v>
      </c>
      <c r="H372" t="s">
        <v>26</v>
      </c>
      <c r="I372" t="s">
        <v>67</v>
      </c>
      <c r="J372" s="4" t="s">
        <v>173</v>
      </c>
      <c r="K372" t="s">
        <v>29</v>
      </c>
      <c r="L372" t="s">
        <v>30</v>
      </c>
      <c r="M372" t="s">
        <v>31</v>
      </c>
      <c r="N372" t="s">
        <v>32</v>
      </c>
      <c r="O372">
        <v>7</v>
      </c>
      <c r="P372">
        <v>9</v>
      </c>
      <c r="Q372" t="s">
        <v>29</v>
      </c>
      <c r="R372" t="s">
        <v>174</v>
      </c>
      <c r="S372" s="3">
        <v>0</v>
      </c>
      <c r="T372" t="s">
        <v>69</v>
      </c>
      <c r="U372" t="s">
        <v>63</v>
      </c>
      <c r="V372" t="str">
        <f t="shared" si="20"/>
        <v>2026-05</v>
      </c>
      <c r="W372" t="str">
        <f t="shared" si="21"/>
        <v>8-14 days</v>
      </c>
      <c r="X372" t="str">
        <f t="shared" si="22"/>
        <v>No Refund</v>
      </c>
      <c r="Y372" t="str">
        <f t="shared" si="23"/>
        <v>Medium</v>
      </c>
    </row>
    <row r="373" spans="1:25" ht="27.6">
      <c r="A373" t="s">
        <v>1280</v>
      </c>
      <c r="B373" t="s">
        <v>1281</v>
      </c>
      <c r="C373" t="s">
        <v>1282</v>
      </c>
      <c r="D373" s="2">
        <v>46023</v>
      </c>
      <c r="E373" t="s">
        <v>94</v>
      </c>
      <c r="F373" t="s">
        <v>172</v>
      </c>
      <c r="G373" s="3">
        <v>12.99</v>
      </c>
      <c r="H373" t="s">
        <v>108</v>
      </c>
      <c r="I373" t="s">
        <v>50</v>
      </c>
      <c r="J373" s="4" t="s">
        <v>173</v>
      </c>
      <c r="K373" t="s">
        <v>29</v>
      </c>
      <c r="L373" t="s">
        <v>30</v>
      </c>
      <c r="M373" t="s">
        <v>31</v>
      </c>
      <c r="N373" t="s">
        <v>32</v>
      </c>
      <c r="O373">
        <v>7</v>
      </c>
      <c r="P373">
        <v>8</v>
      </c>
      <c r="Q373" t="s">
        <v>29</v>
      </c>
      <c r="R373" t="s">
        <v>174</v>
      </c>
      <c r="S373" s="3">
        <v>12.99</v>
      </c>
      <c r="T373" t="s">
        <v>286</v>
      </c>
      <c r="U373" t="s">
        <v>63</v>
      </c>
      <c r="V373" t="str">
        <f t="shared" si="20"/>
        <v>2026-01</v>
      </c>
      <c r="W373" t="str">
        <f t="shared" si="21"/>
        <v>8-14 days</v>
      </c>
      <c r="X373" t="str">
        <f t="shared" si="22"/>
        <v>Refund Issued</v>
      </c>
      <c r="Y373" t="str">
        <f t="shared" si="23"/>
        <v>Medium</v>
      </c>
    </row>
    <row r="374" spans="1:25" ht="27.6">
      <c r="A374" t="s">
        <v>1283</v>
      </c>
      <c r="B374" t="s">
        <v>186</v>
      </c>
      <c r="C374" t="s">
        <v>1284</v>
      </c>
      <c r="D374" s="2">
        <v>46023</v>
      </c>
      <c r="E374" t="s">
        <v>24</v>
      </c>
      <c r="F374" t="s">
        <v>103</v>
      </c>
      <c r="G374" s="3">
        <v>64.349999999999994</v>
      </c>
      <c r="H374" t="s">
        <v>89</v>
      </c>
      <c r="I374" t="s">
        <v>67</v>
      </c>
      <c r="J374" s="4" t="s">
        <v>104</v>
      </c>
      <c r="K374" t="s">
        <v>29</v>
      </c>
      <c r="L374" t="s">
        <v>30</v>
      </c>
      <c r="M374" t="s">
        <v>31</v>
      </c>
      <c r="N374" t="s">
        <v>84</v>
      </c>
      <c r="O374">
        <v>5</v>
      </c>
      <c r="P374">
        <v>2</v>
      </c>
      <c r="Q374" t="s">
        <v>33</v>
      </c>
      <c r="R374" t="s">
        <v>34</v>
      </c>
      <c r="S374" s="3">
        <v>0</v>
      </c>
      <c r="T374" t="s">
        <v>247</v>
      </c>
      <c r="U374" t="s">
        <v>36</v>
      </c>
      <c r="V374" t="str">
        <f t="shared" si="20"/>
        <v>2026-01</v>
      </c>
      <c r="W374" t="str">
        <f t="shared" si="21"/>
        <v>0-3 days</v>
      </c>
      <c r="X374" t="str">
        <f t="shared" si="22"/>
        <v>No Refund</v>
      </c>
      <c r="Y374" t="str">
        <f t="shared" si="23"/>
        <v>Medium</v>
      </c>
    </row>
    <row r="375" spans="1:25" ht="27.6">
      <c r="A375" t="s">
        <v>1285</v>
      </c>
      <c r="B375" t="s">
        <v>1286</v>
      </c>
      <c r="C375" t="s">
        <v>1287</v>
      </c>
      <c r="D375" s="2">
        <v>46140</v>
      </c>
      <c r="E375" t="s">
        <v>40</v>
      </c>
      <c r="F375" t="s">
        <v>118</v>
      </c>
      <c r="G375" s="3">
        <v>15.31</v>
      </c>
      <c r="H375" t="s">
        <v>108</v>
      </c>
      <c r="I375" t="s">
        <v>50</v>
      </c>
      <c r="J375" s="4" t="s">
        <v>119</v>
      </c>
      <c r="K375" t="s">
        <v>29</v>
      </c>
      <c r="L375" t="s">
        <v>120</v>
      </c>
      <c r="M375" t="s">
        <v>96</v>
      </c>
      <c r="N375" t="s">
        <v>32</v>
      </c>
      <c r="O375">
        <v>5</v>
      </c>
      <c r="P375">
        <v>5</v>
      </c>
      <c r="Q375" t="s">
        <v>33</v>
      </c>
      <c r="R375" t="s">
        <v>85</v>
      </c>
      <c r="S375" s="3">
        <v>15.31</v>
      </c>
      <c r="T375" t="s">
        <v>121</v>
      </c>
      <c r="U375" t="s">
        <v>53</v>
      </c>
      <c r="V375" t="str">
        <f t="shared" si="20"/>
        <v>2026-04</v>
      </c>
      <c r="W375" t="str">
        <f t="shared" si="21"/>
        <v>4-7 days</v>
      </c>
      <c r="X375" t="str">
        <f t="shared" si="22"/>
        <v>Refund Issued</v>
      </c>
      <c r="Y375" t="str">
        <f t="shared" si="23"/>
        <v>High</v>
      </c>
    </row>
    <row r="376" spans="1:25" ht="27.6">
      <c r="A376" t="s">
        <v>1288</v>
      </c>
      <c r="B376" t="s">
        <v>1289</v>
      </c>
      <c r="C376" t="s">
        <v>1290</v>
      </c>
      <c r="D376" s="2">
        <v>46135</v>
      </c>
      <c r="E376" t="s">
        <v>40</v>
      </c>
      <c r="F376" t="s">
        <v>25</v>
      </c>
      <c r="G376" s="3">
        <v>8.19</v>
      </c>
      <c r="H376" t="s">
        <v>89</v>
      </c>
      <c r="I376" t="s">
        <v>27</v>
      </c>
      <c r="J376" s="4" t="s">
        <v>1291</v>
      </c>
      <c r="K376" t="s">
        <v>29</v>
      </c>
      <c r="L376" t="s">
        <v>30</v>
      </c>
      <c r="M376" t="s">
        <v>31</v>
      </c>
      <c r="N376" t="s">
        <v>90</v>
      </c>
      <c r="O376">
        <v>5</v>
      </c>
      <c r="P376">
        <v>3</v>
      </c>
      <c r="Q376" t="s">
        <v>33</v>
      </c>
      <c r="R376" t="s">
        <v>34</v>
      </c>
      <c r="S376" s="3">
        <v>0</v>
      </c>
      <c r="T376" t="s">
        <v>35</v>
      </c>
      <c r="U376" t="s">
        <v>53</v>
      </c>
      <c r="V376" t="str">
        <f t="shared" si="20"/>
        <v>2026-04</v>
      </c>
      <c r="W376" t="str">
        <f t="shared" si="21"/>
        <v>0-3 days</v>
      </c>
      <c r="X376" t="str">
        <f t="shared" si="22"/>
        <v>No Refund</v>
      </c>
      <c r="Y376" t="str">
        <f t="shared" si="23"/>
        <v>High</v>
      </c>
    </row>
    <row r="377" spans="1:25" ht="27.6">
      <c r="A377" t="s">
        <v>1292</v>
      </c>
      <c r="B377" t="s">
        <v>1293</v>
      </c>
      <c r="C377" t="s">
        <v>1294</v>
      </c>
      <c r="D377" s="2">
        <v>46109</v>
      </c>
      <c r="E377" t="s">
        <v>40</v>
      </c>
      <c r="F377" t="s">
        <v>25</v>
      </c>
      <c r="G377" s="3">
        <v>63.46</v>
      </c>
      <c r="H377" t="s">
        <v>58</v>
      </c>
      <c r="I377" t="s">
        <v>67</v>
      </c>
      <c r="J377" s="4" t="s">
        <v>1295</v>
      </c>
      <c r="K377" t="s">
        <v>29</v>
      </c>
      <c r="L377" t="s">
        <v>30</v>
      </c>
      <c r="M377" t="s">
        <v>31</v>
      </c>
      <c r="N377" t="s">
        <v>32</v>
      </c>
      <c r="O377">
        <v>5</v>
      </c>
      <c r="P377">
        <v>3</v>
      </c>
      <c r="Q377" t="s">
        <v>33</v>
      </c>
      <c r="R377" t="s">
        <v>34</v>
      </c>
      <c r="S377" s="3">
        <v>0</v>
      </c>
      <c r="T377" t="s">
        <v>35</v>
      </c>
      <c r="U377" t="s">
        <v>53</v>
      </c>
      <c r="V377" t="str">
        <f t="shared" si="20"/>
        <v>2026-03</v>
      </c>
      <c r="W377" t="str">
        <f t="shared" si="21"/>
        <v>0-3 days</v>
      </c>
      <c r="X377" t="str">
        <f t="shared" si="22"/>
        <v>No Refund</v>
      </c>
      <c r="Y377" t="str">
        <f t="shared" si="23"/>
        <v>High</v>
      </c>
    </row>
    <row r="378" spans="1:25" ht="27.6">
      <c r="A378" t="s">
        <v>1296</v>
      </c>
      <c r="B378" t="s">
        <v>1297</v>
      </c>
      <c r="C378" t="s">
        <v>1298</v>
      </c>
      <c r="D378" s="2">
        <v>46027</v>
      </c>
      <c r="E378" t="s">
        <v>47</v>
      </c>
      <c r="F378" t="s">
        <v>73</v>
      </c>
      <c r="G378" s="3">
        <v>21.1</v>
      </c>
      <c r="H378" t="s">
        <v>26</v>
      </c>
      <c r="I378" t="s">
        <v>67</v>
      </c>
      <c r="J378" s="4" t="s">
        <v>75</v>
      </c>
      <c r="K378" t="s">
        <v>33</v>
      </c>
      <c r="L378" t="s">
        <v>60</v>
      </c>
      <c r="M378" t="s">
        <v>31</v>
      </c>
      <c r="N378" t="s">
        <v>32</v>
      </c>
      <c r="O378">
        <v>10</v>
      </c>
      <c r="P378">
        <v>12</v>
      </c>
      <c r="Q378" t="s">
        <v>29</v>
      </c>
      <c r="R378" t="s">
        <v>61</v>
      </c>
      <c r="S378" s="3">
        <v>21.1</v>
      </c>
      <c r="T378" t="s">
        <v>156</v>
      </c>
      <c r="U378" t="s">
        <v>63</v>
      </c>
      <c r="V378" t="str">
        <f t="shared" si="20"/>
        <v>2026-01</v>
      </c>
      <c r="W378" t="str">
        <f t="shared" si="21"/>
        <v>8-14 days</v>
      </c>
      <c r="X378" t="str">
        <f t="shared" si="22"/>
        <v>Refund Issued</v>
      </c>
      <c r="Y378" t="str">
        <f t="shared" si="23"/>
        <v>Low</v>
      </c>
    </row>
    <row r="379" spans="1:25" ht="27.6">
      <c r="A379" t="s">
        <v>1299</v>
      </c>
      <c r="B379" t="s">
        <v>1300</v>
      </c>
      <c r="C379" t="s">
        <v>1301</v>
      </c>
      <c r="D379" s="2">
        <v>46074</v>
      </c>
      <c r="E379" t="s">
        <v>47</v>
      </c>
      <c r="F379" t="s">
        <v>57</v>
      </c>
      <c r="G379" s="3">
        <v>45.99</v>
      </c>
      <c r="H379" t="s">
        <v>49</v>
      </c>
      <c r="I379" t="s">
        <v>67</v>
      </c>
      <c r="J379" s="4" t="s">
        <v>155</v>
      </c>
      <c r="K379" t="s">
        <v>29</v>
      </c>
      <c r="L379" t="s">
        <v>60</v>
      </c>
      <c r="M379" t="s">
        <v>31</v>
      </c>
      <c r="N379" t="s">
        <v>32</v>
      </c>
      <c r="O379">
        <v>10</v>
      </c>
      <c r="P379">
        <v>11</v>
      </c>
      <c r="Q379" t="s">
        <v>29</v>
      </c>
      <c r="R379" t="s">
        <v>61</v>
      </c>
      <c r="S379" s="3">
        <v>23</v>
      </c>
      <c r="T379" t="s">
        <v>156</v>
      </c>
      <c r="U379" t="s">
        <v>63</v>
      </c>
      <c r="V379" t="str">
        <f t="shared" si="20"/>
        <v>2026-02</v>
      </c>
      <c r="W379" t="str">
        <f t="shared" si="21"/>
        <v>8-14 days</v>
      </c>
      <c r="X379" t="str">
        <f t="shared" si="22"/>
        <v>Refund Issued</v>
      </c>
      <c r="Y379" t="str">
        <f t="shared" si="23"/>
        <v>Low</v>
      </c>
    </row>
    <row r="380" spans="1:25" ht="27.6">
      <c r="A380" t="s">
        <v>1302</v>
      </c>
      <c r="B380" t="s">
        <v>1303</v>
      </c>
      <c r="C380" t="s">
        <v>1304</v>
      </c>
      <c r="D380" s="2">
        <v>46129</v>
      </c>
      <c r="E380" t="s">
        <v>24</v>
      </c>
      <c r="F380" t="s">
        <v>82</v>
      </c>
      <c r="G380" s="3">
        <v>21.2</v>
      </c>
      <c r="H380" t="s">
        <v>89</v>
      </c>
      <c r="I380" t="s">
        <v>27</v>
      </c>
      <c r="J380" s="4" t="s">
        <v>114</v>
      </c>
      <c r="K380" t="s">
        <v>29</v>
      </c>
      <c r="L380" t="s">
        <v>30</v>
      </c>
      <c r="M380" t="s">
        <v>31</v>
      </c>
      <c r="N380" t="s">
        <v>32</v>
      </c>
      <c r="O380">
        <v>7</v>
      </c>
      <c r="P380">
        <v>2</v>
      </c>
      <c r="Q380" t="s">
        <v>33</v>
      </c>
      <c r="R380" t="s">
        <v>85</v>
      </c>
      <c r="S380" s="3">
        <v>10.6</v>
      </c>
      <c r="T380" t="s">
        <v>62</v>
      </c>
      <c r="U380" t="s">
        <v>53</v>
      </c>
      <c r="V380" t="str">
        <f t="shared" si="20"/>
        <v>2026-04</v>
      </c>
      <c r="W380" t="str">
        <f t="shared" si="21"/>
        <v>0-3 days</v>
      </c>
      <c r="X380" t="str">
        <f t="shared" si="22"/>
        <v>Refund Issued</v>
      </c>
      <c r="Y380" t="str">
        <f t="shared" si="23"/>
        <v>High</v>
      </c>
    </row>
    <row r="381" spans="1:25" ht="27.6">
      <c r="A381" t="s">
        <v>1305</v>
      </c>
      <c r="B381" t="s">
        <v>1306</v>
      </c>
      <c r="C381" t="s">
        <v>1307</v>
      </c>
      <c r="D381" s="2">
        <v>46095</v>
      </c>
      <c r="E381" t="s">
        <v>24</v>
      </c>
      <c r="F381" t="s">
        <v>57</v>
      </c>
      <c r="G381" s="3">
        <v>147.22</v>
      </c>
      <c r="H381" t="s">
        <v>74</v>
      </c>
      <c r="I381" t="s">
        <v>27</v>
      </c>
      <c r="J381" s="4" t="s">
        <v>59</v>
      </c>
      <c r="K381" t="s">
        <v>29</v>
      </c>
      <c r="L381" t="s">
        <v>60</v>
      </c>
      <c r="M381" t="s">
        <v>31</v>
      </c>
      <c r="N381" t="s">
        <v>32</v>
      </c>
      <c r="O381">
        <v>10</v>
      </c>
      <c r="P381">
        <v>7</v>
      </c>
      <c r="Q381" t="s">
        <v>33</v>
      </c>
      <c r="R381" t="s">
        <v>61</v>
      </c>
      <c r="S381" s="3">
        <v>0</v>
      </c>
      <c r="T381" t="s">
        <v>52</v>
      </c>
      <c r="U381" t="s">
        <v>63</v>
      </c>
      <c r="V381" t="str">
        <f t="shared" si="20"/>
        <v>2026-03</v>
      </c>
      <c r="W381" t="str">
        <f t="shared" si="21"/>
        <v>4-7 days</v>
      </c>
      <c r="X381" t="str">
        <f t="shared" si="22"/>
        <v>No Refund</v>
      </c>
      <c r="Y381" t="str">
        <f t="shared" si="23"/>
        <v>Low</v>
      </c>
    </row>
    <row r="382" spans="1:25" ht="27.6">
      <c r="A382" t="s">
        <v>1308</v>
      </c>
      <c r="B382" t="s">
        <v>1309</v>
      </c>
      <c r="C382" t="s">
        <v>1310</v>
      </c>
      <c r="D382" s="2">
        <v>46150</v>
      </c>
      <c r="E382" t="s">
        <v>47</v>
      </c>
      <c r="F382" t="s">
        <v>25</v>
      </c>
      <c r="G382" s="3">
        <v>79.94</v>
      </c>
      <c r="H382" t="s">
        <v>108</v>
      </c>
      <c r="I382" t="s">
        <v>27</v>
      </c>
      <c r="J382" s="4" t="s">
        <v>1311</v>
      </c>
      <c r="K382" t="s">
        <v>29</v>
      </c>
      <c r="L382" t="s">
        <v>30</v>
      </c>
      <c r="M382" t="s">
        <v>31</v>
      </c>
      <c r="N382" t="s">
        <v>32</v>
      </c>
      <c r="O382">
        <v>5</v>
      </c>
      <c r="P382">
        <v>14</v>
      </c>
      <c r="Q382" t="s">
        <v>29</v>
      </c>
      <c r="R382" t="s">
        <v>34</v>
      </c>
      <c r="S382" s="3">
        <v>0</v>
      </c>
      <c r="T382" t="s">
        <v>110</v>
      </c>
      <c r="U382" t="s">
        <v>63</v>
      </c>
      <c r="V382" t="str">
        <f t="shared" si="20"/>
        <v>2026-05</v>
      </c>
      <c r="W382" t="str">
        <f t="shared" si="21"/>
        <v>8-14 days</v>
      </c>
      <c r="X382" t="str">
        <f t="shared" si="22"/>
        <v>No Refund</v>
      </c>
      <c r="Y382" t="str">
        <f t="shared" si="23"/>
        <v>High</v>
      </c>
    </row>
    <row r="383" spans="1:25" ht="27.6">
      <c r="A383" t="s">
        <v>1312</v>
      </c>
      <c r="B383" t="s">
        <v>1313</v>
      </c>
      <c r="C383" t="s">
        <v>1314</v>
      </c>
      <c r="D383" s="2">
        <v>46076</v>
      </c>
      <c r="E383" t="s">
        <v>24</v>
      </c>
      <c r="F383" t="s">
        <v>25</v>
      </c>
      <c r="G383" s="3">
        <v>159.84</v>
      </c>
      <c r="H383" t="s">
        <v>108</v>
      </c>
      <c r="I383" t="s">
        <v>50</v>
      </c>
      <c r="J383" s="4" t="s">
        <v>42</v>
      </c>
      <c r="K383" t="s">
        <v>29</v>
      </c>
      <c r="L383" t="s">
        <v>30</v>
      </c>
      <c r="M383" t="s">
        <v>96</v>
      </c>
      <c r="N383" t="s">
        <v>32</v>
      </c>
      <c r="O383">
        <v>5</v>
      </c>
      <c r="P383">
        <v>5</v>
      </c>
      <c r="Q383" t="s">
        <v>33</v>
      </c>
      <c r="R383" t="s">
        <v>34</v>
      </c>
      <c r="S383" s="3">
        <v>159.84</v>
      </c>
      <c r="T383" t="s">
        <v>110</v>
      </c>
      <c r="U383" t="s">
        <v>36</v>
      </c>
      <c r="V383" t="str">
        <f t="shared" si="20"/>
        <v>2026-02</v>
      </c>
      <c r="W383" t="str">
        <f t="shared" si="21"/>
        <v>4-7 days</v>
      </c>
      <c r="X383" t="str">
        <f t="shared" si="22"/>
        <v>Refund Issued</v>
      </c>
      <c r="Y383" t="str">
        <f t="shared" si="23"/>
        <v>High</v>
      </c>
    </row>
    <row r="384" spans="1:25" ht="27.6">
      <c r="A384" t="s">
        <v>1315</v>
      </c>
      <c r="B384" t="s">
        <v>1316</v>
      </c>
      <c r="C384" t="s">
        <v>1317</v>
      </c>
      <c r="D384" s="2">
        <v>46087</v>
      </c>
      <c r="E384" t="s">
        <v>24</v>
      </c>
      <c r="F384" t="s">
        <v>57</v>
      </c>
      <c r="G384" s="3">
        <v>39.46</v>
      </c>
      <c r="H384" t="s">
        <v>74</v>
      </c>
      <c r="I384" t="s">
        <v>50</v>
      </c>
      <c r="J384" s="4" t="s">
        <v>59</v>
      </c>
      <c r="K384" t="s">
        <v>29</v>
      </c>
      <c r="L384" t="s">
        <v>60</v>
      </c>
      <c r="M384" t="s">
        <v>31</v>
      </c>
      <c r="N384" t="s">
        <v>84</v>
      </c>
      <c r="O384">
        <v>10</v>
      </c>
      <c r="P384">
        <v>6</v>
      </c>
      <c r="Q384" t="s">
        <v>33</v>
      </c>
      <c r="R384" t="s">
        <v>61</v>
      </c>
      <c r="S384" s="3">
        <v>0</v>
      </c>
      <c r="T384" t="s">
        <v>52</v>
      </c>
      <c r="U384" t="s">
        <v>63</v>
      </c>
      <c r="V384" t="str">
        <f t="shared" si="20"/>
        <v>2026-03</v>
      </c>
      <c r="W384" t="str">
        <f t="shared" si="21"/>
        <v>4-7 days</v>
      </c>
      <c r="X384" t="str">
        <f t="shared" si="22"/>
        <v>No Refund</v>
      </c>
      <c r="Y384" t="str">
        <f t="shared" si="23"/>
        <v>Low</v>
      </c>
    </row>
    <row r="385" spans="1:25" ht="27.6">
      <c r="A385" t="s">
        <v>1318</v>
      </c>
      <c r="B385" t="s">
        <v>1319</v>
      </c>
      <c r="C385" t="s">
        <v>1320</v>
      </c>
      <c r="D385" s="2">
        <v>46048</v>
      </c>
      <c r="E385" t="s">
        <v>24</v>
      </c>
      <c r="F385" t="s">
        <v>82</v>
      </c>
      <c r="G385" s="3">
        <v>9.0399999999999991</v>
      </c>
      <c r="H385" t="s">
        <v>26</v>
      </c>
      <c r="I385" t="s">
        <v>67</v>
      </c>
      <c r="J385" s="4" t="s">
        <v>1321</v>
      </c>
      <c r="K385" t="s">
        <v>29</v>
      </c>
      <c r="L385" t="s">
        <v>30</v>
      </c>
      <c r="M385" t="s">
        <v>31</v>
      </c>
      <c r="N385" t="s">
        <v>32</v>
      </c>
      <c r="O385">
        <v>7</v>
      </c>
      <c r="P385">
        <v>8</v>
      </c>
      <c r="Q385" t="s">
        <v>29</v>
      </c>
      <c r="R385" t="s">
        <v>85</v>
      </c>
      <c r="S385" s="3">
        <v>4.5199999999999996</v>
      </c>
      <c r="T385" t="s">
        <v>62</v>
      </c>
      <c r="U385" t="s">
        <v>63</v>
      </c>
      <c r="V385" t="str">
        <f t="shared" si="20"/>
        <v>2026-01</v>
      </c>
      <c r="W385" t="str">
        <f t="shared" si="21"/>
        <v>8-14 days</v>
      </c>
      <c r="X385" t="str">
        <f t="shared" si="22"/>
        <v>Refund Issued</v>
      </c>
      <c r="Y385" t="str">
        <f t="shared" si="23"/>
        <v>High</v>
      </c>
    </row>
    <row r="386" spans="1:25" ht="27.6">
      <c r="A386" t="s">
        <v>1322</v>
      </c>
      <c r="B386" t="s">
        <v>1323</v>
      </c>
      <c r="C386" t="s">
        <v>1324</v>
      </c>
      <c r="D386" s="2">
        <v>46114</v>
      </c>
      <c r="E386" t="s">
        <v>94</v>
      </c>
      <c r="F386" t="s">
        <v>118</v>
      </c>
      <c r="G386" s="3">
        <v>6.92</v>
      </c>
      <c r="H386" t="s">
        <v>26</v>
      </c>
      <c r="I386" t="s">
        <v>27</v>
      </c>
      <c r="J386" s="4" t="s">
        <v>119</v>
      </c>
      <c r="K386" t="s">
        <v>29</v>
      </c>
      <c r="L386" t="s">
        <v>120</v>
      </c>
      <c r="M386" t="s">
        <v>96</v>
      </c>
      <c r="N386" t="s">
        <v>32</v>
      </c>
      <c r="O386">
        <v>5</v>
      </c>
      <c r="P386">
        <v>1</v>
      </c>
      <c r="Q386" t="s">
        <v>33</v>
      </c>
      <c r="R386" t="s">
        <v>85</v>
      </c>
      <c r="S386" s="3">
        <v>6.92</v>
      </c>
      <c r="T386" t="s">
        <v>121</v>
      </c>
      <c r="U386" t="s">
        <v>53</v>
      </c>
      <c r="V386" t="str">
        <f t="shared" ref="V386:V449" si="24">TEXT(D386,"yyyy-mm")</f>
        <v>2026-04</v>
      </c>
      <c r="W386" t="str">
        <f t="shared" ref="W386:W449" si="25">IF(P386&lt;=3,"0-3 days",IF(P386&lt;=7,"4-7 days",IF(P386&lt;=14,"8-14 days","15+ days")))</f>
        <v>0-3 days</v>
      </c>
      <c r="X386" t="str">
        <f t="shared" ref="X386:X449" si="26">IF(S386&gt;0,"Refund Issued","No Refund")</f>
        <v>Refund Issued</v>
      </c>
      <c r="Y386" t="str">
        <f t="shared" ref="Y386:Y449" si="27">IF(OR(F386="Failed Payment",F386="Duplicate Debit",F386="Refund Delay"),"High",IF(OR(F386="Merchant Not Credited",F386="Wrong Amount Debited"),"Medium","Low"))</f>
        <v>High</v>
      </c>
    </row>
    <row r="387" spans="1:25" ht="27.6">
      <c r="A387" t="s">
        <v>1325</v>
      </c>
      <c r="B387" t="s">
        <v>1326</v>
      </c>
      <c r="C387" t="s">
        <v>1327</v>
      </c>
      <c r="D387" s="2">
        <v>46066</v>
      </c>
      <c r="E387" t="s">
        <v>47</v>
      </c>
      <c r="F387" t="s">
        <v>172</v>
      </c>
      <c r="G387" s="3">
        <v>20.7</v>
      </c>
      <c r="H387" t="s">
        <v>89</v>
      </c>
      <c r="I387" t="s">
        <v>50</v>
      </c>
      <c r="J387" s="4" t="s">
        <v>285</v>
      </c>
      <c r="K387" t="s">
        <v>33</v>
      </c>
      <c r="L387" t="s">
        <v>30</v>
      </c>
      <c r="M387" t="s">
        <v>31</v>
      </c>
      <c r="N387" t="s">
        <v>32</v>
      </c>
      <c r="O387">
        <v>7</v>
      </c>
      <c r="P387">
        <v>11</v>
      </c>
      <c r="Q387" t="s">
        <v>29</v>
      </c>
      <c r="R387" t="s">
        <v>174</v>
      </c>
      <c r="S387" s="3">
        <v>10.35</v>
      </c>
      <c r="T387" t="s">
        <v>110</v>
      </c>
      <c r="U387" t="s">
        <v>63</v>
      </c>
      <c r="V387" t="str">
        <f t="shared" si="24"/>
        <v>2026-02</v>
      </c>
      <c r="W387" t="str">
        <f t="shared" si="25"/>
        <v>8-14 days</v>
      </c>
      <c r="X387" t="str">
        <f t="shared" si="26"/>
        <v>Refund Issued</v>
      </c>
      <c r="Y387" t="str">
        <f t="shared" si="27"/>
        <v>Medium</v>
      </c>
    </row>
    <row r="388" spans="1:25" ht="27.6">
      <c r="A388" t="s">
        <v>1328</v>
      </c>
      <c r="B388" t="s">
        <v>1329</v>
      </c>
      <c r="C388" t="s">
        <v>1330</v>
      </c>
      <c r="D388" s="2">
        <v>46106</v>
      </c>
      <c r="E388" t="s">
        <v>47</v>
      </c>
      <c r="F388" t="s">
        <v>118</v>
      </c>
      <c r="G388" s="3">
        <v>35.68</v>
      </c>
      <c r="H388" t="s">
        <v>108</v>
      </c>
      <c r="I388" t="s">
        <v>50</v>
      </c>
      <c r="J388" s="4" t="s">
        <v>119</v>
      </c>
      <c r="K388" t="s">
        <v>33</v>
      </c>
      <c r="L388" t="s">
        <v>120</v>
      </c>
      <c r="M388" t="s">
        <v>96</v>
      </c>
      <c r="N388" t="s">
        <v>126</v>
      </c>
      <c r="O388">
        <v>5</v>
      </c>
      <c r="P388">
        <v>1</v>
      </c>
      <c r="Q388" t="s">
        <v>33</v>
      </c>
      <c r="R388" t="s">
        <v>85</v>
      </c>
      <c r="S388" s="3">
        <v>0</v>
      </c>
      <c r="T388" t="s">
        <v>121</v>
      </c>
      <c r="U388" t="s">
        <v>53</v>
      </c>
      <c r="V388" t="str">
        <f t="shared" si="24"/>
        <v>2026-03</v>
      </c>
      <c r="W388" t="str">
        <f t="shared" si="25"/>
        <v>0-3 days</v>
      </c>
      <c r="X388" t="str">
        <f t="shared" si="26"/>
        <v>No Refund</v>
      </c>
      <c r="Y388" t="str">
        <f t="shared" si="27"/>
        <v>High</v>
      </c>
    </row>
    <row r="389" spans="1:25" ht="27.6">
      <c r="A389" t="s">
        <v>1331</v>
      </c>
      <c r="B389" t="s">
        <v>1332</v>
      </c>
      <c r="C389" t="s">
        <v>1333</v>
      </c>
      <c r="D389" s="2">
        <v>46044</v>
      </c>
      <c r="E389" t="s">
        <v>47</v>
      </c>
      <c r="F389" t="s">
        <v>25</v>
      </c>
      <c r="G389" s="3">
        <v>18.91</v>
      </c>
      <c r="H389" t="s">
        <v>58</v>
      </c>
      <c r="I389" t="s">
        <v>67</v>
      </c>
      <c r="J389" s="4" t="s">
        <v>1334</v>
      </c>
      <c r="K389" t="s">
        <v>29</v>
      </c>
      <c r="L389" t="s">
        <v>30</v>
      </c>
      <c r="M389" t="s">
        <v>31</v>
      </c>
      <c r="N389" t="s">
        <v>32</v>
      </c>
      <c r="O389">
        <v>5</v>
      </c>
      <c r="P389">
        <v>7</v>
      </c>
      <c r="Q389" t="s">
        <v>29</v>
      </c>
      <c r="R389" t="s">
        <v>34</v>
      </c>
      <c r="S389" s="3">
        <v>0</v>
      </c>
      <c r="T389" t="s">
        <v>35</v>
      </c>
      <c r="U389" t="s">
        <v>63</v>
      </c>
      <c r="V389" t="str">
        <f t="shared" si="24"/>
        <v>2026-01</v>
      </c>
      <c r="W389" t="str">
        <f t="shared" si="25"/>
        <v>4-7 days</v>
      </c>
      <c r="X389" t="str">
        <f t="shared" si="26"/>
        <v>No Refund</v>
      </c>
      <c r="Y389" t="str">
        <f t="shared" si="27"/>
        <v>High</v>
      </c>
    </row>
    <row r="390" spans="1:25" ht="27.6">
      <c r="A390" t="s">
        <v>1335</v>
      </c>
      <c r="B390" t="s">
        <v>1336</v>
      </c>
      <c r="C390" t="s">
        <v>1337</v>
      </c>
      <c r="D390" s="2">
        <v>46058</v>
      </c>
      <c r="E390" t="s">
        <v>94</v>
      </c>
      <c r="F390" t="s">
        <v>82</v>
      </c>
      <c r="G390" s="3">
        <v>79.150000000000006</v>
      </c>
      <c r="H390" t="s">
        <v>108</v>
      </c>
      <c r="I390" t="s">
        <v>50</v>
      </c>
      <c r="J390" s="4" t="s">
        <v>1338</v>
      </c>
      <c r="K390" t="s">
        <v>29</v>
      </c>
      <c r="L390" t="s">
        <v>30</v>
      </c>
      <c r="M390" t="s">
        <v>31</v>
      </c>
      <c r="N390" t="s">
        <v>32</v>
      </c>
      <c r="O390">
        <v>7</v>
      </c>
      <c r="P390">
        <v>11</v>
      </c>
      <c r="Q390" t="s">
        <v>29</v>
      </c>
      <c r="R390" t="s">
        <v>85</v>
      </c>
      <c r="S390" s="3">
        <v>59.36</v>
      </c>
      <c r="T390" t="s">
        <v>62</v>
      </c>
      <c r="U390" t="s">
        <v>63</v>
      </c>
      <c r="V390" t="str">
        <f t="shared" si="24"/>
        <v>2026-02</v>
      </c>
      <c r="W390" t="str">
        <f t="shared" si="25"/>
        <v>8-14 days</v>
      </c>
      <c r="X390" t="str">
        <f t="shared" si="26"/>
        <v>Refund Issued</v>
      </c>
      <c r="Y390" t="str">
        <f t="shared" si="27"/>
        <v>High</v>
      </c>
    </row>
    <row r="391" spans="1:25" ht="27.6">
      <c r="A391" t="s">
        <v>1339</v>
      </c>
      <c r="B391" t="s">
        <v>1340</v>
      </c>
      <c r="C391" t="s">
        <v>1341</v>
      </c>
      <c r="D391" s="2">
        <v>46076</v>
      </c>
      <c r="E391" t="s">
        <v>40</v>
      </c>
      <c r="F391" t="s">
        <v>25</v>
      </c>
      <c r="G391" s="3">
        <v>392.87</v>
      </c>
      <c r="H391" t="s">
        <v>26</v>
      </c>
      <c r="I391" t="s">
        <v>27</v>
      </c>
      <c r="J391" s="4" t="s">
        <v>1342</v>
      </c>
      <c r="K391" t="s">
        <v>29</v>
      </c>
      <c r="L391" t="s">
        <v>30</v>
      </c>
      <c r="M391" t="s">
        <v>31</v>
      </c>
      <c r="N391" t="s">
        <v>32</v>
      </c>
      <c r="O391">
        <v>5</v>
      </c>
      <c r="P391">
        <v>8</v>
      </c>
      <c r="Q391" t="s">
        <v>29</v>
      </c>
      <c r="R391" t="s">
        <v>34</v>
      </c>
      <c r="S391" s="3">
        <v>392.87</v>
      </c>
      <c r="T391" t="s">
        <v>110</v>
      </c>
      <c r="U391" t="s">
        <v>63</v>
      </c>
      <c r="V391" t="str">
        <f t="shared" si="24"/>
        <v>2026-02</v>
      </c>
      <c r="W391" t="str">
        <f t="shared" si="25"/>
        <v>8-14 days</v>
      </c>
      <c r="X391" t="str">
        <f t="shared" si="26"/>
        <v>Refund Issued</v>
      </c>
      <c r="Y391" t="str">
        <f t="shared" si="27"/>
        <v>High</v>
      </c>
    </row>
    <row r="392" spans="1:25" ht="27.6">
      <c r="A392" t="s">
        <v>1343</v>
      </c>
      <c r="B392" t="s">
        <v>1344</v>
      </c>
      <c r="C392" t="s">
        <v>1345</v>
      </c>
      <c r="D392" s="2">
        <v>46108</v>
      </c>
      <c r="E392" t="s">
        <v>24</v>
      </c>
      <c r="F392" t="s">
        <v>25</v>
      </c>
      <c r="G392" s="3">
        <v>24.16</v>
      </c>
      <c r="H392" t="s">
        <v>89</v>
      </c>
      <c r="I392" t="s">
        <v>67</v>
      </c>
      <c r="J392" s="4" t="s">
        <v>42</v>
      </c>
      <c r="K392" t="s">
        <v>33</v>
      </c>
      <c r="L392" t="s">
        <v>30</v>
      </c>
      <c r="M392" t="s">
        <v>31</v>
      </c>
      <c r="N392" t="s">
        <v>126</v>
      </c>
      <c r="O392">
        <v>5</v>
      </c>
      <c r="P392">
        <v>6</v>
      </c>
      <c r="Q392" t="s">
        <v>29</v>
      </c>
      <c r="R392" t="s">
        <v>34</v>
      </c>
      <c r="S392" s="3">
        <v>0</v>
      </c>
      <c r="T392" t="s">
        <v>35</v>
      </c>
      <c r="U392" t="s">
        <v>63</v>
      </c>
      <c r="V392" t="str">
        <f t="shared" si="24"/>
        <v>2026-03</v>
      </c>
      <c r="W392" t="str">
        <f t="shared" si="25"/>
        <v>4-7 days</v>
      </c>
      <c r="X392" t="str">
        <f t="shared" si="26"/>
        <v>No Refund</v>
      </c>
      <c r="Y392" t="str">
        <f t="shared" si="27"/>
        <v>High</v>
      </c>
    </row>
    <row r="393" spans="1:25" ht="27.6">
      <c r="A393" t="s">
        <v>1346</v>
      </c>
      <c r="B393" t="s">
        <v>1347</v>
      </c>
      <c r="C393" t="s">
        <v>1348</v>
      </c>
      <c r="D393" s="2">
        <v>46039</v>
      </c>
      <c r="E393" t="s">
        <v>24</v>
      </c>
      <c r="F393" t="s">
        <v>82</v>
      </c>
      <c r="G393" s="3">
        <v>40.950000000000003</v>
      </c>
      <c r="H393" t="s">
        <v>108</v>
      </c>
      <c r="I393" t="s">
        <v>50</v>
      </c>
      <c r="J393" s="4" t="s">
        <v>114</v>
      </c>
      <c r="K393" t="s">
        <v>29</v>
      </c>
      <c r="L393" t="s">
        <v>30</v>
      </c>
      <c r="M393" t="s">
        <v>31</v>
      </c>
      <c r="N393" t="s">
        <v>90</v>
      </c>
      <c r="O393">
        <v>7</v>
      </c>
      <c r="P393">
        <v>3</v>
      </c>
      <c r="Q393" t="s">
        <v>33</v>
      </c>
      <c r="R393" t="s">
        <v>85</v>
      </c>
      <c r="S393" s="3">
        <v>0</v>
      </c>
      <c r="T393" t="s">
        <v>62</v>
      </c>
      <c r="U393" t="s">
        <v>36</v>
      </c>
      <c r="V393" t="str">
        <f t="shared" si="24"/>
        <v>2026-01</v>
      </c>
      <c r="W393" t="str">
        <f t="shared" si="25"/>
        <v>0-3 days</v>
      </c>
      <c r="X393" t="str">
        <f t="shared" si="26"/>
        <v>No Refund</v>
      </c>
      <c r="Y393" t="str">
        <f t="shared" si="27"/>
        <v>High</v>
      </c>
    </row>
    <row r="394" spans="1:25" ht="27.6">
      <c r="A394" t="s">
        <v>1349</v>
      </c>
      <c r="B394" t="s">
        <v>1350</v>
      </c>
      <c r="C394" t="s">
        <v>1351</v>
      </c>
      <c r="D394" s="2">
        <v>46045</v>
      </c>
      <c r="E394" t="s">
        <v>24</v>
      </c>
      <c r="F394" t="s">
        <v>73</v>
      </c>
      <c r="G394" s="3">
        <v>18.420000000000002</v>
      </c>
      <c r="H394" t="s">
        <v>58</v>
      </c>
      <c r="I394" t="s">
        <v>27</v>
      </c>
      <c r="J394" s="4" t="s">
        <v>75</v>
      </c>
      <c r="K394" t="s">
        <v>29</v>
      </c>
      <c r="L394" t="s">
        <v>60</v>
      </c>
      <c r="M394" t="s">
        <v>31</v>
      </c>
      <c r="N394" t="s">
        <v>32</v>
      </c>
      <c r="O394">
        <v>10</v>
      </c>
      <c r="P394">
        <v>6</v>
      </c>
      <c r="Q394" t="s">
        <v>33</v>
      </c>
      <c r="R394" t="s">
        <v>61</v>
      </c>
      <c r="S394" s="3">
        <v>0</v>
      </c>
      <c r="T394" t="s">
        <v>156</v>
      </c>
      <c r="U394" t="s">
        <v>63</v>
      </c>
      <c r="V394" t="str">
        <f t="shared" si="24"/>
        <v>2026-01</v>
      </c>
      <c r="W394" t="str">
        <f t="shared" si="25"/>
        <v>4-7 days</v>
      </c>
      <c r="X394" t="str">
        <f t="shared" si="26"/>
        <v>No Refund</v>
      </c>
      <c r="Y394" t="str">
        <f t="shared" si="27"/>
        <v>Low</v>
      </c>
    </row>
    <row r="395" spans="1:25" ht="27.6">
      <c r="A395" t="s">
        <v>1352</v>
      </c>
      <c r="B395" t="s">
        <v>1353</v>
      </c>
      <c r="C395" t="s">
        <v>1354</v>
      </c>
      <c r="D395" s="2">
        <v>46130</v>
      </c>
      <c r="E395" t="s">
        <v>47</v>
      </c>
      <c r="F395" t="s">
        <v>172</v>
      </c>
      <c r="G395" s="3">
        <v>29.24</v>
      </c>
      <c r="H395" t="s">
        <v>49</v>
      </c>
      <c r="I395" t="s">
        <v>67</v>
      </c>
      <c r="J395" s="4" t="s">
        <v>285</v>
      </c>
      <c r="K395" t="s">
        <v>33</v>
      </c>
      <c r="L395" t="s">
        <v>30</v>
      </c>
      <c r="M395" t="s">
        <v>31</v>
      </c>
      <c r="N395" t="s">
        <v>32</v>
      </c>
      <c r="O395">
        <v>7</v>
      </c>
      <c r="P395">
        <v>10</v>
      </c>
      <c r="Q395" t="s">
        <v>29</v>
      </c>
      <c r="R395" t="s">
        <v>174</v>
      </c>
      <c r="S395" s="3">
        <v>21.93</v>
      </c>
      <c r="T395" t="s">
        <v>110</v>
      </c>
      <c r="U395" t="s">
        <v>63</v>
      </c>
      <c r="V395" t="str">
        <f t="shared" si="24"/>
        <v>2026-04</v>
      </c>
      <c r="W395" t="str">
        <f t="shared" si="25"/>
        <v>8-14 days</v>
      </c>
      <c r="X395" t="str">
        <f t="shared" si="26"/>
        <v>Refund Issued</v>
      </c>
      <c r="Y395" t="str">
        <f t="shared" si="27"/>
        <v>Medium</v>
      </c>
    </row>
    <row r="396" spans="1:25" ht="27.6">
      <c r="A396" t="s">
        <v>1355</v>
      </c>
      <c r="B396" t="s">
        <v>1356</v>
      </c>
      <c r="C396" t="s">
        <v>1357</v>
      </c>
      <c r="D396" s="2">
        <v>46158</v>
      </c>
      <c r="E396" t="s">
        <v>94</v>
      </c>
      <c r="F396" t="s">
        <v>82</v>
      </c>
      <c r="G396" s="3">
        <v>29.1</v>
      </c>
      <c r="H396" t="s">
        <v>49</v>
      </c>
      <c r="I396" t="s">
        <v>27</v>
      </c>
      <c r="J396" s="4" t="s">
        <v>1358</v>
      </c>
      <c r="K396" t="s">
        <v>33</v>
      </c>
      <c r="L396" t="s">
        <v>30</v>
      </c>
      <c r="M396" t="s">
        <v>31</v>
      </c>
      <c r="N396" t="s">
        <v>32</v>
      </c>
      <c r="O396">
        <v>7</v>
      </c>
      <c r="P396">
        <v>1</v>
      </c>
      <c r="Q396" t="s">
        <v>33</v>
      </c>
      <c r="R396" t="s">
        <v>85</v>
      </c>
      <c r="S396" s="3">
        <v>21.83</v>
      </c>
      <c r="T396" t="s">
        <v>43</v>
      </c>
      <c r="U396" t="s">
        <v>36</v>
      </c>
      <c r="V396" t="str">
        <f t="shared" si="24"/>
        <v>2026-05</v>
      </c>
      <c r="W396" t="str">
        <f t="shared" si="25"/>
        <v>0-3 days</v>
      </c>
      <c r="X396" t="str">
        <f t="shared" si="26"/>
        <v>Refund Issued</v>
      </c>
      <c r="Y396" t="str">
        <f t="shared" si="27"/>
        <v>High</v>
      </c>
    </row>
    <row r="397" spans="1:25" ht="27.6">
      <c r="A397" t="s">
        <v>1359</v>
      </c>
      <c r="B397" t="s">
        <v>1360</v>
      </c>
      <c r="C397" t="s">
        <v>1361</v>
      </c>
      <c r="D397" s="2">
        <v>46064</v>
      </c>
      <c r="E397" t="s">
        <v>40</v>
      </c>
      <c r="F397" t="s">
        <v>118</v>
      </c>
      <c r="G397" s="3">
        <v>93.96</v>
      </c>
      <c r="H397" t="s">
        <v>74</v>
      </c>
      <c r="I397" t="s">
        <v>27</v>
      </c>
      <c r="J397" s="4" t="s">
        <v>119</v>
      </c>
      <c r="K397" t="s">
        <v>33</v>
      </c>
      <c r="L397" t="s">
        <v>120</v>
      </c>
      <c r="M397" t="s">
        <v>96</v>
      </c>
      <c r="N397" t="s">
        <v>126</v>
      </c>
      <c r="O397">
        <v>5</v>
      </c>
      <c r="P397">
        <v>3</v>
      </c>
      <c r="Q397" t="s">
        <v>33</v>
      </c>
      <c r="R397" t="s">
        <v>85</v>
      </c>
      <c r="S397" s="3">
        <v>0</v>
      </c>
      <c r="T397" t="s">
        <v>121</v>
      </c>
      <c r="U397" t="s">
        <v>53</v>
      </c>
      <c r="V397" t="str">
        <f t="shared" si="24"/>
        <v>2026-02</v>
      </c>
      <c r="W397" t="str">
        <f t="shared" si="25"/>
        <v>0-3 days</v>
      </c>
      <c r="X397" t="str">
        <f t="shared" si="26"/>
        <v>No Refund</v>
      </c>
      <c r="Y397" t="str">
        <f t="shared" si="27"/>
        <v>High</v>
      </c>
    </row>
    <row r="398" spans="1:25" ht="27.6">
      <c r="A398" t="s">
        <v>1362</v>
      </c>
      <c r="B398" t="s">
        <v>1363</v>
      </c>
      <c r="C398" t="s">
        <v>1364</v>
      </c>
      <c r="D398" s="2">
        <v>46070</v>
      </c>
      <c r="E398" t="s">
        <v>24</v>
      </c>
      <c r="F398" t="s">
        <v>103</v>
      </c>
      <c r="G398" s="3">
        <v>15.95</v>
      </c>
      <c r="H398" t="s">
        <v>74</v>
      </c>
      <c r="I398" t="s">
        <v>50</v>
      </c>
      <c r="J398" s="4" t="s">
        <v>134</v>
      </c>
      <c r="K398" t="s">
        <v>29</v>
      </c>
      <c r="L398" t="s">
        <v>30</v>
      </c>
      <c r="M398" t="s">
        <v>31</v>
      </c>
      <c r="N398" t="s">
        <v>32</v>
      </c>
      <c r="O398">
        <v>5</v>
      </c>
      <c r="P398">
        <v>3</v>
      </c>
      <c r="Q398" t="s">
        <v>33</v>
      </c>
      <c r="R398" t="s">
        <v>34</v>
      </c>
      <c r="S398" s="3">
        <v>11.96</v>
      </c>
      <c r="T398" t="s">
        <v>35</v>
      </c>
      <c r="U398" t="s">
        <v>53</v>
      </c>
      <c r="V398" t="str">
        <f t="shared" si="24"/>
        <v>2026-02</v>
      </c>
      <c r="W398" t="str">
        <f t="shared" si="25"/>
        <v>0-3 days</v>
      </c>
      <c r="X398" t="str">
        <f t="shared" si="26"/>
        <v>Refund Issued</v>
      </c>
      <c r="Y398" t="str">
        <f t="shared" si="27"/>
        <v>Medium</v>
      </c>
    </row>
    <row r="399" spans="1:25" ht="27.6">
      <c r="A399" t="s">
        <v>1365</v>
      </c>
      <c r="B399" t="s">
        <v>1366</v>
      </c>
      <c r="C399" t="s">
        <v>1367</v>
      </c>
      <c r="D399" s="2">
        <v>46107</v>
      </c>
      <c r="E399" t="s">
        <v>40</v>
      </c>
      <c r="F399" t="s">
        <v>118</v>
      </c>
      <c r="G399" s="3">
        <v>136.21</v>
      </c>
      <c r="H399" t="s">
        <v>58</v>
      </c>
      <c r="I399" t="s">
        <v>67</v>
      </c>
      <c r="J399" s="4" t="s">
        <v>1368</v>
      </c>
      <c r="K399" t="s">
        <v>29</v>
      </c>
      <c r="L399" t="s">
        <v>120</v>
      </c>
      <c r="M399" t="s">
        <v>96</v>
      </c>
      <c r="N399" t="s">
        <v>32</v>
      </c>
      <c r="O399">
        <v>5</v>
      </c>
      <c r="P399">
        <v>4</v>
      </c>
      <c r="Q399" t="s">
        <v>33</v>
      </c>
      <c r="R399" t="s">
        <v>85</v>
      </c>
      <c r="S399" s="3">
        <v>136.21</v>
      </c>
      <c r="T399" t="s">
        <v>121</v>
      </c>
      <c r="U399" t="s">
        <v>36</v>
      </c>
      <c r="V399" t="str">
        <f t="shared" si="24"/>
        <v>2026-03</v>
      </c>
      <c r="W399" t="str">
        <f t="shared" si="25"/>
        <v>4-7 days</v>
      </c>
      <c r="X399" t="str">
        <f t="shared" si="26"/>
        <v>Refund Issued</v>
      </c>
      <c r="Y399" t="str">
        <f t="shared" si="27"/>
        <v>High</v>
      </c>
    </row>
    <row r="400" spans="1:25" ht="27.6">
      <c r="A400" t="s">
        <v>1369</v>
      </c>
      <c r="B400" t="s">
        <v>1370</v>
      </c>
      <c r="C400" t="s">
        <v>1371</v>
      </c>
      <c r="D400" s="2">
        <v>46164</v>
      </c>
      <c r="E400" t="s">
        <v>24</v>
      </c>
      <c r="F400" t="s">
        <v>25</v>
      </c>
      <c r="G400" s="3">
        <v>50.39</v>
      </c>
      <c r="H400" t="s">
        <v>41</v>
      </c>
      <c r="I400" t="s">
        <v>27</v>
      </c>
      <c r="J400" s="4" t="s">
        <v>1372</v>
      </c>
      <c r="K400" t="s">
        <v>29</v>
      </c>
      <c r="L400" t="s">
        <v>30</v>
      </c>
      <c r="M400" t="s">
        <v>31</v>
      </c>
      <c r="N400" t="s">
        <v>90</v>
      </c>
      <c r="O400">
        <v>5</v>
      </c>
      <c r="P400">
        <v>7</v>
      </c>
      <c r="Q400" t="s">
        <v>29</v>
      </c>
      <c r="R400" t="s">
        <v>34</v>
      </c>
      <c r="S400" s="3">
        <v>0</v>
      </c>
      <c r="T400" t="s">
        <v>35</v>
      </c>
      <c r="U400" t="s">
        <v>63</v>
      </c>
      <c r="V400" t="str">
        <f t="shared" si="24"/>
        <v>2026-05</v>
      </c>
      <c r="W400" t="str">
        <f t="shared" si="25"/>
        <v>4-7 days</v>
      </c>
      <c r="X400" t="str">
        <f t="shared" si="26"/>
        <v>No Refund</v>
      </c>
      <c r="Y400" t="str">
        <f t="shared" si="27"/>
        <v>High</v>
      </c>
    </row>
    <row r="401" spans="1:25" ht="27.6">
      <c r="A401" t="s">
        <v>1373</v>
      </c>
      <c r="B401" t="s">
        <v>1374</v>
      </c>
      <c r="C401" t="s">
        <v>1375</v>
      </c>
      <c r="D401" s="2">
        <v>46160</v>
      </c>
      <c r="E401" t="s">
        <v>94</v>
      </c>
      <c r="F401" t="s">
        <v>103</v>
      </c>
      <c r="G401" s="3">
        <v>29.9</v>
      </c>
      <c r="H401" t="s">
        <v>89</v>
      </c>
      <c r="I401" t="s">
        <v>50</v>
      </c>
      <c r="J401" s="4" t="s">
        <v>104</v>
      </c>
      <c r="K401" t="s">
        <v>33</v>
      </c>
      <c r="L401" t="s">
        <v>30</v>
      </c>
      <c r="M401" t="s">
        <v>31</v>
      </c>
      <c r="N401" t="s">
        <v>32</v>
      </c>
      <c r="O401">
        <v>5</v>
      </c>
      <c r="P401">
        <v>12</v>
      </c>
      <c r="Q401" t="s">
        <v>29</v>
      </c>
      <c r="R401" t="s">
        <v>34</v>
      </c>
      <c r="S401" s="3">
        <v>0</v>
      </c>
      <c r="T401" t="s">
        <v>247</v>
      </c>
      <c r="U401" t="s">
        <v>63</v>
      </c>
      <c r="V401" t="str">
        <f t="shared" si="24"/>
        <v>2026-05</v>
      </c>
      <c r="W401" t="str">
        <f t="shared" si="25"/>
        <v>8-14 days</v>
      </c>
      <c r="X401" t="str">
        <f t="shared" si="26"/>
        <v>No Refund</v>
      </c>
      <c r="Y401" t="str">
        <f t="shared" si="27"/>
        <v>Medium</v>
      </c>
    </row>
    <row r="402" spans="1:25" ht="27.6">
      <c r="A402" t="s">
        <v>1376</v>
      </c>
      <c r="B402" t="s">
        <v>1377</v>
      </c>
      <c r="C402" t="s">
        <v>1378</v>
      </c>
      <c r="D402" s="2">
        <v>46118</v>
      </c>
      <c r="E402" t="s">
        <v>24</v>
      </c>
      <c r="F402" t="s">
        <v>82</v>
      </c>
      <c r="G402" s="3">
        <v>24.42</v>
      </c>
      <c r="H402" t="s">
        <v>89</v>
      </c>
      <c r="I402" t="s">
        <v>27</v>
      </c>
      <c r="J402" s="4" t="s">
        <v>1379</v>
      </c>
      <c r="K402" t="s">
        <v>33</v>
      </c>
      <c r="L402" t="s">
        <v>30</v>
      </c>
      <c r="M402" t="s">
        <v>31</v>
      </c>
      <c r="N402" t="s">
        <v>32</v>
      </c>
      <c r="O402">
        <v>7</v>
      </c>
      <c r="P402">
        <v>8</v>
      </c>
      <c r="Q402" t="s">
        <v>29</v>
      </c>
      <c r="R402" t="s">
        <v>85</v>
      </c>
      <c r="S402" s="3">
        <v>24.42</v>
      </c>
      <c r="T402" t="s">
        <v>69</v>
      </c>
      <c r="U402" t="s">
        <v>63</v>
      </c>
      <c r="V402" t="str">
        <f t="shared" si="24"/>
        <v>2026-04</v>
      </c>
      <c r="W402" t="str">
        <f t="shared" si="25"/>
        <v>8-14 days</v>
      </c>
      <c r="X402" t="str">
        <f t="shared" si="26"/>
        <v>Refund Issued</v>
      </c>
      <c r="Y402" t="str">
        <f t="shared" si="27"/>
        <v>High</v>
      </c>
    </row>
    <row r="403" spans="1:25" ht="27.6">
      <c r="A403" t="s">
        <v>1380</v>
      </c>
      <c r="B403" t="s">
        <v>1381</v>
      </c>
      <c r="C403" t="s">
        <v>1382</v>
      </c>
      <c r="D403" s="2">
        <v>46173</v>
      </c>
      <c r="E403" t="s">
        <v>47</v>
      </c>
      <c r="F403" t="s">
        <v>25</v>
      </c>
      <c r="G403" s="3">
        <v>42.76</v>
      </c>
      <c r="H403" t="s">
        <v>89</v>
      </c>
      <c r="I403" t="s">
        <v>50</v>
      </c>
      <c r="J403" s="4" t="s">
        <v>42</v>
      </c>
      <c r="K403" t="s">
        <v>29</v>
      </c>
      <c r="L403" t="s">
        <v>30</v>
      </c>
      <c r="M403" t="s">
        <v>96</v>
      </c>
      <c r="N403" t="s">
        <v>32</v>
      </c>
      <c r="O403">
        <v>5</v>
      </c>
      <c r="P403">
        <v>2</v>
      </c>
      <c r="Q403" t="s">
        <v>33</v>
      </c>
      <c r="R403" t="s">
        <v>34</v>
      </c>
      <c r="S403" s="3">
        <v>42.76</v>
      </c>
      <c r="T403" t="s">
        <v>43</v>
      </c>
      <c r="U403" t="s">
        <v>36</v>
      </c>
      <c r="V403" t="str">
        <f t="shared" si="24"/>
        <v>2026-05</v>
      </c>
      <c r="W403" t="str">
        <f t="shared" si="25"/>
        <v>0-3 days</v>
      </c>
      <c r="X403" t="str">
        <f t="shared" si="26"/>
        <v>Refund Issued</v>
      </c>
      <c r="Y403" t="str">
        <f t="shared" si="27"/>
        <v>High</v>
      </c>
    </row>
    <row r="404" spans="1:25" ht="27.6">
      <c r="A404" t="s">
        <v>1383</v>
      </c>
      <c r="B404" t="s">
        <v>1384</v>
      </c>
      <c r="C404" t="s">
        <v>1385</v>
      </c>
      <c r="D404" s="2">
        <v>46141</v>
      </c>
      <c r="E404" t="s">
        <v>40</v>
      </c>
      <c r="F404" t="s">
        <v>57</v>
      </c>
      <c r="G404" s="3">
        <v>21.11</v>
      </c>
      <c r="H404" t="s">
        <v>108</v>
      </c>
      <c r="I404" t="s">
        <v>27</v>
      </c>
      <c r="J404" s="4" t="s">
        <v>59</v>
      </c>
      <c r="K404" t="s">
        <v>29</v>
      </c>
      <c r="L404" t="s">
        <v>60</v>
      </c>
      <c r="M404" t="s">
        <v>31</v>
      </c>
      <c r="N404" t="s">
        <v>32</v>
      </c>
      <c r="O404">
        <v>10</v>
      </c>
      <c r="P404">
        <v>12</v>
      </c>
      <c r="Q404" t="s">
        <v>29</v>
      </c>
      <c r="R404" t="s">
        <v>61</v>
      </c>
      <c r="S404" s="3">
        <v>10.55</v>
      </c>
      <c r="T404" t="s">
        <v>52</v>
      </c>
      <c r="U404" t="s">
        <v>63</v>
      </c>
      <c r="V404" t="str">
        <f t="shared" si="24"/>
        <v>2026-04</v>
      </c>
      <c r="W404" t="str">
        <f t="shared" si="25"/>
        <v>8-14 days</v>
      </c>
      <c r="X404" t="str">
        <f t="shared" si="26"/>
        <v>Refund Issued</v>
      </c>
      <c r="Y404" t="str">
        <f t="shared" si="27"/>
        <v>Low</v>
      </c>
    </row>
    <row r="405" spans="1:25" ht="27.6">
      <c r="A405" t="s">
        <v>1386</v>
      </c>
      <c r="B405" t="s">
        <v>1387</v>
      </c>
      <c r="C405" t="s">
        <v>1388</v>
      </c>
      <c r="D405" s="2">
        <v>46099</v>
      </c>
      <c r="E405" t="s">
        <v>94</v>
      </c>
      <c r="F405" t="s">
        <v>57</v>
      </c>
      <c r="G405" s="3">
        <v>36.03</v>
      </c>
      <c r="H405" t="s">
        <v>41</v>
      </c>
      <c r="I405" t="s">
        <v>27</v>
      </c>
      <c r="J405" s="4" t="s">
        <v>155</v>
      </c>
      <c r="K405" t="s">
        <v>29</v>
      </c>
      <c r="L405" t="s">
        <v>60</v>
      </c>
      <c r="M405" t="s">
        <v>31</v>
      </c>
      <c r="N405" t="s">
        <v>32</v>
      </c>
      <c r="O405">
        <v>10</v>
      </c>
      <c r="P405">
        <v>8</v>
      </c>
      <c r="Q405" t="s">
        <v>33</v>
      </c>
      <c r="R405" t="s">
        <v>61</v>
      </c>
      <c r="S405" s="3">
        <v>27.02</v>
      </c>
      <c r="T405" t="s">
        <v>62</v>
      </c>
      <c r="U405" t="s">
        <v>63</v>
      </c>
      <c r="V405" t="str">
        <f t="shared" si="24"/>
        <v>2026-03</v>
      </c>
      <c r="W405" t="str">
        <f t="shared" si="25"/>
        <v>8-14 days</v>
      </c>
      <c r="X405" t="str">
        <f t="shared" si="26"/>
        <v>Refund Issued</v>
      </c>
      <c r="Y405" t="str">
        <f t="shared" si="27"/>
        <v>Low</v>
      </c>
    </row>
    <row r="406" spans="1:25" ht="27.6">
      <c r="A406" t="s">
        <v>1389</v>
      </c>
      <c r="B406" t="s">
        <v>1390</v>
      </c>
      <c r="C406" t="s">
        <v>1391</v>
      </c>
      <c r="D406" s="2">
        <v>46115</v>
      </c>
      <c r="E406" t="s">
        <v>47</v>
      </c>
      <c r="F406" t="s">
        <v>172</v>
      </c>
      <c r="G406" s="3">
        <v>171.38</v>
      </c>
      <c r="H406" t="s">
        <v>108</v>
      </c>
      <c r="I406" t="s">
        <v>67</v>
      </c>
      <c r="J406" s="4" t="s">
        <v>173</v>
      </c>
      <c r="K406" t="s">
        <v>33</v>
      </c>
      <c r="L406" t="s">
        <v>30</v>
      </c>
      <c r="M406" t="s">
        <v>31</v>
      </c>
      <c r="N406" t="s">
        <v>84</v>
      </c>
      <c r="O406">
        <v>7</v>
      </c>
      <c r="P406">
        <v>7</v>
      </c>
      <c r="Q406" t="s">
        <v>33</v>
      </c>
      <c r="R406" t="s">
        <v>174</v>
      </c>
      <c r="S406" s="3">
        <v>0</v>
      </c>
      <c r="T406" t="s">
        <v>286</v>
      </c>
      <c r="U406" t="s">
        <v>53</v>
      </c>
      <c r="V406" t="str">
        <f t="shared" si="24"/>
        <v>2026-04</v>
      </c>
      <c r="W406" t="str">
        <f t="shared" si="25"/>
        <v>4-7 days</v>
      </c>
      <c r="X406" t="str">
        <f t="shared" si="26"/>
        <v>No Refund</v>
      </c>
      <c r="Y406" t="str">
        <f t="shared" si="27"/>
        <v>Medium</v>
      </c>
    </row>
    <row r="407" spans="1:25" ht="27.6">
      <c r="A407" t="s">
        <v>1392</v>
      </c>
      <c r="B407" t="s">
        <v>1393</v>
      </c>
      <c r="C407" t="s">
        <v>1394</v>
      </c>
      <c r="D407" s="2">
        <v>46057</v>
      </c>
      <c r="E407" t="s">
        <v>24</v>
      </c>
      <c r="F407" t="s">
        <v>25</v>
      </c>
      <c r="G407" s="3">
        <v>23.18</v>
      </c>
      <c r="H407" t="s">
        <v>41</v>
      </c>
      <c r="I407" t="s">
        <v>27</v>
      </c>
      <c r="J407" s="4" t="s">
        <v>1395</v>
      </c>
      <c r="K407" t="s">
        <v>33</v>
      </c>
      <c r="L407" t="s">
        <v>30</v>
      </c>
      <c r="M407" t="s">
        <v>31</v>
      </c>
      <c r="N407" t="s">
        <v>126</v>
      </c>
      <c r="O407">
        <v>5</v>
      </c>
      <c r="P407">
        <v>5</v>
      </c>
      <c r="Q407" t="s">
        <v>33</v>
      </c>
      <c r="R407" t="s">
        <v>34</v>
      </c>
      <c r="S407" s="3">
        <v>0</v>
      </c>
      <c r="T407" t="s">
        <v>35</v>
      </c>
      <c r="U407" t="s">
        <v>53</v>
      </c>
      <c r="V407" t="str">
        <f t="shared" si="24"/>
        <v>2026-02</v>
      </c>
      <c r="W407" t="str">
        <f t="shared" si="25"/>
        <v>4-7 days</v>
      </c>
      <c r="X407" t="str">
        <f t="shared" si="26"/>
        <v>No Refund</v>
      </c>
      <c r="Y407" t="str">
        <f t="shared" si="27"/>
        <v>High</v>
      </c>
    </row>
    <row r="408" spans="1:25" ht="27.6">
      <c r="A408" t="s">
        <v>1396</v>
      </c>
      <c r="B408" t="s">
        <v>1397</v>
      </c>
      <c r="C408" t="s">
        <v>1398</v>
      </c>
      <c r="D408" s="2">
        <v>46065</v>
      </c>
      <c r="E408" t="s">
        <v>47</v>
      </c>
      <c r="F408" t="s">
        <v>73</v>
      </c>
      <c r="G408" s="3">
        <v>183.6</v>
      </c>
      <c r="H408" t="s">
        <v>41</v>
      </c>
      <c r="I408" t="s">
        <v>27</v>
      </c>
      <c r="J408" s="4" t="s">
        <v>75</v>
      </c>
      <c r="K408" t="s">
        <v>29</v>
      </c>
      <c r="L408" t="s">
        <v>60</v>
      </c>
      <c r="M408" t="s">
        <v>31</v>
      </c>
      <c r="N408" t="s">
        <v>84</v>
      </c>
      <c r="O408">
        <v>10</v>
      </c>
      <c r="P408">
        <v>14</v>
      </c>
      <c r="Q408" t="s">
        <v>29</v>
      </c>
      <c r="R408" t="s">
        <v>61</v>
      </c>
      <c r="S408" s="3">
        <v>0</v>
      </c>
      <c r="T408" t="s">
        <v>52</v>
      </c>
      <c r="U408" t="s">
        <v>63</v>
      </c>
      <c r="V408" t="str">
        <f t="shared" si="24"/>
        <v>2026-02</v>
      </c>
      <c r="W408" t="str">
        <f t="shared" si="25"/>
        <v>8-14 days</v>
      </c>
      <c r="X408" t="str">
        <f t="shared" si="26"/>
        <v>No Refund</v>
      </c>
      <c r="Y408" t="str">
        <f t="shared" si="27"/>
        <v>Low</v>
      </c>
    </row>
    <row r="409" spans="1:25" ht="27.6">
      <c r="A409" t="s">
        <v>1399</v>
      </c>
      <c r="B409" t="s">
        <v>1400</v>
      </c>
      <c r="C409" t="s">
        <v>1401</v>
      </c>
      <c r="D409" s="2">
        <v>46118</v>
      </c>
      <c r="E409" t="s">
        <v>40</v>
      </c>
      <c r="F409" t="s">
        <v>82</v>
      </c>
      <c r="G409" s="3">
        <v>17.670000000000002</v>
      </c>
      <c r="H409" t="s">
        <v>49</v>
      </c>
      <c r="I409" t="s">
        <v>27</v>
      </c>
      <c r="J409" s="4" t="s">
        <v>114</v>
      </c>
      <c r="K409" t="s">
        <v>33</v>
      </c>
      <c r="L409" t="s">
        <v>30</v>
      </c>
      <c r="M409" t="s">
        <v>31</v>
      </c>
      <c r="N409" t="s">
        <v>32</v>
      </c>
      <c r="O409">
        <v>7</v>
      </c>
      <c r="P409">
        <v>11</v>
      </c>
      <c r="Q409" t="s">
        <v>29</v>
      </c>
      <c r="R409" t="s">
        <v>85</v>
      </c>
      <c r="S409" s="3">
        <v>0</v>
      </c>
      <c r="T409" t="s">
        <v>62</v>
      </c>
      <c r="U409" t="s">
        <v>63</v>
      </c>
      <c r="V409" t="str">
        <f t="shared" si="24"/>
        <v>2026-04</v>
      </c>
      <c r="W409" t="str">
        <f t="shared" si="25"/>
        <v>8-14 days</v>
      </c>
      <c r="X409" t="str">
        <f t="shared" si="26"/>
        <v>No Refund</v>
      </c>
      <c r="Y409" t="str">
        <f t="shared" si="27"/>
        <v>High</v>
      </c>
    </row>
    <row r="410" spans="1:25" ht="27.6">
      <c r="A410" t="s">
        <v>1402</v>
      </c>
      <c r="B410" t="s">
        <v>1403</v>
      </c>
      <c r="C410" t="s">
        <v>1404</v>
      </c>
      <c r="D410" s="2">
        <v>46042</v>
      </c>
      <c r="E410" t="s">
        <v>24</v>
      </c>
      <c r="F410" t="s">
        <v>25</v>
      </c>
      <c r="G410" s="3">
        <v>13.74</v>
      </c>
      <c r="H410" t="s">
        <v>58</v>
      </c>
      <c r="I410" t="s">
        <v>27</v>
      </c>
      <c r="J410" s="4" t="s">
        <v>1405</v>
      </c>
      <c r="K410" t="s">
        <v>33</v>
      </c>
      <c r="L410" t="s">
        <v>30</v>
      </c>
      <c r="M410" t="s">
        <v>31</v>
      </c>
      <c r="N410" t="s">
        <v>32</v>
      </c>
      <c r="O410">
        <v>5</v>
      </c>
      <c r="P410">
        <v>1</v>
      </c>
      <c r="Q410" t="s">
        <v>33</v>
      </c>
      <c r="R410" t="s">
        <v>34</v>
      </c>
      <c r="S410" s="3">
        <v>13.74</v>
      </c>
      <c r="T410" t="s">
        <v>35</v>
      </c>
      <c r="U410" t="s">
        <v>53</v>
      </c>
      <c r="V410" t="str">
        <f t="shared" si="24"/>
        <v>2026-01</v>
      </c>
      <c r="W410" t="str">
        <f t="shared" si="25"/>
        <v>0-3 days</v>
      </c>
      <c r="X410" t="str">
        <f t="shared" si="26"/>
        <v>Refund Issued</v>
      </c>
      <c r="Y410" t="str">
        <f t="shared" si="27"/>
        <v>High</v>
      </c>
    </row>
    <row r="411" spans="1:25" ht="27.6">
      <c r="A411" t="s">
        <v>1406</v>
      </c>
      <c r="B411" t="s">
        <v>1407</v>
      </c>
      <c r="C411" t="s">
        <v>1408</v>
      </c>
      <c r="D411" s="2">
        <v>46059</v>
      </c>
      <c r="E411" t="s">
        <v>40</v>
      </c>
      <c r="F411" t="s">
        <v>118</v>
      </c>
      <c r="G411" s="3">
        <v>25.46</v>
      </c>
      <c r="H411" t="s">
        <v>26</v>
      </c>
      <c r="I411" t="s">
        <v>27</v>
      </c>
      <c r="J411" s="4" t="s">
        <v>1409</v>
      </c>
      <c r="K411" t="s">
        <v>33</v>
      </c>
      <c r="L411" t="s">
        <v>30</v>
      </c>
      <c r="M411" t="s">
        <v>31</v>
      </c>
      <c r="N411" t="s">
        <v>32</v>
      </c>
      <c r="O411">
        <v>5</v>
      </c>
      <c r="P411">
        <v>7</v>
      </c>
      <c r="Q411" t="s">
        <v>29</v>
      </c>
      <c r="R411" t="s">
        <v>85</v>
      </c>
      <c r="S411" s="3">
        <v>12.73</v>
      </c>
      <c r="T411" t="s">
        <v>121</v>
      </c>
      <c r="U411" t="s">
        <v>63</v>
      </c>
      <c r="V411" t="str">
        <f t="shared" si="24"/>
        <v>2026-02</v>
      </c>
      <c r="W411" t="str">
        <f t="shared" si="25"/>
        <v>4-7 days</v>
      </c>
      <c r="X411" t="str">
        <f t="shared" si="26"/>
        <v>Refund Issued</v>
      </c>
      <c r="Y411" t="str">
        <f t="shared" si="27"/>
        <v>High</v>
      </c>
    </row>
    <row r="412" spans="1:25" ht="27.6">
      <c r="A412" t="s">
        <v>1410</v>
      </c>
      <c r="B412" t="s">
        <v>1411</v>
      </c>
      <c r="C412" t="s">
        <v>1412</v>
      </c>
      <c r="D412" s="2">
        <v>46038</v>
      </c>
      <c r="E412" t="s">
        <v>47</v>
      </c>
      <c r="F412" t="s">
        <v>73</v>
      </c>
      <c r="G412" s="3">
        <v>15.59</v>
      </c>
      <c r="H412" t="s">
        <v>26</v>
      </c>
      <c r="I412" t="s">
        <v>50</v>
      </c>
      <c r="J412" s="4" t="s">
        <v>75</v>
      </c>
      <c r="K412" t="s">
        <v>33</v>
      </c>
      <c r="L412" t="s">
        <v>60</v>
      </c>
      <c r="M412" t="s">
        <v>31</v>
      </c>
      <c r="N412" t="s">
        <v>32</v>
      </c>
      <c r="O412">
        <v>10</v>
      </c>
      <c r="P412">
        <v>15</v>
      </c>
      <c r="Q412" t="s">
        <v>29</v>
      </c>
      <c r="R412" t="s">
        <v>61</v>
      </c>
      <c r="S412" s="3">
        <v>7.79</v>
      </c>
      <c r="T412" t="s">
        <v>62</v>
      </c>
      <c r="U412" t="s">
        <v>63</v>
      </c>
      <c r="V412" t="str">
        <f t="shared" si="24"/>
        <v>2026-01</v>
      </c>
      <c r="W412" t="str">
        <f t="shared" si="25"/>
        <v>15+ days</v>
      </c>
      <c r="X412" t="str">
        <f t="shared" si="26"/>
        <v>Refund Issued</v>
      </c>
      <c r="Y412" t="str">
        <f t="shared" si="27"/>
        <v>Low</v>
      </c>
    </row>
    <row r="413" spans="1:25" ht="27.6">
      <c r="A413" t="s">
        <v>1413</v>
      </c>
      <c r="B413" t="s">
        <v>1414</v>
      </c>
      <c r="C413" t="s">
        <v>1415</v>
      </c>
      <c r="D413" s="2">
        <v>46112</v>
      </c>
      <c r="E413" t="s">
        <v>24</v>
      </c>
      <c r="F413" t="s">
        <v>73</v>
      </c>
      <c r="G413" s="3">
        <v>116.5</v>
      </c>
      <c r="H413" t="s">
        <v>89</v>
      </c>
      <c r="I413" t="s">
        <v>50</v>
      </c>
      <c r="J413" s="4" t="s">
        <v>75</v>
      </c>
      <c r="K413" t="s">
        <v>29</v>
      </c>
      <c r="L413" t="s">
        <v>60</v>
      </c>
      <c r="M413" t="s">
        <v>31</v>
      </c>
      <c r="N413" t="s">
        <v>32</v>
      </c>
      <c r="O413">
        <v>10</v>
      </c>
      <c r="P413">
        <v>17</v>
      </c>
      <c r="Q413" t="s">
        <v>29</v>
      </c>
      <c r="R413" t="s">
        <v>61</v>
      </c>
      <c r="S413" s="3">
        <v>116.5</v>
      </c>
      <c r="T413" t="s">
        <v>62</v>
      </c>
      <c r="U413" t="s">
        <v>63</v>
      </c>
      <c r="V413" t="str">
        <f t="shared" si="24"/>
        <v>2026-03</v>
      </c>
      <c r="W413" t="str">
        <f t="shared" si="25"/>
        <v>15+ days</v>
      </c>
      <c r="X413" t="str">
        <f t="shared" si="26"/>
        <v>Refund Issued</v>
      </c>
      <c r="Y413" t="str">
        <f t="shared" si="27"/>
        <v>Low</v>
      </c>
    </row>
    <row r="414" spans="1:25" ht="27.6">
      <c r="A414" t="s">
        <v>1416</v>
      </c>
      <c r="B414" t="s">
        <v>1417</v>
      </c>
      <c r="C414" t="s">
        <v>1418</v>
      </c>
      <c r="D414" s="2">
        <v>46160</v>
      </c>
      <c r="E414" t="s">
        <v>24</v>
      </c>
      <c r="F414" t="s">
        <v>103</v>
      </c>
      <c r="G414" s="3">
        <v>107.25</v>
      </c>
      <c r="H414" t="s">
        <v>58</v>
      </c>
      <c r="I414" t="s">
        <v>50</v>
      </c>
      <c r="J414" s="4" t="s">
        <v>104</v>
      </c>
      <c r="K414" t="s">
        <v>29</v>
      </c>
      <c r="L414" t="s">
        <v>30</v>
      </c>
      <c r="M414" t="s">
        <v>31</v>
      </c>
      <c r="N414" t="s">
        <v>32</v>
      </c>
      <c r="O414">
        <v>5</v>
      </c>
      <c r="P414">
        <v>7</v>
      </c>
      <c r="Q414" t="s">
        <v>29</v>
      </c>
      <c r="R414" t="s">
        <v>34</v>
      </c>
      <c r="S414" s="3">
        <v>53.62</v>
      </c>
      <c r="T414" t="s">
        <v>35</v>
      </c>
      <c r="U414" t="s">
        <v>63</v>
      </c>
      <c r="V414" t="str">
        <f t="shared" si="24"/>
        <v>2026-05</v>
      </c>
      <c r="W414" t="str">
        <f t="shared" si="25"/>
        <v>4-7 days</v>
      </c>
      <c r="X414" t="str">
        <f t="shared" si="26"/>
        <v>Refund Issued</v>
      </c>
      <c r="Y414" t="str">
        <f t="shared" si="27"/>
        <v>Medium</v>
      </c>
    </row>
    <row r="415" spans="1:25" ht="27.6">
      <c r="A415" t="s">
        <v>1419</v>
      </c>
      <c r="B415" t="s">
        <v>1420</v>
      </c>
      <c r="C415" t="s">
        <v>1421</v>
      </c>
      <c r="D415" s="2">
        <v>46103</v>
      </c>
      <c r="E415" t="s">
        <v>24</v>
      </c>
      <c r="F415" t="s">
        <v>25</v>
      </c>
      <c r="G415" s="3">
        <v>79.37</v>
      </c>
      <c r="H415" t="s">
        <v>26</v>
      </c>
      <c r="I415" t="s">
        <v>27</v>
      </c>
      <c r="J415" s="4" t="s">
        <v>42</v>
      </c>
      <c r="K415" t="s">
        <v>29</v>
      </c>
      <c r="L415" t="s">
        <v>30</v>
      </c>
      <c r="M415" t="s">
        <v>31</v>
      </c>
      <c r="N415" t="s">
        <v>32</v>
      </c>
      <c r="O415">
        <v>5</v>
      </c>
      <c r="P415">
        <v>8</v>
      </c>
      <c r="Q415" t="s">
        <v>29</v>
      </c>
      <c r="R415" t="s">
        <v>34</v>
      </c>
      <c r="S415" s="3">
        <v>0</v>
      </c>
      <c r="T415" t="s">
        <v>43</v>
      </c>
      <c r="U415" t="s">
        <v>63</v>
      </c>
      <c r="V415" t="str">
        <f t="shared" si="24"/>
        <v>2026-03</v>
      </c>
      <c r="W415" t="str">
        <f t="shared" si="25"/>
        <v>8-14 days</v>
      </c>
      <c r="X415" t="str">
        <f t="shared" si="26"/>
        <v>No Refund</v>
      </c>
      <c r="Y415" t="str">
        <f t="shared" si="27"/>
        <v>High</v>
      </c>
    </row>
    <row r="416" spans="1:25" ht="27.6">
      <c r="A416" t="s">
        <v>1422</v>
      </c>
      <c r="B416" t="s">
        <v>1423</v>
      </c>
      <c r="C416" t="s">
        <v>1424</v>
      </c>
      <c r="D416" s="2">
        <v>46164</v>
      </c>
      <c r="E416" t="s">
        <v>24</v>
      </c>
      <c r="F416" t="s">
        <v>48</v>
      </c>
      <c r="G416" s="3">
        <v>19.43</v>
      </c>
      <c r="H416" t="s">
        <v>49</v>
      </c>
      <c r="I416" t="s">
        <v>67</v>
      </c>
      <c r="J416" s="4" t="s">
        <v>51</v>
      </c>
      <c r="K416" t="s">
        <v>33</v>
      </c>
      <c r="L416" t="s">
        <v>30</v>
      </c>
      <c r="M416" t="s">
        <v>31</v>
      </c>
      <c r="N416" t="s">
        <v>32</v>
      </c>
      <c r="O416">
        <v>10</v>
      </c>
      <c r="P416">
        <v>13</v>
      </c>
      <c r="Q416" t="s">
        <v>29</v>
      </c>
      <c r="R416" t="s">
        <v>34</v>
      </c>
      <c r="S416" s="3">
        <v>14.57</v>
      </c>
      <c r="T416" t="s">
        <v>52</v>
      </c>
      <c r="U416" t="s">
        <v>63</v>
      </c>
      <c r="V416" t="str">
        <f t="shared" si="24"/>
        <v>2026-05</v>
      </c>
      <c r="W416" t="str">
        <f t="shared" si="25"/>
        <v>8-14 days</v>
      </c>
      <c r="X416" t="str">
        <f t="shared" si="26"/>
        <v>Refund Issued</v>
      </c>
      <c r="Y416" t="str">
        <f t="shared" si="27"/>
        <v>Low</v>
      </c>
    </row>
    <row r="417" spans="1:25" ht="27.6">
      <c r="A417" t="s">
        <v>1425</v>
      </c>
      <c r="B417" t="s">
        <v>1426</v>
      </c>
      <c r="C417" t="s">
        <v>1427</v>
      </c>
      <c r="D417" s="2">
        <v>46124</v>
      </c>
      <c r="E417" t="s">
        <v>24</v>
      </c>
      <c r="F417" t="s">
        <v>172</v>
      </c>
      <c r="G417" s="3">
        <v>115.32</v>
      </c>
      <c r="H417" t="s">
        <v>89</v>
      </c>
      <c r="I417" t="s">
        <v>67</v>
      </c>
      <c r="J417" s="4" t="s">
        <v>285</v>
      </c>
      <c r="K417" t="s">
        <v>33</v>
      </c>
      <c r="L417" t="s">
        <v>30</v>
      </c>
      <c r="M417" t="s">
        <v>31</v>
      </c>
      <c r="N417" t="s">
        <v>126</v>
      </c>
      <c r="O417">
        <v>7</v>
      </c>
      <c r="P417">
        <v>17</v>
      </c>
      <c r="Q417" t="s">
        <v>29</v>
      </c>
      <c r="R417" t="s">
        <v>174</v>
      </c>
      <c r="S417" s="3">
        <v>0</v>
      </c>
      <c r="T417" t="s">
        <v>69</v>
      </c>
      <c r="U417" t="s">
        <v>63</v>
      </c>
      <c r="V417" t="str">
        <f t="shared" si="24"/>
        <v>2026-04</v>
      </c>
      <c r="W417" t="str">
        <f t="shared" si="25"/>
        <v>15+ days</v>
      </c>
      <c r="X417" t="str">
        <f t="shared" si="26"/>
        <v>No Refund</v>
      </c>
      <c r="Y417" t="str">
        <f t="shared" si="27"/>
        <v>Medium</v>
      </c>
    </row>
    <row r="418" spans="1:25" ht="27.6">
      <c r="A418" t="s">
        <v>1428</v>
      </c>
      <c r="B418" t="s">
        <v>1429</v>
      </c>
      <c r="C418" t="s">
        <v>1430</v>
      </c>
      <c r="D418" s="2">
        <v>46171</v>
      </c>
      <c r="E418" t="s">
        <v>47</v>
      </c>
      <c r="F418" t="s">
        <v>57</v>
      </c>
      <c r="G418" s="3">
        <v>21.55</v>
      </c>
      <c r="H418" t="s">
        <v>108</v>
      </c>
      <c r="I418" t="s">
        <v>67</v>
      </c>
      <c r="J418" s="4" t="s">
        <v>59</v>
      </c>
      <c r="K418" t="s">
        <v>29</v>
      </c>
      <c r="L418" t="s">
        <v>60</v>
      </c>
      <c r="M418" t="s">
        <v>31</v>
      </c>
      <c r="N418" t="s">
        <v>32</v>
      </c>
      <c r="O418">
        <v>10</v>
      </c>
      <c r="P418">
        <v>11</v>
      </c>
      <c r="Q418" t="s">
        <v>29</v>
      </c>
      <c r="R418" t="s">
        <v>61</v>
      </c>
      <c r="S418" s="3">
        <v>21.55</v>
      </c>
      <c r="T418" t="s">
        <v>156</v>
      </c>
      <c r="U418" t="s">
        <v>63</v>
      </c>
      <c r="V418" t="str">
        <f t="shared" si="24"/>
        <v>2026-05</v>
      </c>
      <c r="W418" t="str">
        <f t="shared" si="25"/>
        <v>8-14 days</v>
      </c>
      <c r="X418" t="str">
        <f t="shared" si="26"/>
        <v>Refund Issued</v>
      </c>
      <c r="Y418" t="str">
        <f t="shared" si="27"/>
        <v>Low</v>
      </c>
    </row>
    <row r="419" spans="1:25" ht="27.6">
      <c r="A419" t="s">
        <v>1431</v>
      </c>
      <c r="B419" t="s">
        <v>1432</v>
      </c>
      <c r="C419" t="s">
        <v>1433</v>
      </c>
      <c r="D419" s="2">
        <v>46036</v>
      </c>
      <c r="E419" t="s">
        <v>40</v>
      </c>
      <c r="F419" t="s">
        <v>82</v>
      </c>
      <c r="G419" s="3">
        <v>50.73</v>
      </c>
      <c r="H419" t="s">
        <v>41</v>
      </c>
      <c r="I419" t="s">
        <v>50</v>
      </c>
      <c r="J419" s="4" t="s">
        <v>114</v>
      </c>
      <c r="K419" t="s">
        <v>29</v>
      </c>
      <c r="L419" t="s">
        <v>30</v>
      </c>
      <c r="M419" t="s">
        <v>31</v>
      </c>
      <c r="N419" t="s">
        <v>32</v>
      </c>
      <c r="O419">
        <v>7</v>
      </c>
      <c r="P419">
        <v>4</v>
      </c>
      <c r="Q419" t="s">
        <v>33</v>
      </c>
      <c r="R419" t="s">
        <v>85</v>
      </c>
      <c r="S419" s="3">
        <v>38.049999999999997</v>
      </c>
      <c r="T419" t="s">
        <v>43</v>
      </c>
      <c r="U419" t="s">
        <v>36</v>
      </c>
      <c r="V419" t="str">
        <f t="shared" si="24"/>
        <v>2026-01</v>
      </c>
      <c r="W419" t="str">
        <f t="shared" si="25"/>
        <v>4-7 days</v>
      </c>
      <c r="X419" t="str">
        <f t="shared" si="26"/>
        <v>Refund Issued</v>
      </c>
      <c r="Y419" t="str">
        <f t="shared" si="27"/>
        <v>High</v>
      </c>
    </row>
    <row r="420" spans="1:25" ht="27.6">
      <c r="A420" t="s">
        <v>1434</v>
      </c>
      <c r="B420" t="s">
        <v>1435</v>
      </c>
      <c r="C420" t="s">
        <v>1436</v>
      </c>
      <c r="D420" s="2">
        <v>46150</v>
      </c>
      <c r="E420" t="s">
        <v>47</v>
      </c>
      <c r="F420" t="s">
        <v>118</v>
      </c>
      <c r="G420" s="3">
        <v>7.96</v>
      </c>
      <c r="H420" t="s">
        <v>89</v>
      </c>
      <c r="I420" t="s">
        <v>27</v>
      </c>
      <c r="J420" s="4" t="s">
        <v>119</v>
      </c>
      <c r="K420" t="s">
        <v>33</v>
      </c>
      <c r="L420" t="s">
        <v>30</v>
      </c>
      <c r="M420" t="s">
        <v>31</v>
      </c>
      <c r="N420" t="s">
        <v>32</v>
      </c>
      <c r="O420">
        <v>5</v>
      </c>
      <c r="P420">
        <v>15</v>
      </c>
      <c r="Q420" t="s">
        <v>29</v>
      </c>
      <c r="R420" t="s">
        <v>85</v>
      </c>
      <c r="S420" s="3">
        <v>5.97</v>
      </c>
      <c r="T420" t="s">
        <v>121</v>
      </c>
      <c r="U420" t="s">
        <v>63</v>
      </c>
      <c r="V420" t="str">
        <f t="shared" si="24"/>
        <v>2026-05</v>
      </c>
      <c r="W420" t="str">
        <f t="shared" si="25"/>
        <v>15+ days</v>
      </c>
      <c r="X420" t="str">
        <f t="shared" si="26"/>
        <v>Refund Issued</v>
      </c>
      <c r="Y420" t="str">
        <f t="shared" si="27"/>
        <v>High</v>
      </c>
    </row>
    <row r="421" spans="1:25" ht="27.6">
      <c r="A421" t="s">
        <v>1437</v>
      </c>
      <c r="B421" t="s">
        <v>1438</v>
      </c>
      <c r="C421" t="s">
        <v>1439</v>
      </c>
      <c r="D421" s="2">
        <v>46031</v>
      </c>
      <c r="E421" t="s">
        <v>24</v>
      </c>
      <c r="F421" t="s">
        <v>172</v>
      </c>
      <c r="G421" s="3">
        <v>17.11</v>
      </c>
      <c r="H421" t="s">
        <v>41</v>
      </c>
      <c r="I421" t="s">
        <v>50</v>
      </c>
      <c r="J421" s="4" t="s">
        <v>285</v>
      </c>
      <c r="K421" t="s">
        <v>29</v>
      </c>
      <c r="L421" t="s">
        <v>30</v>
      </c>
      <c r="M421" t="s">
        <v>31</v>
      </c>
      <c r="N421" t="s">
        <v>32</v>
      </c>
      <c r="O421">
        <v>7</v>
      </c>
      <c r="P421">
        <v>7</v>
      </c>
      <c r="Q421" t="s">
        <v>33</v>
      </c>
      <c r="R421" t="s">
        <v>174</v>
      </c>
      <c r="S421" s="3">
        <v>17.11</v>
      </c>
      <c r="T421" t="s">
        <v>69</v>
      </c>
      <c r="U421" t="s">
        <v>36</v>
      </c>
      <c r="V421" t="str">
        <f t="shared" si="24"/>
        <v>2026-01</v>
      </c>
      <c r="W421" t="str">
        <f t="shared" si="25"/>
        <v>4-7 days</v>
      </c>
      <c r="X421" t="str">
        <f t="shared" si="26"/>
        <v>Refund Issued</v>
      </c>
      <c r="Y421" t="str">
        <f t="shared" si="27"/>
        <v>Medium</v>
      </c>
    </row>
    <row r="422" spans="1:25" ht="27.6">
      <c r="A422" t="s">
        <v>1440</v>
      </c>
      <c r="B422" t="s">
        <v>1441</v>
      </c>
      <c r="C422" t="s">
        <v>1442</v>
      </c>
      <c r="D422" s="2">
        <v>46037</v>
      </c>
      <c r="E422" t="s">
        <v>24</v>
      </c>
      <c r="F422" t="s">
        <v>82</v>
      </c>
      <c r="G422" s="3">
        <v>30.9</v>
      </c>
      <c r="H422" t="s">
        <v>26</v>
      </c>
      <c r="I422" t="s">
        <v>27</v>
      </c>
      <c r="J422" s="4" t="s">
        <v>1443</v>
      </c>
      <c r="K422" t="s">
        <v>29</v>
      </c>
      <c r="L422" t="s">
        <v>30</v>
      </c>
      <c r="M422" t="s">
        <v>31</v>
      </c>
      <c r="N422" t="s">
        <v>32</v>
      </c>
      <c r="O422">
        <v>7</v>
      </c>
      <c r="P422">
        <v>1</v>
      </c>
      <c r="Q422" t="s">
        <v>33</v>
      </c>
      <c r="R422" t="s">
        <v>85</v>
      </c>
      <c r="S422" s="3">
        <v>23.17</v>
      </c>
      <c r="T422" t="s">
        <v>62</v>
      </c>
      <c r="U422" t="s">
        <v>36</v>
      </c>
      <c r="V422" t="str">
        <f t="shared" si="24"/>
        <v>2026-01</v>
      </c>
      <c r="W422" t="str">
        <f t="shared" si="25"/>
        <v>0-3 days</v>
      </c>
      <c r="X422" t="str">
        <f t="shared" si="26"/>
        <v>Refund Issued</v>
      </c>
      <c r="Y422" t="str">
        <f t="shared" si="27"/>
        <v>High</v>
      </c>
    </row>
    <row r="423" spans="1:25" ht="27.6">
      <c r="A423" t="s">
        <v>1444</v>
      </c>
      <c r="B423" t="s">
        <v>1445</v>
      </c>
      <c r="C423" t="s">
        <v>1446</v>
      </c>
      <c r="D423" s="2">
        <v>46037</v>
      </c>
      <c r="E423" t="s">
        <v>40</v>
      </c>
      <c r="F423" t="s">
        <v>118</v>
      </c>
      <c r="G423" s="3">
        <v>68.709999999999994</v>
      </c>
      <c r="H423" t="s">
        <v>58</v>
      </c>
      <c r="I423" t="s">
        <v>27</v>
      </c>
      <c r="J423" s="4" t="s">
        <v>119</v>
      </c>
      <c r="K423" t="s">
        <v>29</v>
      </c>
      <c r="L423" t="s">
        <v>120</v>
      </c>
      <c r="M423" t="s">
        <v>96</v>
      </c>
      <c r="N423" t="s">
        <v>32</v>
      </c>
      <c r="O423">
        <v>5</v>
      </c>
      <c r="P423">
        <v>1</v>
      </c>
      <c r="Q423" t="s">
        <v>33</v>
      </c>
      <c r="R423" t="s">
        <v>85</v>
      </c>
      <c r="S423" s="3">
        <v>68.709999999999994</v>
      </c>
      <c r="T423" t="s">
        <v>121</v>
      </c>
      <c r="U423" t="s">
        <v>53</v>
      </c>
      <c r="V423" t="str">
        <f t="shared" si="24"/>
        <v>2026-01</v>
      </c>
      <c r="W423" t="str">
        <f t="shared" si="25"/>
        <v>0-3 days</v>
      </c>
      <c r="X423" t="str">
        <f t="shared" si="26"/>
        <v>Refund Issued</v>
      </c>
      <c r="Y423" t="str">
        <f t="shared" si="27"/>
        <v>High</v>
      </c>
    </row>
    <row r="424" spans="1:25" ht="27.6">
      <c r="A424" t="s">
        <v>1447</v>
      </c>
      <c r="B424" t="s">
        <v>1448</v>
      </c>
      <c r="C424" t="s">
        <v>1449</v>
      </c>
      <c r="D424" s="2">
        <v>46131</v>
      </c>
      <c r="E424" t="s">
        <v>47</v>
      </c>
      <c r="F424" t="s">
        <v>73</v>
      </c>
      <c r="G424" s="3">
        <v>13.21</v>
      </c>
      <c r="H424" t="s">
        <v>89</v>
      </c>
      <c r="I424" t="s">
        <v>27</v>
      </c>
      <c r="J424" s="4" t="s">
        <v>75</v>
      </c>
      <c r="K424" t="s">
        <v>29</v>
      </c>
      <c r="L424" t="s">
        <v>60</v>
      </c>
      <c r="M424" t="s">
        <v>31</v>
      </c>
      <c r="N424" t="s">
        <v>84</v>
      </c>
      <c r="O424">
        <v>10</v>
      </c>
      <c r="P424">
        <v>7</v>
      </c>
      <c r="Q424" t="s">
        <v>33</v>
      </c>
      <c r="R424" t="s">
        <v>61</v>
      </c>
      <c r="S424" s="3">
        <v>0</v>
      </c>
      <c r="T424" t="s">
        <v>62</v>
      </c>
      <c r="U424" t="s">
        <v>63</v>
      </c>
      <c r="V424" t="str">
        <f t="shared" si="24"/>
        <v>2026-04</v>
      </c>
      <c r="W424" t="str">
        <f t="shared" si="25"/>
        <v>4-7 days</v>
      </c>
      <c r="X424" t="str">
        <f t="shared" si="26"/>
        <v>No Refund</v>
      </c>
      <c r="Y424" t="str">
        <f t="shared" si="27"/>
        <v>Low</v>
      </c>
    </row>
    <row r="425" spans="1:25" ht="27.6">
      <c r="A425" t="s">
        <v>1450</v>
      </c>
      <c r="B425" t="s">
        <v>1451</v>
      </c>
      <c r="C425" t="s">
        <v>1452</v>
      </c>
      <c r="D425" s="2">
        <v>46151</v>
      </c>
      <c r="E425" t="s">
        <v>40</v>
      </c>
      <c r="F425" t="s">
        <v>172</v>
      </c>
      <c r="G425" s="3">
        <v>20.21</v>
      </c>
      <c r="H425" t="s">
        <v>108</v>
      </c>
      <c r="I425" t="s">
        <v>27</v>
      </c>
      <c r="J425" s="4" t="s">
        <v>173</v>
      </c>
      <c r="K425" t="s">
        <v>33</v>
      </c>
      <c r="L425" t="s">
        <v>30</v>
      </c>
      <c r="M425" t="s">
        <v>31</v>
      </c>
      <c r="N425" t="s">
        <v>126</v>
      </c>
      <c r="O425">
        <v>7</v>
      </c>
      <c r="P425">
        <v>10</v>
      </c>
      <c r="Q425" t="s">
        <v>29</v>
      </c>
      <c r="R425" t="s">
        <v>174</v>
      </c>
      <c r="S425" s="3">
        <v>0</v>
      </c>
      <c r="T425" t="s">
        <v>69</v>
      </c>
      <c r="U425" t="s">
        <v>63</v>
      </c>
      <c r="V425" t="str">
        <f t="shared" si="24"/>
        <v>2026-05</v>
      </c>
      <c r="W425" t="str">
        <f t="shared" si="25"/>
        <v>8-14 days</v>
      </c>
      <c r="X425" t="str">
        <f t="shared" si="26"/>
        <v>No Refund</v>
      </c>
      <c r="Y425" t="str">
        <f t="shared" si="27"/>
        <v>Medium</v>
      </c>
    </row>
    <row r="426" spans="1:25" ht="27.6">
      <c r="A426" t="s">
        <v>1453</v>
      </c>
      <c r="B426" t="s">
        <v>1454</v>
      </c>
      <c r="C426" t="s">
        <v>1455</v>
      </c>
      <c r="D426" s="2">
        <v>46035</v>
      </c>
      <c r="E426" t="s">
        <v>24</v>
      </c>
      <c r="F426" t="s">
        <v>172</v>
      </c>
      <c r="G426" s="3">
        <v>132.04</v>
      </c>
      <c r="H426" t="s">
        <v>26</v>
      </c>
      <c r="I426" t="s">
        <v>50</v>
      </c>
      <c r="J426" s="4" t="s">
        <v>173</v>
      </c>
      <c r="K426" t="s">
        <v>29</v>
      </c>
      <c r="L426" t="s">
        <v>30</v>
      </c>
      <c r="M426" t="s">
        <v>31</v>
      </c>
      <c r="N426" t="s">
        <v>90</v>
      </c>
      <c r="O426">
        <v>7</v>
      </c>
      <c r="P426">
        <v>7</v>
      </c>
      <c r="Q426" t="s">
        <v>33</v>
      </c>
      <c r="R426" t="s">
        <v>174</v>
      </c>
      <c r="S426" s="3">
        <v>0</v>
      </c>
      <c r="T426" t="s">
        <v>110</v>
      </c>
      <c r="U426" t="s">
        <v>36</v>
      </c>
      <c r="V426" t="str">
        <f t="shared" si="24"/>
        <v>2026-01</v>
      </c>
      <c r="W426" t="str">
        <f t="shared" si="25"/>
        <v>4-7 days</v>
      </c>
      <c r="X426" t="str">
        <f t="shared" si="26"/>
        <v>No Refund</v>
      </c>
      <c r="Y426" t="str">
        <f t="shared" si="27"/>
        <v>Medium</v>
      </c>
    </row>
    <row r="427" spans="1:25" ht="27.6">
      <c r="A427" t="s">
        <v>1456</v>
      </c>
      <c r="B427" t="s">
        <v>1457</v>
      </c>
      <c r="C427" t="s">
        <v>1458</v>
      </c>
      <c r="D427" s="2">
        <v>46042</v>
      </c>
      <c r="E427" t="s">
        <v>40</v>
      </c>
      <c r="F427" t="s">
        <v>118</v>
      </c>
      <c r="G427" s="3">
        <v>88.41</v>
      </c>
      <c r="H427" t="s">
        <v>89</v>
      </c>
      <c r="I427" t="s">
        <v>27</v>
      </c>
      <c r="J427" s="4" t="s">
        <v>1459</v>
      </c>
      <c r="K427" t="s">
        <v>29</v>
      </c>
      <c r="L427" t="s">
        <v>120</v>
      </c>
      <c r="M427" t="s">
        <v>96</v>
      </c>
      <c r="N427" t="s">
        <v>32</v>
      </c>
      <c r="O427">
        <v>5</v>
      </c>
      <c r="P427">
        <v>3</v>
      </c>
      <c r="Q427" t="s">
        <v>33</v>
      </c>
      <c r="R427" t="s">
        <v>85</v>
      </c>
      <c r="S427" s="3">
        <v>88.41</v>
      </c>
      <c r="T427" t="s">
        <v>121</v>
      </c>
      <c r="U427" t="s">
        <v>36</v>
      </c>
      <c r="V427" t="str">
        <f t="shared" si="24"/>
        <v>2026-01</v>
      </c>
      <c r="W427" t="str">
        <f t="shared" si="25"/>
        <v>0-3 days</v>
      </c>
      <c r="X427" t="str">
        <f t="shared" si="26"/>
        <v>Refund Issued</v>
      </c>
      <c r="Y427" t="str">
        <f t="shared" si="27"/>
        <v>High</v>
      </c>
    </row>
    <row r="428" spans="1:25" ht="27.6">
      <c r="A428" t="s">
        <v>1460</v>
      </c>
      <c r="B428" t="s">
        <v>1461</v>
      </c>
      <c r="C428" t="s">
        <v>1462</v>
      </c>
      <c r="D428" s="2">
        <v>46155</v>
      </c>
      <c r="E428" t="s">
        <v>94</v>
      </c>
      <c r="F428" t="s">
        <v>172</v>
      </c>
      <c r="G428" s="3">
        <v>78.489999999999995</v>
      </c>
      <c r="H428" t="s">
        <v>58</v>
      </c>
      <c r="I428" t="s">
        <v>50</v>
      </c>
      <c r="J428" s="4" t="s">
        <v>173</v>
      </c>
      <c r="K428" t="s">
        <v>29</v>
      </c>
      <c r="L428" t="s">
        <v>30</v>
      </c>
      <c r="M428" t="s">
        <v>31</v>
      </c>
      <c r="N428" t="s">
        <v>32</v>
      </c>
      <c r="O428">
        <v>7</v>
      </c>
      <c r="P428">
        <v>12</v>
      </c>
      <c r="Q428" t="s">
        <v>29</v>
      </c>
      <c r="R428" t="s">
        <v>174</v>
      </c>
      <c r="S428" s="3">
        <v>58.87</v>
      </c>
      <c r="T428" t="s">
        <v>286</v>
      </c>
      <c r="U428" t="s">
        <v>63</v>
      </c>
      <c r="V428" t="str">
        <f t="shared" si="24"/>
        <v>2026-05</v>
      </c>
      <c r="W428" t="str">
        <f t="shared" si="25"/>
        <v>8-14 days</v>
      </c>
      <c r="X428" t="str">
        <f t="shared" si="26"/>
        <v>Refund Issued</v>
      </c>
      <c r="Y428" t="str">
        <f t="shared" si="27"/>
        <v>Medium</v>
      </c>
    </row>
    <row r="429" spans="1:25" ht="27.6">
      <c r="A429" t="s">
        <v>1463</v>
      </c>
      <c r="B429" t="s">
        <v>1464</v>
      </c>
      <c r="C429" t="s">
        <v>1465</v>
      </c>
      <c r="D429" s="2">
        <v>46099</v>
      </c>
      <c r="E429" t="s">
        <v>94</v>
      </c>
      <c r="F429" t="s">
        <v>82</v>
      </c>
      <c r="G429" s="3">
        <v>143.72</v>
      </c>
      <c r="H429" t="s">
        <v>41</v>
      </c>
      <c r="I429" t="s">
        <v>67</v>
      </c>
      <c r="J429" s="4" t="s">
        <v>114</v>
      </c>
      <c r="K429" t="s">
        <v>29</v>
      </c>
      <c r="L429" t="s">
        <v>30</v>
      </c>
      <c r="M429" t="s">
        <v>31</v>
      </c>
      <c r="N429" t="s">
        <v>32</v>
      </c>
      <c r="O429">
        <v>7</v>
      </c>
      <c r="P429">
        <v>4</v>
      </c>
      <c r="Q429" t="s">
        <v>33</v>
      </c>
      <c r="R429" t="s">
        <v>85</v>
      </c>
      <c r="S429" s="3">
        <v>71.86</v>
      </c>
      <c r="T429" t="s">
        <v>69</v>
      </c>
      <c r="U429" t="s">
        <v>53</v>
      </c>
      <c r="V429" t="str">
        <f t="shared" si="24"/>
        <v>2026-03</v>
      </c>
      <c r="W429" t="str">
        <f t="shared" si="25"/>
        <v>4-7 days</v>
      </c>
      <c r="X429" t="str">
        <f t="shared" si="26"/>
        <v>Refund Issued</v>
      </c>
      <c r="Y429" t="str">
        <f t="shared" si="27"/>
        <v>High</v>
      </c>
    </row>
    <row r="430" spans="1:25" ht="27.6">
      <c r="A430" t="s">
        <v>1466</v>
      </c>
      <c r="B430" t="s">
        <v>566</v>
      </c>
      <c r="C430" t="s">
        <v>1467</v>
      </c>
      <c r="D430" s="2">
        <v>46085</v>
      </c>
      <c r="E430" t="s">
        <v>40</v>
      </c>
      <c r="F430" t="s">
        <v>118</v>
      </c>
      <c r="G430" s="3">
        <v>5</v>
      </c>
      <c r="H430" t="s">
        <v>108</v>
      </c>
      <c r="I430" t="s">
        <v>50</v>
      </c>
      <c r="J430" s="4" t="s">
        <v>1468</v>
      </c>
      <c r="K430" t="s">
        <v>29</v>
      </c>
      <c r="L430" t="s">
        <v>120</v>
      </c>
      <c r="M430" t="s">
        <v>96</v>
      </c>
      <c r="N430" t="s">
        <v>32</v>
      </c>
      <c r="O430">
        <v>5</v>
      </c>
      <c r="P430">
        <v>3</v>
      </c>
      <c r="Q430" t="s">
        <v>33</v>
      </c>
      <c r="R430" t="s">
        <v>85</v>
      </c>
      <c r="S430" s="3">
        <v>5</v>
      </c>
      <c r="T430" t="s">
        <v>121</v>
      </c>
      <c r="U430" t="s">
        <v>36</v>
      </c>
      <c r="V430" t="str">
        <f t="shared" si="24"/>
        <v>2026-03</v>
      </c>
      <c r="W430" t="str">
        <f t="shared" si="25"/>
        <v>0-3 days</v>
      </c>
      <c r="X430" t="str">
        <f t="shared" si="26"/>
        <v>Refund Issued</v>
      </c>
      <c r="Y430" t="str">
        <f t="shared" si="27"/>
        <v>High</v>
      </c>
    </row>
    <row r="431" spans="1:25" ht="27.6">
      <c r="A431" t="s">
        <v>1469</v>
      </c>
      <c r="B431" t="s">
        <v>1470</v>
      </c>
      <c r="C431" t="s">
        <v>1471</v>
      </c>
      <c r="D431" s="2">
        <v>46147</v>
      </c>
      <c r="E431" t="s">
        <v>40</v>
      </c>
      <c r="F431" t="s">
        <v>25</v>
      </c>
      <c r="G431" s="3">
        <v>93.95</v>
      </c>
      <c r="H431" t="s">
        <v>41</v>
      </c>
      <c r="I431" t="s">
        <v>67</v>
      </c>
      <c r="J431" s="4" t="s">
        <v>1472</v>
      </c>
      <c r="K431" t="s">
        <v>33</v>
      </c>
      <c r="L431" t="s">
        <v>30</v>
      </c>
      <c r="M431" t="s">
        <v>31</v>
      </c>
      <c r="N431" t="s">
        <v>126</v>
      </c>
      <c r="O431">
        <v>5</v>
      </c>
      <c r="P431">
        <v>10</v>
      </c>
      <c r="Q431" t="s">
        <v>29</v>
      </c>
      <c r="R431" t="s">
        <v>34</v>
      </c>
      <c r="S431" s="3">
        <v>0</v>
      </c>
      <c r="T431" t="s">
        <v>43</v>
      </c>
      <c r="U431" t="s">
        <v>63</v>
      </c>
      <c r="V431" t="str">
        <f t="shared" si="24"/>
        <v>2026-05</v>
      </c>
      <c r="W431" t="str">
        <f t="shared" si="25"/>
        <v>8-14 days</v>
      </c>
      <c r="X431" t="str">
        <f t="shared" si="26"/>
        <v>No Refund</v>
      </c>
      <c r="Y431" t="str">
        <f t="shared" si="27"/>
        <v>High</v>
      </c>
    </row>
    <row r="432" spans="1:25" ht="27.6">
      <c r="A432" t="s">
        <v>1473</v>
      </c>
      <c r="B432" t="s">
        <v>1474</v>
      </c>
      <c r="C432" t="s">
        <v>1475</v>
      </c>
      <c r="D432" s="2">
        <v>46058</v>
      </c>
      <c r="E432" t="s">
        <v>24</v>
      </c>
      <c r="F432" t="s">
        <v>172</v>
      </c>
      <c r="G432" s="3">
        <v>40.46</v>
      </c>
      <c r="H432" t="s">
        <v>58</v>
      </c>
      <c r="I432" t="s">
        <v>67</v>
      </c>
      <c r="J432" s="4" t="s">
        <v>285</v>
      </c>
      <c r="K432" t="s">
        <v>33</v>
      </c>
      <c r="L432" t="s">
        <v>30</v>
      </c>
      <c r="M432" t="s">
        <v>31</v>
      </c>
      <c r="N432" t="s">
        <v>32</v>
      </c>
      <c r="O432">
        <v>7</v>
      </c>
      <c r="P432">
        <v>10</v>
      </c>
      <c r="Q432" t="s">
        <v>29</v>
      </c>
      <c r="R432" t="s">
        <v>174</v>
      </c>
      <c r="S432" s="3">
        <v>30.34</v>
      </c>
      <c r="T432" t="s">
        <v>110</v>
      </c>
      <c r="U432" t="s">
        <v>63</v>
      </c>
      <c r="V432" t="str">
        <f t="shared" si="24"/>
        <v>2026-02</v>
      </c>
      <c r="W432" t="str">
        <f t="shared" si="25"/>
        <v>8-14 days</v>
      </c>
      <c r="X432" t="str">
        <f t="shared" si="26"/>
        <v>Refund Issued</v>
      </c>
      <c r="Y432" t="str">
        <f t="shared" si="27"/>
        <v>Medium</v>
      </c>
    </row>
    <row r="433" spans="1:25" ht="27.6">
      <c r="A433" t="s">
        <v>1476</v>
      </c>
      <c r="B433" t="s">
        <v>1477</v>
      </c>
      <c r="C433" t="s">
        <v>1478</v>
      </c>
      <c r="D433" s="2">
        <v>46083</v>
      </c>
      <c r="E433" t="s">
        <v>94</v>
      </c>
      <c r="F433" t="s">
        <v>118</v>
      </c>
      <c r="G433" s="3">
        <v>19.5</v>
      </c>
      <c r="H433" t="s">
        <v>41</v>
      </c>
      <c r="I433" t="s">
        <v>27</v>
      </c>
      <c r="J433" s="4" t="s">
        <v>119</v>
      </c>
      <c r="K433" t="s">
        <v>29</v>
      </c>
      <c r="L433" t="s">
        <v>120</v>
      </c>
      <c r="M433" t="s">
        <v>96</v>
      </c>
      <c r="N433" t="s">
        <v>32</v>
      </c>
      <c r="O433">
        <v>5</v>
      </c>
      <c r="P433">
        <v>9</v>
      </c>
      <c r="Q433" t="s">
        <v>29</v>
      </c>
      <c r="R433" t="s">
        <v>85</v>
      </c>
      <c r="S433" s="3">
        <v>19.5</v>
      </c>
      <c r="T433" t="s">
        <v>121</v>
      </c>
      <c r="U433" t="s">
        <v>63</v>
      </c>
      <c r="V433" t="str">
        <f t="shared" si="24"/>
        <v>2026-03</v>
      </c>
      <c r="W433" t="str">
        <f t="shared" si="25"/>
        <v>8-14 days</v>
      </c>
      <c r="X433" t="str">
        <f t="shared" si="26"/>
        <v>Refund Issued</v>
      </c>
      <c r="Y433" t="str">
        <f t="shared" si="27"/>
        <v>High</v>
      </c>
    </row>
    <row r="434" spans="1:25" ht="27.6">
      <c r="A434" t="s">
        <v>1479</v>
      </c>
      <c r="B434" t="s">
        <v>1480</v>
      </c>
      <c r="C434" t="s">
        <v>1481</v>
      </c>
      <c r="D434" s="2">
        <v>46051</v>
      </c>
      <c r="E434" t="s">
        <v>24</v>
      </c>
      <c r="F434" t="s">
        <v>82</v>
      </c>
      <c r="G434" s="3">
        <v>20.03</v>
      </c>
      <c r="H434" t="s">
        <v>49</v>
      </c>
      <c r="I434" t="s">
        <v>27</v>
      </c>
      <c r="J434" s="4" t="s">
        <v>114</v>
      </c>
      <c r="K434" t="s">
        <v>29</v>
      </c>
      <c r="L434" t="s">
        <v>30</v>
      </c>
      <c r="M434" t="s">
        <v>31</v>
      </c>
      <c r="N434" t="s">
        <v>84</v>
      </c>
      <c r="O434">
        <v>7</v>
      </c>
      <c r="P434">
        <v>10</v>
      </c>
      <c r="Q434" t="s">
        <v>29</v>
      </c>
      <c r="R434" t="s">
        <v>85</v>
      </c>
      <c r="S434" s="3">
        <v>0</v>
      </c>
      <c r="T434" t="s">
        <v>62</v>
      </c>
      <c r="U434" t="s">
        <v>63</v>
      </c>
      <c r="V434" t="str">
        <f t="shared" si="24"/>
        <v>2026-01</v>
      </c>
      <c r="W434" t="str">
        <f t="shared" si="25"/>
        <v>8-14 days</v>
      </c>
      <c r="X434" t="str">
        <f t="shared" si="26"/>
        <v>No Refund</v>
      </c>
      <c r="Y434" t="str">
        <f t="shared" si="27"/>
        <v>High</v>
      </c>
    </row>
    <row r="435" spans="1:25" ht="27.6">
      <c r="A435" t="s">
        <v>1482</v>
      </c>
      <c r="B435" t="s">
        <v>1483</v>
      </c>
      <c r="C435" t="s">
        <v>1484</v>
      </c>
      <c r="D435" s="2">
        <v>46121</v>
      </c>
      <c r="E435" t="s">
        <v>24</v>
      </c>
      <c r="F435" t="s">
        <v>48</v>
      </c>
      <c r="G435" s="3">
        <v>13.94</v>
      </c>
      <c r="H435" t="s">
        <v>26</v>
      </c>
      <c r="I435" t="s">
        <v>50</v>
      </c>
      <c r="J435" s="4" t="s">
        <v>68</v>
      </c>
      <c r="K435" t="s">
        <v>29</v>
      </c>
      <c r="L435" t="s">
        <v>30</v>
      </c>
      <c r="M435" t="s">
        <v>31</v>
      </c>
      <c r="N435" t="s">
        <v>32</v>
      </c>
      <c r="O435">
        <v>10</v>
      </c>
      <c r="P435">
        <v>7</v>
      </c>
      <c r="Q435" t="s">
        <v>33</v>
      </c>
      <c r="R435" t="s">
        <v>34</v>
      </c>
      <c r="S435" s="3">
        <v>0</v>
      </c>
      <c r="T435" t="s">
        <v>52</v>
      </c>
      <c r="U435" t="s">
        <v>36</v>
      </c>
      <c r="V435" t="str">
        <f t="shared" si="24"/>
        <v>2026-04</v>
      </c>
      <c r="W435" t="str">
        <f t="shared" si="25"/>
        <v>4-7 days</v>
      </c>
      <c r="X435" t="str">
        <f t="shared" si="26"/>
        <v>No Refund</v>
      </c>
      <c r="Y435" t="str">
        <f t="shared" si="27"/>
        <v>Low</v>
      </c>
    </row>
    <row r="436" spans="1:25" ht="27.6">
      <c r="A436" t="s">
        <v>1485</v>
      </c>
      <c r="B436" t="s">
        <v>1486</v>
      </c>
      <c r="C436" t="s">
        <v>1487</v>
      </c>
      <c r="D436" s="2">
        <v>46083</v>
      </c>
      <c r="E436" t="s">
        <v>24</v>
      </c>
      <c r="F436" t="s">
        <v>73</v>
      </c>
      <c r="G436" s="3">
        <v>16.73</v>
      </c>
      <c r="H436" t="s">
        <v>41</v>
      </c>
      <c r="I436" t="s">
        <v>67</v>
      </c>
      <c r="J436" s="4" t="s">
        <v>389</v>
      </c>
      <c r="K436" t="s">
        <v>33</v>
      </c>
      <c r="L436" t="s">
        <v>60</v>
      </c>
      <c r="M436" t="s">
        <v>31</v>
      </c>
      <c r="N436" t="s">
        <v>32</v>
      </c>
      <c r="O436">
        <v>10</v>
      </c>
      <c r="P436">
        <v>14</v>
      </c>
      <c r="Q436" t="s">
        <v>29</v>
      </c>
      <c r="R436" t="s">
        <v>61</v>
      </c>
      <c r="S436" s="3">
        <v>0</v>
      </c>
      <c r="T436" t="s">
        <v>52</v>
      </c>
      <c r="U436" t="s">
        <v>63</v>
      </c>
      <c r="V436" t="str">
        <f t="shared" si="24"/>
        <v>2026-03</v>
      </c>
      <c r="W436" t="str">
        <f t="shared" si="25"/>
        <v>8-14 days</v>
      </c>
      <c r="X436" t="str">
        <f t="shared" si="26"/>
        <v>No Refund</v>
      </c>
      <c r="Y436" t="str">
        <f t="shared" si="27"/>
        <v>Low</v>
      </c>
    </row>
    <row r="437" spans="1:25" ht="27.6">
      <c r="A437" t="s">
        <v>1488</v>
      </c>
      <c r="B437" t="s">
        <v>1489</v>
      </c>
      <c r="C437" t="s">
        <v>1490</v>
      </c>
      <c r="D437" s="2">
        <v>46131</v>
      </c>
      <c r="E437" t="s">
        <v>94</v>
      </c>
      <c r="F437" t="s">
        <v>57</v>
      </c>
      <c r="G437" s="3">
        <v>194.2</v>
      </c>
      <c r="H437" t="s">
        <v>89</v>
      </c>
      <c r="I437" t="s">
        <v>27</v>
      </c>
      <c r="J437" s="4" t="s">
        <v>155</v>
      </c>
      <c r="K437" t="s">
        <v>33</v>
      </c>
      <c r="L437" t="s">
        <v>60</v>
      </c>
      <c r="M437" t="s">
        <v>31</v>
      </c>
      <c r="N437" t="s">
        <v>126</v>
      </c>
      <c r="O437">
        <v>10</v>
      </c>
      <c r="P437">
        <v>8</v>
      </c>
      <c r="Q437" t="s">
        <v>33</v>
      </c>
      <c r="R437" t="s">
        <v>61</v>
      </c>
      <c r="S437" s="3">
        <v>0</v>
      </c>
      <c r="T437" t="s">
        <v>62</v>
      </c>
      <c r="U437" t="s">
        <v>63</v>
      </c>
      <c r="V437" t="str">
        <f t="shared" si="24"/>
        <v>2026-04</v>
      </c>
      <c r="W437" t="str">
        <f t="shared" si="25"/>
        <v>8-14 days</v>
      </c>
      <c r="X437" t="str">
        <f t="shared" si="26"/>
        <v>No Refund</v>
      </c>
      <c r="Y437" t="str">
        <f t="shared" si="27"/>
        <v>Low</v>
      </c>
    </row>
    <row r="438" spans="1:25" ht="27.6">
      <c r="A438" t="s">
        <v>1491</v>
      </c>
      <c r="B438" t="s">
        <v>1492</v>
      </c>
      <c r="C438" t="s">
        <v>1493</v>
      </c>
      <c r="D438" s="2">
        <v>46030</v>
      </c>
      <c r="E438" t="s">
        <v>40</v>
      </c>
      <c r="F438" t="s">
        <v>172</v>
      </c>
      <c r="G438" s="3">
        <v>17.66</v>
      </c>
      <c r="H438" t="s">
        <v>58</v>
      </c>
      <c r="I438" t="s">
        <v>27</v>
      </c>
      <c r="J438" s="4" t="s">
        <v>285</v>
      </c>
      <c r="K438" t="s">
        <v>29</v>
      </c>
      <c r="L438" t="s">
        <v>30</v>
      </c>
      <c r="M438" t="s">
        <v>31</v>
      </c>
      <c r="N438" t="s">
        <v>32</v>
      </c>
      <c r="O438">
        <v>7</v>
      </c>
      <c r="P438">
        <v>6</v>
      </c>
      <c r="Q438" t="s">
        <v>33</v>
      </c>
      <c r="R438" t="s">
        <v>174</v>
      </c>
      <c r="S438" s="3">
        <v>17.66</v>
      </c>
      <c r="T438" t="s">
        <v>110</v>
      </c>
      <c r="U438" t="s">
        <v>53</v>
      </c>
      <c r="V438" t="str">
        <f t="shared" si="24"/>
        <v>2026-01</v>
      </c>
      <c r="W438" t="str">
        <f t="shared" si="25"/>
        <v>4-7 days</v>
      </c>
      <c r="X438" t="str">
        <f t="shared" si="26"/>
        <v>Refund Issued</v>
      </c>
      <c r="Y438" t="str">
        <f t="shared" si="27"/>
        <v>Medium</v>
      </c>
    </row>
    <row r="439" spans="1:25" ht="27.6">
      <c r="A439" t="s">
        <v>1494</v>
      </c>
      <c r="B439" t="s">
        <v>1495</v>
      </c>
      <c r="C439" t="s">
        <v>1496</v>
      </c>
      <c r="D439" s="2">
        <v>46145</v>
      </c>
      <c r="E439" t="s">
        <v>94</v>
      </c>
      <c r="F439" t="s">
        <v>25</v>
      </c>
      <c r="G439" s="3">
        <v>12.55</v>
      </c>
      <c r="H439" t="s">
        <v>41</v>
      </c>
      <c r="I439" t="s">
        <v>67</v>
      </c>
      <c r="J439" s="4" t="s">
        <v>1497</v>
      </c>
      <c r="K439" t="s">
        <v>29</v>
      </c>
      <c r="L439" t="s">
        <v>30</v>
      </c>
      <c r="M439" t="s">
        <v>31</v>
      </c>
      <c r="N439" t="s">
        <v>32</v>
      </c>
      <c r="O439">
        <v>5</v>
      </c>
      <c r="P439">
        <v>9</v>
      </c>
      <c r="Q439" t="s">
        <v>29</v>
      </c>
      <c r="R439" t="s">
        <v>34</v>
      </c>
      <c r="S439" s="3">
        <v>9.41</v>
      </c>
      <c r="T439" t="s">
        <v>43</v>
      </c>
      <c r="U439" t="s">
        <v>63</v>
      </c>
      <c r="V439" t="str">
        <f t="shared" si="24"/>
        <v>2026-05</v>
      </c>
      <c r="W439" t="str">
        <f t="shared" si="25"/>
        <v>8-14 days</v>
      </c>
      <c r="X439" t="str">
        <f t="shared" si="26"/>
        <v>Refund Issued</v>
      </c>
      <c r="Y439" t="str">
        <f t="shared" si="27"/>
        <v>High</v>
      </c>
    </row>
    <row r="440" spans="1:25" ht="27.6">
      <c r="A440" t="s">
        <v>1498</v>
      </c>
      <c r="B440" t="s">
        <v>1499</v>
      </c>
      <c r="C440" t="s">
        <v>1500</v>
      </c>
      <c r="D440" s="2">
        <v>46165</v>
      </c>
      <c r="E440" t="s">
        <v>40</v>
      </c>
      <c r="F440" t="s">
        <v>172</v>
      </c>
      <c r="G440" s="3">
        <v>9.27</v>
      </c>
      <c r="H440" t="s">
        <v>74</v>
      </c>
      <c r="I440" t="s">
        <v>27</v>
      </c>
      <c r="J440" s="4" t="s">
        <v>173</v>
      </c>
      <c r="K440" t="s">
        <v>29</v>
      </c>
      <c r="L440" t="s">
        <v>30</v>
      </c>
      <c r="M440" t="s">
        <v>31</v>
      </c>
      <c r="N440" t="s">
        <v>32</v>
      </c>
      <c r="O440">
        <v>7</v>
      </c>
      <c r="P440">
        <v>7</v>
      </c>
      <c r="Q440" t="s">
        <v>33</v>
      </c>
      <c r="R440" t="s">
        <v>174</v>
      </c>
      <c r="S440" s="3">
        <v>0</v>
      </c>
      <c r="T440" t="s">
        <v>110</v>
      </c>
      <c r="U440" t="s">
        <v>53</v>
      </c>
      <c r="V440" t="str">
        <f t="shared" si="24"/>
        <v>2026-05</v>
      </c>
      <c r="W440" t="str">
        <f t="shared" si="25"/>
        <v>4-7 days</v>
      </c>
      <c r="X440" t="str">
        <f t="shared" si="26"/>
        <v>No Refund</v>
      </c>
      <c r="Y440" t="str">
        <f t="shared" si="27"/>
        <v>Medium</v>
      </c>
    </row>
    <row r="441" spans="1:25" ht="27.6">
      <c r="A441" t="s">
        <v>1501</v>
      </c>
      <c r="B441" t="s">
        <v>1502</v>
      </c>
      <c r="C441" t="s">
        <v>1503</v>
      </c>
      <c r="D441" s="2">
        <v>46139</v>
      </c>
      <c r="E441" t="s">
        <v>40</v>
      </c>
      <c r="F441" t="s">
        <v>82</v>
      </c>
      <c r="G441" s="3">
        <v>24.43</v>
      </c>
      <c r="H441" t="s">
        <v>49</v>
      </c>
      <c r="I441" t="s">
        <v>67</v>
      </c>
      <c r="J441" s="4" t="s">
        <v>1504</v>
      </c>
      <c r="K441" t="s">
        <v>29</v>
      </c>
      <c r="L441" t="s">
        <v>30</v>
      </c>
      <c r="M441" t="s">
        <v>31</v>
      </c>
      <c r="N441" t="s">
        <v>32</v>
      </c>
      <c r="O441">
        <v>7</v>
      </c>
      <c r="P441">
        <v>7</v>
      </c>
      <c r="Q441" t="s">
        <v>33</v>
      </c>
      <c r="R441" t="s">
        <v>85</v>
      </c>
      <c r="S441" s="3">
        <v>12.21</v>
      </c>
      <c r="T441" t="s">
        <v>62</v>
      </c>
      <c r="U441" t="s">
        <v>53</v>
      </c>
      <c r="V441" t="str">
        <f t="shared" si="24"/>
        <v>2026-04</v>
      </c>
      <c r="W441" t="str">
        <f t="shared" si="25"/>
        <v>4-7 days</v>
      </c>
      <c r="X441" t="str">
        <f t="shared" si="26"/>
        <v>Refund Issued</v>
      </c>
      <c r="Y441" t="str">
        <f t="shared" si="27"/>
        <v>High</v>
      </c>
    </row>
    <row r="442" spans="1:25" ht="27.6">
      <c r="A442" t="s">
        <v>1505</v>
      </c>
      <c r="B442" t="s">
        <v>1506</v>
      </c>
      <c r="C442" t="s">
        <v>1507</v>
      </c>
      <c r="D442" s="2">
        <v>46069</v>
      </c>
      <c r="E442" t="s">
        <v>24</v>
      </c>
      <c r="F442" t="s">
        <v>25</v>
      </c>
      <c r="G442" s="3">
        <v>26.72</v>
      </c>
      <c r="H442" t="s">
        <v>89</v>
      </c>
      <c r="I442" t="s">
        <v>27</v>
      </c>
      <c r="J442" s="4" t="s">
        <v>1508</v>
      </c>
      <c r="K442" t="s">
        <v>29</v>
      </c>
      <c r="L442" t="s">
        <v>30</v>
      </c>
      <c r="M442" t="s">
        <v>31</v>
      </c>
      <c r="N442" t="s">
        <v>32</v>
      </c>
      <c r="O442">
        <v>5</v>
      </c>
      <c r="P442">
        <v>4</v>
      </c>
      <c r="Q442" t="s">
        <v>33</v>
      </c>
      <c r="R442" t="s">
        <v>34</v>
      </c>
      <c r="S442" s="3">
        <v>20.04</v>
      </c>
      <c r="T442" t="s">
        <v>35</v>
      </c>
      <c r="U442" t="s">
        <v>36</v>
      </c>
      <c r="V442" t="str">
        <f t="shared" si="24"/>
        <v>2026-02</v>
      </c>
      <c r="W442" t="str">
        <f t="shared" si="25"/>
        <v>4-7 days</v>
      </c>
      <c r="X442" t="str">
        <f t="shared" si="26"/>
        <v>Refund Issued</v>
      </c>
      <c r="Y442" t="str">
        <f t="shared" si="27"/>
        <v>High</v>
      </c>
    </row>
    <row r="443" spans="1:25" ht="27.6">
      <c r="A443" t="s">
        <v>1509</v>
      </c>
      <c r="B443" t="s">
        <v>1510</v>
      </c>
      <c r="C443" t="s">
        <v>1511</v>
      </c>
      <c r="D443" s="2">
        <v>46131</v>
      </c>
      <c r="E443" t="s">
        <v>40</v>
      </c>
      <c r="F443" t="s">
        <v>118</v>
      </c>
      <c r="G443" s="3">
        <v>29.41</v>
      </c>
      <c r="H443" t="s">
        <v>41</v>
      </c>
      <c r="I443" t="s">
        <v>67</v>
      </c>
      <c r="J443" s="4" t="s">
        <v>1512</v>
      </c>
      <c r="K443" t="s">
        <v>33</v>
      </c>
      <c r="L443" t="s">
        <v>30</v>
      </c>
      <c r="M443" t="s">
        <v>31</v>
      </c>
      <c r="N443" t="s">
        <v>126</v>
      </c>
      <c r="O443">
        <v>5</v>
      </c>
      <c r="P443">
        <v>5</v>
      </c>
      <c r="Q443" t="s">
        <v>33</v>
      </c>
      <c r="R443" t="s">
        <v>85</v>
      </c>
      <c r="S443" s="3">
        <v>0</v>
      </c>
      <c r="T443" t="s">
        <v>121</v>
      </c>
      <c r="U443" t="s">
        <v>53</v>
      </c>
      <c r="V443" t="str">
        <f t="shared" si="24"/>
        <v>2026-04</v>
      </c>
      <c r="W443" t="str">
        <f t="shared" si="25"/>
        <v>4-7 days</v>
      </c>
      <c r="X443" t="str">
        <f t="shared" si="26"/>
        <v>No Refund</v>
      </c>
      <c r="Y443" t="str">
        <f t="shared" si="27"/>
        <v>High</v>
      </c>
    </row>
    <row r="444" spans="1:25" ht="27.6">
      <c r="A444" t="s">
        <v>1513</v>
      </c>
      <c r="B444" t="s">
        <v>1514</v>
      </c>
      <c r="C444" t="s">
        <v>1515</v>
      </c>
      <c r="D444" s="2">
        <v>46120</v>
      </c>
      <c r="E444" t="s">
        <v>24</v>
      </c>
      <c r="F444" t="s">
        <v>82</v>
      </c>
      <c r="G444" s="3">
        <v>49.75</v>
      </c>
      <c r="H444" t="s">
        <v>41</v>
      </c>
      <c r="I444" t="s">
        <v>27</v>
      </c>
      <c r="J444" s="4" t="s">
        <v>114</v>
      </c>
      <c r="K444" t="s">
        <v>29</v>
      </c>
      <c r="L444" t="s">
        <v>30</v>
      </c>
      <c r="M444" t="s">
        <v>31</v>
      </c>
      <c r="N444" t="s">
        <v>32</v>
      </c>
      <c r="O444">
        <v>7</v>
      </c>
      <c r="P444">
        <v>7</v>
      </c>
      <c r="Q444" t="s">
        <v>33</v>
      </c>
      <c r="R444" t="s">
        <v>85</v>
      </c>
      <c r="S444" s="3">
        <v>24.88</v>
      </c>
      <c r="T444" t="s">
        <v>69</v>
      </c>
      <c r="U444" t="s">
        <v>36</v>
      </c>
      <c r="V444" t="str">
        <f t="shared" si="24"/>
        <v>2026-04</v>
      </c>
      <c r="W444" t="str">
        <f t="shared" si="25"/>
        <v>4-7 days</v>
      </c>
      <c r="X444" t="str">
        <f t="shared" si="26"/>
        <v>Refund Issued</v>
      </c>
      <c r="Y444" t="str">
        <f t="shared" si="27"/>
        <v>High</v>
      </c>
    </row>
    <row r="445" spans="1:25" ht="27.6">
      <c r="A445" t="s">
        <v>1516</v>
      </c>
      <c r="B445" t="s">
        <v>1517</v>
      </c>
      <c r="C445" t="s">
        <v>1518</v>
      </c>
      <c r="D445" s="2">
        <v>46055</v>
      </c>
      <c r="E445" t="s">
        <v>47</v>
      </c>
      <c r="F445" t="s">
        <v>48</v>
      </c>
      <c r="G445" s="3">
        <v>24.55</v>
      </c>
      <c r="H445" t="s">
        <v>108</v>
      </c>
      <c r="I445" t="s">
        <v>27</v>
      </c>
      <c r="J445" s="4" t="s">
        <v>68</v>
      </c>
      <c r="K445" t="s">
        <v>33</v>
      </c>
      <c r="L445" t="s">
        <v>30</v>
      </c>
      <c r="M445" t="s">
        <v>31</v>
      </c>
      <c r="N445" t="s">
        <v>90</v>
      </c>
      <c r="O445">
        <v>10</v>
      </c>
      <c r="P445">
        <v>7</v>
      </c>
      <c r="Q445" t="s">
        <v>33</v>
      </c>
      <c r="R445" t="s">
        <v>34</v>
      </c>
      <c r="S445" s="3">
        <v>0</v>
      </c>
      <c r="T445" t="s">
        <v>62</v>
      </c>
      <c r="U445" t="s">
        <v>36</v>
      </c>
      <c r="V445" t="str">
        <f t="shared" si="24"/>
        <v>2026-02</v>
      </c>
      <c r="W445" t="str">
        <f t="shared" si="25"/>
        <v>4-7 days</v>
      </c>
      <c r="X445" t="str">
        <f t="shared" si="26"/>
        <v>No Refund</v>
      </c>
      <c r="Y445" t="str">
        <f t="shared" si="27"/>
        <v>Low</v>
      </c>
    </row>
    <row r="446" spans="1:25" ht="27.6">
      <c r="A446" t="s">
        <v>1519</v>
      </c>
      <c r="B446" t="s">
        <v>1520</v>
      </c>
      <c r="C446" t="s">
        <v>1521</v>
      </c>
      <c r="D446" s="2">
        <v>46148</v>
      </c>
      <c r="E446" t="s">
        <v>40</v>
      </c>
      <c r="F446" t="s">
        <v>25</v>
      </c>
      <c r="G446" s="3">
        <v>181.76</v>
      </c>
      <c r="H446" t="s">
        <v>49</v>
      </c>
      <c r="I446" t="s">
        <v>27</v>
      </c>
      <c r="J446" s="4" t="s">
        <v>42</v>
      </c>
      <c r="K446" t="s">
        <v>29</v>
      </c>
      <c r="L446" t="s">
        <v>30</v>
      </c>
      <c r="M446" t="s">
        <v>31</v>
      </c>
      <c r="N446" t="s">
        <v>32</v>
      </c>
      <c r="O446">
        <v>5</v>
      </c>
      <c r="P446">
        <v>6</v>
      </c>
      <c r="Q446" t="s">
        <v>29</v>
      </c>
      <c r="R446" t="s">
        <v>34</v>
      </c>
      <c r="S446" s="3">
        <v>0</v>
      </c>
      <c r="T446" t="s">
        <v>110</v>
      </c>
      <c r="U446" t="s">
        <v>63</v>
      </c>
      <c r="V446" t="str">
        <f t="shared" si="24"/>
        <v>2026-05</v>
      </c>
      <c r="W446" t="str">
        <f t="shared" si="25"/>
        <v>4-7 days</v>
      </c>
      <c r="X446" t="str">
        <f t="shared" si="26"/>
        <v>No Refund</v>
      </c>
      <c r="Y446" t="str">
        <f t="shared" si="27"/>
        <v>High</v>
      </c>
    </row>
    <row r="447" spans="1:25" ht="27.6">
      <c r="A447" t="s">
        <v>1522</v>
      </c>
      <c r="B447" t="s">
        <v>1523</v>
      </c>
      <c r="C447" t="s">
        <v>1524</v>
      </c>
      <c r="D447" s="2">
        <v>46033</v>
      </c>
      <c r="E447" t="s">
        <v>47</v>
      </c>
      <c r="F447" t="s">
        <v>48</v>
      </c>
      <c r="G447" s="3">
        <v>47.64</v>
      </c>
      <c r="H447" t="s">
        <v>26</v>
      </c>
      <c r="I447" t="s">
        <v>67</v>
      </c>
      <c r="J447" s="4" t="s">
        <v>51</v>
      </c>
      <c r="K447" t="s">
        <v>33</v>
      </c>
      <c r="L447" t="s">
        <v>30</v>
      </c>
      <c r="M447" t="s">
        <v>31</v>
      </c>
      <c r="N447" t="s">
        <v>32</v>
      </c>
      <c r="O447">
        <v>10</v>
      </c>
      <c r="P447">
        <v>9</v>
      </c>
      <c r="Q447" t="s">
        <v>33</v>
      </c>
      <c r="R447" t="s">
        <v>34</v>
      </c>
      <c r="S447" s="3">
        <v>35.729999999999997</v>
      </c>
      <c r="T447" t="s">
        <v>69</v>
      </c>
      <c r="U447" t="s">
        <v>63</v>
      </c>
      <c r="V447" t="str">
        <f t="shared" si="24"/>
        <v>2026-01</v>
      </c>
      <c r="W447" t="str">
        <f t="shared" si="25"/>
        <v>8-14 days</v>
      </c>
      <c r="X447" t="str">
        <f t="shared" si="26"/>
        <v>Refund Issued</v>
      </c>
      <c r="Y447" t="str">
        <f t="shared" si="27"/>
        <v>Low</v>
      </c>
    </row>
    <row r="448" spans="1:25" ht="27.6">
      <c r="A448" t="s">
        <v>1525</v>
      </c>
      <c r="B448" t="s">
        <v>1526</v>
      </c>
      <c r="C448" t="s">
        <v>1527</v>
      </c>
      <c r="D448" s="2">
        <v>46153</v>
      </c>
      <c r="E448" t="s">
        <v>40</v>
      </c>
      <c r="F448" t="s">
        <v>172</v>
      </c>
      <c r="G448" s="3">
        <v>54.71</v>
      </c>
      <c r="H448" t="s">
        <v>26</v>
      </c>
      <c r="I448" t="s">
        <v>50</v>
      </c>
      <c r="J448" s="4" t="s">
        <v>173</v>
      </c>
      <c r="K448" t="s">
        <v>29</v>
      </c>
      <c r="L448" t="s">
        <v>30</v>
      </c>
      <c r="M448" t="s">
        <v>31</v>
      </c>
      <c r="N448" t="s">
        <v>32</v>
      </c>
      <c r="O448">
        <v>7</v>
      </c>
      <c r="P448">
        <v>9</v>
      </c>
      <c r="Q448" t="s">
        <v>29</v>
      </c>
      <c r="R448" t="s">
        <v>174</v>
      </c>
      <c r="S448" s="3">
        <v>41.03</v>
      </c>
      <c r="T448" t="s">
        <v>286</v>
      </c>
      <c r="U448" t="s">
        <v>63</v>
      </c>
      <c r="V448" t="str">
        <f t="shared" si="24"/>
        <v>2026-05</v>
      </c>
      <c r="W448" t="str">
        <f t="shared" si="25"/>
        <v>8-14 days</v>
      </c>
      <c r="X448" t="str">
        <f t="shared" si="26"/>
        <v>Refund Issued</v>
      </c>
      <c r="Y448" t="str">
        <f t="shared" si="27"/>
        <v>Medium</v>
      </c>
    </row>
    <row r="449" spans="1:25" ht="27.6">
      <c r="A449" t="s">
        <v>1528</v>
      </c>
      <c r="B449" t="s">
        <v>1529</v>
      </c>
      <c r="C449" t="s">
        <v>1530</v>
      </c>
      <c r="D449" s="2">
        <v>46054</v>
      </c>
      <c r="E449" t="s">
        <v>24</v>
      </c>
      <c r="F449" t="s">
        <v>172</v>
      </c>
      <c r="G449" s="3">
        <v>166.73</v>
      </c>
      <c r="H449" t="s">
        <v>108</v>
      </c>
      <c r="I449" t="s">
        <v>50</v>
      </c>
      <c r="J449" s="4" t="s">
        <v>285</v>
      </c>
      <c r="K449" t="s">
        <v>29</v>
      </c>
      <c r="L449" t="s">
        <v>30</v>
      </c>
      <c r="M449" t="s">
        <v>31</v>
      </c>
      <c r="N449" t="s">
        <v>32</v>
      </c>
      <c r="O449">
        <v>7</v>
      </c>
      <c r="P449">
        <v>6</v>
      </c>
      <c r="Q449" t="s">
        <v>33</v>
      </c>
      <c r="R449" t="s">
        <v>174</v>
      </c>
      <c r="S449" s="3">
        <v>0</v>
      </c>
      <c r="T449" t="s">
        <v>110</v>
      </c>
      <c r="U449" t="s">
        <v>36</v>
      </c>
      <c r="V449" t="str">
        <f t="shared" si="24"/>
        <v>2026-02</v>
      </c>
      <c r="W449" t="str">
        <f t="shared" si="25"/>
        <v>4-7 days</v>
      </c>
      <c r="X449" t="str">
        <f t="shared" si="26"/>
        <v>No Refund</v>
      </c>
      <c r="Y449" t="str">
        <f t="shared" si="27"/>
        <v>Medium</v>
      </c>
    </row>
    <row r="450" spans="1:25" ht="27.6">
      <c r="A450" t="s">
        <v>1531</v>
      </c>
      <c r="B450" t="s">
        <v>1532</v>
      </c>
      <c r="C450" t="s">
        <v>1533</v>
      </c>
      <c r="D450" s="2">
        <v>46035</v>
      </c>
      <c r="E450" t="s">
        <v>40</v>
      </c>
      <c r="F450" t="s">
        <v>118</v>
      </c>
      <c r="G450" s="3">
        <v>220.73</v>
      </c>
      <c r="H450" t="s">
        <v>89</v>
      </c>
      <c r="I450" t="s">
        <v>67</v>
      </c>
      <c r="J450" s="4" t="s">
        <v>1534</v>
      </c>
      <c r="K450" t="s">
        <v>29</v>
      </c>
      <c r="L450" t="s">
        <v>120</v>
      </c>
      <c r="M450" t="s">
        <v>96</v>
      </c>
      <c r="N450" t="s">
        <v>90</v>
      </c>
      <c r="O450">
        <v>5</v>
      </c>
      <c r="P450">
        <v>1</v>
      </c>
      <c r="Q450" t="s">
        <v>33</v>
      </c>
      <c r="R450" t="s">
        <v>85</v>
      </c>
      <c r="S450" s="3">
        <v>0</v>
      </c>
      <c r="T450" t="s">
        <v>121</v>
      </c>
      <c r="U450" t="s">
        <v>53</v>
      </c>
      <c r="V450" t="str">
        <f t="shared" ref="V450:V513" si="28">TEXT(D450,"yyyy-mm")</f>
        <v>2026-01</v>
      </c>
      <c r="W450" t="str">
        <f t="shared" ref="W450:W513" si="29">IF(P450&lt;=3,"0-3 days",IF(P450&lt;=7,"4-7 days",IF(P450&lt;=14,"8-14 days","15+ days")))</f>
        <v>0-3 days</v>
      </c>
      <c r="X450" t="str">
        <f t="shared" ref="X450:X513" si="30">IF(S450&gt;0,"Refund Issued","No Refund")</f>
        <v>No Refund</v>
      </c>
      <c r="Y450" t="str">
        <f t="shared" ref="Y450:Y513" si="31">IF(OR(F450="Failed Payment",F450="Duplicate Debit",F450="Refund Delay"),"High",IF(OR(F450="Merchant Not Credited",F450="Wrong Amount Debited"),"Medium","Low"))</f>
        <v>High</v>
      </c>
    </row>
    <row r="451" spans="1:25" ht="27.6">
      <c r="A451" t="s">
        <v>1535</v>
      </c>
      <c r="B451" t="s">
        <v>1536</v>
      </c>
      <c r="C451" t="s">
        <v>1537</v>
      </c>
      <c r="D451" s="2">
        <v>46122</v>
      </c>
      <c r="E451" t="s">
        <v>40</v>
      </c>
      <c r="F451" t="s">
        <v>118</v>
      </c>
      <c r="G451" s="3">
        <v>117.28</v>
      </c>
      <c r="H451" t="s">
        <v>26</v>
      </c>
      <c r="I451" t="s">
        <v>27</v>
      </c>
      <c r="J451" s="4" t="s">
        <v>1538</v>
      </c>
      <c r="K451" t="s">
        <v>33</v>
      </c>
      <c r="L451" t="s">
        <v>30</v>
      </c>
      <c r="M451" t="s">
        <v>31</v>
      </c>
      <c r="N451" t="s">
        <v>32</v>
      </c>
      <c r="O451">
        <v>5</v>
      </c>
      <c r="P451">
        <v>10</v>
      </c>
      <c r="Q451" t="s">
        <v>29</v>
      </c>
      <c r="R451" t="s">
        <v>85</v>
      </c>
      <c r="S451" s="3">
        <v>0</v>
      </c>
      <c r="T451" t="s">
        <v>121</v>
      </c>
      <c r="U451" t="s">
        <v>63</v>
      </c>
      <c r="V451" t="str">
        <f t="shared" si="28"/>
        <v>2026-04</v>
      </c>
      <c r="W451" t="str">
        <f t="shared" si="29"/>
        <v>8-14 days</v>
      </c>
      <c r="X451" t="str">
        <f t="shared" si="30"/>
        <v>No Refund</v>
      </c>
      <c r="Y451" t="str">
        <f t="shared" si="31"/>
        <v>High</v>
      </c>
    </row>
    <row r="452" spans="1:25" ht="27.6">
      <c r="A452" t="s">
        <v>1539</v>
      </c>
      <c r="B452" t="s">
        <v>1540</v>
      </c>
      <c r="C452" t="s">
        <v>1541</v>
      </c>
      <c r="D452" s="2">
        <v>46047</v>
      </c>
      <c r="E452" t="s">
        <v>40</v>
      </c>
      <c r="F452" t="s">
        <v>172</v>
      </c>
      <c r="G452" s="3">
        <v>35.44</v>
      </c>
      <c r="H452" t="s">
        <v>108</v>
      </c>
      <c r="I452" t="s">
        <v>27</v>
      </c>
      <c r="J452" s="4" t="s">
        <v>173</v>
      </c>
      <c r="K452" t="s">
        <v>29</v>
      </c>
      <c r="L452" t="s">
        <v>30</v>
      </c>
      <c r="M452" t="s">
        <v>31</v>
      </c>
      <c r="N452" t="s">
        <v>32</v>
      </c>
      <c r="O452">
        <v>7</v>
      </c>
      <c r="P452">
        <v>8</v>
      </c>
      <c r="Q452" t="s">
        <v>29</v>
      </c>
      <c r="R452" t="s">
        <v>174</v>
      </c>
      <c r="S452" s="3">
        <v>26.58</v>
      </c>
      <c r="T452" t="s">
        <v>69</v>
      </c>
      <c r="U452" t="s">
        <v>63</v>
      </c>
      <c r="V452" t="str">
        <f t="shared" si="28"/>
        <v>2026-01</v>
      </c>
      <c r="W452" t="str">
        <f t="shared" si="29"/>
        <v>8-14 days</v>
      </c>
      <c r="X452" t="str">
        <f t="shared" si="30"/>
        <v>Refund Issued</v>
      </c>
      <c r="Y452" t="str">
        <f t="shared" si="31"/>
        <v>Medium</v>
      </c>
    </row>
    <row r="453" spans="1:25" ht="27.6">
      <c r="A453" t="s">
        <v>1542</v>
      </c>
      <c r="B453" t="s">
        <v>1543</v>
      </c>
      <c r="C453" t="s">
        <v>1544</v>
      </c>
      <c r="D453" s="2">
        <v>46110</v>
      </c>
      <c r="E453" t="s">
        <v>94</v>
      </c>
      <c r="F453" t="s">
        <v>103</v>
      </c>
      <c r="G453" s="3">
        <v>85.77</v>
      </c>
      <c r="H453" t="s">
        <v>108</v>
      </c>
      <c r="I453" t="s">
        <v>50</v>
      </c>
      <c r="J453" s="4" t="s">
        <v>134</v>
      </c>
      <c r="K453" t="s">
        <v>29</v>
      </c>
      <c r="L453" t="s">
        <v>30</v>
      </c>
      <c r="M453" t="s">
        <v>31</v>
      </c>
      <c r="N453" t="s">
        <v>32</v>
      </c>
      <c r="O453">
        <v>5</v>
      </c>
      <c r="P453">
        <v>1</v>
      </c>
      <c r="Q453" t="s">
        <v>33</v>
      </c>
      <c r="R453" t="s">
        <v>34</v>
      </c>
      <c r="S453" s="3">
        <v>64.33</v>
      </c>
      <c r="T453" t="s">
        <v>35</v>
      </c>
      <c r="U453" t="s">
        <v>36</v>
      </c>
      <c r="V453" t="str">
        <f t="shared" si="28"/>
        <v>2026-03</v>
      </c>
      <c r="W453" t="str">
        <f t="shared" si="29"/>
        <v>0-3 days</v>
      </c>
      <c r="X453" t="str">
        <f t="shared" si="30"/>
        <v>Refund Issued</v>
      </c>
      <c r="Y453" t="str">
        <f t="shared" si="31"/>
        <v>Medium</v>
      </c>
    </row>
    <row r="454" spans="1:25" ht="27.6">
      <c r="A454" t="s">
        <v>1545</v>
      </c>
      <c r="B454" t="s">
        <v>1546</v>
      </c>
      <c r="C454" t="s">
        <v>1547</v>
      </c>
      <c r="D454" s="2">
        <v>46099</v>
      </c>
      <c r="E454" t="s">
        <v>94</v>
      </c>
      <c r="F454" t="s">
        <v>172</v>
      </c>
      <c r="G454" s="3">
        <v>29.57</v>
      </c>
      <c r="H454" t="s">
        <v>26</v>
      </c>
      <c r="I454" t="s">
        <v>67</v>
      </c>
      <c r="J454" s="4" t="s">
        <v>285</v>
      </c>
      <c r="K454" t="s">
        <v>29</v>
      </c>
      <c r="L454" t="s">
        <v>30</v>
      </c>
      <c r="M454" t="s">
        <v>31</v>
      </c>
      <c r="N454" t="s">
        <v>32</v>
      </c>
      <c r="O454">
        <v>7</v>
      </c>
      <c r="P454">
        <v>6</v>
      </c>
      <c r="Q454" t="s">
        <v>33</v>
      </c>
      <c r="R454" t="s">
        <v>174</v>
      </c>
      <c r="S454" s="3">
        <v>0</v>
      </c>
      <c r="T454" t="s">
        <v>110</v>
      </c>
      <c r="U454" t="s">
        <v>36</v>
      </c>
      <c r="V454" t="str">
        <f t="shared" si="28"/>
        <v>2026-03</v>
      </c>
      <c r="W454" t="str">
        <f t="shared" si="29"/>
        <v>4-7 days</v>
      </c>
      <c r="X454" t="str">
        <f t="shared" si="30"/>
        <v>No Refund</v>
      </c>
      <c r="Y454" t="str">
        <f t="shared" si="31"/>
        <v>Medium</v>
      </c>
    </row>
    <row r="455" spans="1:25" ht="27.6">
      <c r="A455" t="s">
        <v>1548</v>
      </c>
      <c r="B455" t="s">
        <v>1549</v>
      </c>
      <c r="C455" t="s">
        <v>1550</v>
      </c>
      <c r="D455" s="2">
        <v>46043</v>
      </c>
      <c r="E455" t="s">
        <v>40</v>
      </c>
      <c r="F455" t="s">
        <v>25</v>
      </c>
      <c r="G455" s="3">
        <v>77.709999999999994</v>
      </c>
      <c r="H455" t="s">
        <v>49</v>
      </c>
      <c r="I455" t="s">
        <v>27</v>
      </c>
      <c r="J455" s="4" t="s">
        <v>42</v>
      </c>
      <c r="K455" t="s">
        <v>29</v>
      </c>
      <c r="L455" t="s">
        <v>30</v>
      </c>
      <c r="M455" t="s">
        <v>31</v>
      </c>
      <c r="N455" t="s">
        <v>32</v>
      </c>
      <c r="O455">
        <v>5</v>
      </c>
      <c r="P455">
        <v>6</v>
      </c>
      <c r="Q455" t="s">
        <v>29</v>
      </c>
      <c r="R455" t="s">
        <v>34</v>
      </c>
      <c r="S455" s="3">
        <v>0</v>
      </c>
      <c r="T455" t="s">
        <v>110</v>
      </c>
      <c r="U455" t="s">
        <v>63</v>
      </c>
      <c r="V455" t="str">
        <f t="shared" si="28"/>
        <v>2026-01</v>
      </c>
      <c r="W455" t="str">
        <f t="shared" si="29"/>
        <v>4-7 days</v>
      </c>
      <c r="X455" t="str">
        <f t="shared" si="30"/>
        <v>No Refund</v>
      </c>
      <c r="Y455" t="str">
        <f t="shared" si="31"/>
        <v>High</v>
      </c>
    </row>
    <row r="456" spans="1:25" ht="27.6">
      <c r="A456" t="s">
        <v>1551</v>
      </c>
      <c r="B456" t="s">
        <v>1552</v>
      </c>
      <c r="C456" t="s">
        <v>1553</v>
      </c>
      <c r="D456" s="2">
        <v>46138</v>
      </c>
      <c r="E456" t="s">
        <v>47</v>
      </c>
      <c r="F456" t="s">
        <v>118</v>
      </c>
      <c r="G456" s="3">
        <v>23.11</v>
      </c>
      <c r="H456" t="s">
        <v>58</v>
      </c>
      <c r="I456" t="s">
        <v>67</v>
      </c>
      <c r="J456" s="4" t="s">
        <v>1554</v>
      </c>
      <c r="K456" t="s">
        <v>29</v>
      </c>
      <c r="L456" t="s">
        <v>120</v>
      </c>
      <c r="M456" t="s">
        <v>96</v>
      </c>
      <c r="N456" t="s">
        <v>32</v>
      </c>
      <c r="O456">
        <v>5</v>
      </c>
      <c r="P456">
        <v>1</v>
      </c>
      <c r="Q456" t="s">
        <v>33</v>
      </c>
      <c r="R456" t="s">
        <v>85</v>
      </c>
      <c r="S456" s="3">
        <v>23.11</v>
      </c>
      <c r="T456" t="s">
        <v>121</v>
      </c>
      <c r="U456" t="s">
        <v>36</v>
      </c>
      <c r="V456" t="str">
        <f t="shared" si="28"/>
        <v>2026-04</v>
      </c>
      <c r="W456" t="str">
        <f t="shared" si="29"/>
        <v>0-3 days</v>
      </c>
      <c r="X456" t="str">
        <f t="shared" si="30"/>
        <v>Refund Issued</v>
      </c>
      <c r="Y456" t="str">
        <f t="shared" si="31"/>
        <v>High</v>
      </c>
    </row>
    <row r="457" spans="1:25" ht="27.6">
      <c r="A457" t="s">
        <v>1555</v>
      </c>
      <c r="B457" t="s">
        <v>1556</v>
      </c>
      <c r="C457" t="s">
        <v>1557</v>
      </c>
      <c r="D457" s="2">
        <v>46145</v>
      </c>
      <c r="E457" t="s">
        <v>47</v>
      </c>
      <c r="F457" t="s">
        <v>82</v>
      </c>
      <c r="G457" s="3">
        <v>99.41</v>
      </c>
      <c r="H457" t="s">
        <v>58</v>
      </c>
      <c r="I457" t="s">
        <v>50</v>
      </c>
      <c r="J457" s="4" t="s">
        <v>1558</v>
      </c>
      <c r="K457" t="s">
        <v>29</v>
      </c>
      <c r="L457" t="s">
        <v>30</v>
      </c>
      <c r="M457" t="s">
        <v>31</v>
      </c>
      <c r="N457" t="s">
        <v>32</v>
      </c>
      <c r="O457">
        <v>7</v>
      </c>
      <c r="P457">
        <v>3</v>
      </c>
      <c r="Q457" t="s">
        <v>33</v>
      </c>
      <c r="R457" t="s">
        <v>85</v>
      </c>
      <c r="S457" s="3">
        <v>0</v>
      </c>
      <c r="T457" t="s">
        <v>62</v>
      </c>
      <c r="U457" t="s">
        <v>36</v>
      </c>
      <c r="V457" t="str">
        <f t="shared" si="28"/>
        <v>2026-05</v>
      </c>
      <c r="W457" t="str">
        <f t="shared" si="29"/>
        <v>0-3 days</v>
      </c>
      <c r="X457" t="str">
        <f t="shared" si="30"/>
        <v>No Refund</v>
      </c>
      <c r="Y457" t="str">
        <f t="shared" si="31"/>
        <v>High</v>
      </c>
    </row>
    <row r="458" spans="1:25" ht="27.6">
      <c r="A458" t="s">
        <v>1559</v>
      </c>
      <c r="B458" t="s">
        <v>1560</v>
      </c>
      <c r="C458" t="s">
        <v>1561</v>
      </c>
      <c r="D458" s="2">
        <v>46057</v>
      </c>
      <c r="E458" t="s">
        <v>24</v>
      </c>
      <c r="F458" t="s">
        <v>25</v>
      </c>
      <c r="G458" s="3">
        <v>78.42</v>
      </c>
      <c r="H458" t="s">
        <v>58</v>
      </c>
      <c r="I458" t="s">
        <v>27</v>
      </c>
      <c r="J458" s="4" t="s">
        <v>1562</v>
      </c>
      <c r="K458" t="s">
        <v>29</v>
      </c>
      <c r="L458" t="s">
        <v>30</v>
      </c>
      <c r="M458" t="s">
        <v>31</v>
      </c>
      <c r="N458" t="s">
        <v>32</v>
      </c>
      <c r="O458">
        <v>5</v>
      </c>
      <c r="P458">
        <v>8</v>
      </c>
      <c r="Q458" t="s">
        <v>29</v>
      </c>
      <c r="R458" t="s">
        <v>34</v>
      </c>
      <c r="S458" s="3">
        <v>0</v>
      </c>
      <c r="T458" t="s">
        <v>35</v>
      </c>
      <c r="U458" t="s">
        <v>63</v>
      </c>
      <c r="V458" t="str">
        <f t="shared" si="28"/>
        <v>2026-02</v>
      </c>
      <c r="W458" t="str">
        <f t="shared" si="29"/>
        <v>8-14 days</v>
      </c>
      <c r="X458" t="str">
        <f t="shared" si="30"/>
        <v>No Refund</v>
      </c>
      <c r="Y458" t="str">
        <f t="shared" si="31"/>
        <v>High</v>
      </c>
    </row>
    <row r="459" spans="1:25" ht="27.6">
      <c r="A459" t="s">
        <v>1563</v>
      </c>
      <c r="B459" t="s">
        <v>914</v>
      </c>
      <c r="C459" t="s">
        <v>1564</v>
      </c>
      <c r="D459" s="2">
        <v>46028</v>
      </c>
      <c r="E459" t="s">
        <v>24</v>
      </c>
      <c r="F459" t="s">
        <v>73</v>
      </c>
      <c r="G459" s="3">
        <v>75.77</v>
      </c>
      <c r="H459" t="s">
        <v>108</v>
      </c>
      <c r="I459" t="s">
        <v>27</v>
      </c>
      <c r="J459" s="4" t="s">
        <v>75</v>
      </c>
      <c r="K459" t="s">
        <v>33</v>
      </c>
      <c r="L459" t="s">
        <v>60</v>
      </c>
      <c r="M459" t="s">
        <v>31</v>
      </c>
      <c r="N459" t="s">
        <v>32</v>
      </c>
      <c r="O459">
        <v>10</v>
      </c>
      <c r="P459">
        <v>11</v>
      </c>
      <c r="Q459" t="s">
        <v>29</v>
      </c>
      <c r="R459" t="s">
        <v>61</v>
      </c>
      <c r="S459" s="3">
        <v>56.83</v>
      </c>
      <c r="T459" t="s">
        <v>62</v>
      </c>
      <c r="U459" t="s">
        <v>63</v>
      </c>
      <c r="V459" t="str">
        <f t="shared" si="28"/>
        <v>2026-01</v>
      </c>
      <c r="W459" t="str">
        <f t="shared" si="29"/>
        <v>8-14 days</v>
      </c>
      <c r="X459" t="str">
        <f t="shared" si="30"/>
        <v>Refund Issued</v>
      </c>
      <c r="Y459" t="str">
        <f t="shared" si="31"/>
        <v>Low</v>
      </c>
    </row>
    <row r="460" spans="1:25" ht="27.6">
      <c r="A460" t="s">
        <v>1565</v>
      </c>
      <c r="B460" t="s">
        <v>1566</v>
      </c>
      <c r="C460" t="s">
        <v>1567</v>
      </c>
      <c r="D460" s="2">
        <v>46049</v>
      </c>
      <c r="E460" t="s">
        <v>47</v>
      </c>
      <c r="F460" t="s">
        <v>103</v>
      </c>
      <c r="G460" s="3">
        <v>95.14</v>
      </c>
      <c r="H460" t="s">
        <v>89</v>
      </c>
      <c r="I460" t="s">
        <v>67</v>
      </c>
      <c r="J460" s="4" t="s">
        <v>134</v>
      </c>
      <c r="K460" t="s">
        <v>29</v>
      </c>
      <c r="L460" t="s">
        <v>30</v>
      </c>
      <c r="M460" t="s">
        <v>31</v>
      </c>
      <c r="N460" t="s">
        <v>32</v>
      </c>
      <c r="O460">
        <v>5</v>
      </c>
      <c r="P460">
        <v>2</v>
      </c>
      <c r="Q460" t="s">
        <v>33</v>
      </c>
      <c r="R460" t="s">
        <v>34</v>
      </c>
      <c r="S460" s="3">
        <v>0</v>
      </c>
      <c r="T460" t="s">
        <v>247</v>
      </c>
      <c r="U460" t="s">
        <v>36</v>
      </c>
      <c r="V460" t="str">
        <f t="shared" si="28"/>
        <v>2026-01</v>
      </c>
      <c r="W460" t="str">
        <f t="shared" si="29"/>
        <v>0-3 days</v>
      </c>
      <c r="X460" t="str">
        <f t="shared" si="30"/>
        <v>No Refund</v>
      </c>
      <c r="Y460" t="str">
        <f t="shared" si="31"/>
        <v>Medium</v>
      </c>
    </row>
    <row r="461" spans="1:25" ht="27.6">
      <c r="A461" t="s">
        <v>1568</v>
      </c>
      <c r="B461" t="s">
        <v>1569</v>
      </c>
      <c r="C461" t="s">
        <v>1570</v>
      </c>
      <c r="D461" s="2">
        <v>46027</v>
      </c>
      <c r="E461" t="s">
        <v>47</v>
      </c>
      <c r="F461" t="s">
        <v>118</v>
      </c>
      <c r="G461" s="3">
        <v>32.159999999999997</v>
      </c>
      <c r="H461" t="s">
        <v>108</v>
      </c>
      <c r="I461" t="s">
        <v>50</v>
      </c>
      <c r="J461" s="4" t="s">
        <v>1571</v>
      </c>
      <c r="K461" t="s">
        <v>29</v>
      </c>
      <c r="L461" t="s">
        <v>120</v>
      </c>
      <c r="M461" t="s">
        <v>96</v>
      </c>
      <c r="N461" t="s">
        <v>32</v>
      </c>
      <c r="O461">
        <v>5</v>
      </c>
      <c r="P461">
        <v>3</v>
      </c>
      <c r="Q461" t="s">
        <v>33</v>
      </c>
      <c r="R461" t="s">
        <v>85</v>
      </c>
      <c r="S461" s="3">
        <v>32.159999999999997</v>
      </c>
      <c r="T461" t="s">
        <v>121</v>
      </c>
      <c r="U461" t="s">
        <v>36</v>
      </c>
      <c r="V461" t="str">
        <f t="shared" si="28"/>
        <v>2026-01</v>
      </c>
      <c r="W461" t="str">
        <f t="shared" si="29"/>
        <v>0-3 days</v>
      </c>
      <c r="X461" t="str">
        <f t="shared" si="30"/>
        <v>Refund Issued</v>
      </c>
      <c r="Y461" t="str">
        <f t="shared" si="31"/>
        <v>High</v>
      </c>
    </row>
    <row r="462" spans="1:25" ht="27.6">
      <c r="A462" t="s">
        <v>1572</v>
      </c>
      <c r="B462" t="s">
        <v>1573</v>
      </c>
      <c r="C462" t="s">
        <v>1574</v>
      </c>
      <c r="D462" s="2">
        <v>46072</v>
      </c>
      <c r="E462" t="s">
        <v>47</v>
      </c>
      <c r="F462" t="s">
        <v>82</v>
      </c>
      <c r="G462" s="3">
        <v>41.55</v>
      </c>
      <c r="H462" t="s">
        <v>58</v>
      </c>
      <c r="I462" t="s">
        <v>27</v>
      </c>
      <c r="J462" s="4" t="s">
        <v>1575</v>
      </c>
      <c r="K462" t="s">
        <v>29</v>
      </c>
      <c r="L462" t="s">
        <v>30</v>
      </c>
      <c r="M462" t="s">
        <v>31</v>
      </c>
      <c r="N462" t="s">
        <v>32</v>
      </c>
      <c r="O462">
        <v>7</v>
      </c>
      <c r="P462">
        <v>5</v>
      </c>
      <c r="Q462" t="s">
        <v>33</v>
      </c>
      <c r="R462" t="s">
        <v>85</v>
      </c>
      <c r="S462" s="3">
        <v>0</v>
      </c>
      <c r="T462" t="s">
        <v>62</v>
      </c>
      <c r="U462" t="s">
        <v>36</v>
      </c>
      <c r="V462" t="str">
        <f t="shared" si="28"/>
        <v>2026-02</v>
      </c>
      <c r="W462" t="str">
        <f t="shared" si="29"/>
        <v>4-7 days</v>
      </c>
      <c r="X462" t="str">
        <f t="shared" si="30"/>
        <v>No Refund</v>
      </c>
      <c r="Y462" t="str">
        <f t="shared" si="31"/>
        <v>High</v>
      </c>
    </row>
    <row r="463" spans="1:25" ht="27.6">
      <c r="A463" t="s">
        <v>1576</v>
      </c>
      <c r="B463" t="s">
        <v>1577</v>
      </c>
      <c r="C463" t="s">
        <v>1578</v>
      </c>
      <c r="D463" s="2">
        <v>46064</v>
      </c>
      <c r="E463" t="s">
        <v>47</v>
      </c>
      <c r="F463" t="s">
        <v>118</v>
      </c>
      <c r="G463" s="3">
        <v>120.5</v>
      </c>
      <c r="H463" t="s">
        <v>74</v>
      </c>
      <c r="I463" t="s">
        <v>27</v>
      </c>
      <c r="J463" s="4" t="s">
        <v>119</v>
      </c>
      <c r="K463" t="s">
        <v>29</v>
      </c>
      <c r="L463" t="s">
        <v>120</v>
      </c>
      <c r="M463" t="s">
        <v>96</v>
      </c>
      <c r="N463" t="s">
        <v>32</v>
      </c>
      <c r="O463">
        <v>5</v>
      </c>
      <c r="P463">
        <v>1</v>
      </c>
      <c r="Q463" t="s">
        <v>33</v>
      </c>
      <c r="R463" t="s">
        <v>85</v>
      </c>
      <c r="S463" s="3">
        <v>120.5</v>
      </c>
      <c r="T463" t="s">
        <v>121</v>
      </c>
      <c r="U463" t="s">
        <v>36</v>
      </c>
      <c r="V463" t="str">
        <f t="shared" si="28"/>
        <v>2026-02</v>
      </c>
      <c r="W463" t="str">
        <f t="shared" si="29"/>
        <v>0-3 days</v>
      </c>
      <c r="X463" t="str">
        <f t="shared" si="30"/>
        <v>Refund Issued</v>
      </c>
      <c r="Y463" t="str">
        <f t="shared" si="31"/>
        <v>High</v>
      </c>
    </row>
    <row r="464" spans="1:25" ht="27.6">
      <c r="A464" t="s">
        <v>1579</v>
      </c>
      <c r="B464" t="s">
        <v>1580</v>
      </c>
      <c r="C464" t="s">
        <v>1581</v>
      </c>
      <c r="D464" s="2">
        <v>46076</v>
      </c>
      <c r="E464" t="s">
        <v>47</v>
      </c>
      <c r="F464" t="s">
        <v>48</v>
      </c>
      <c r="G464" s="3">
        <v>30.61</v>
      </c>
      <c r="H464" t="s">
        <v>58</v>
      </c>
      <c r="I464" t="s">
        <v>27</v>
      </c>
      <c r="J464" s="4" t="s">
        <v>51</v>
      </c>
      <c r="K464" t="s">
        <v>33</v>
      </c>
      <c r="L464" t="s">
        <v>30</v>
      </c>
      <c r="M464" t="s">
        <v>31</v>
      </c>
      <c r="N464" t="s">
        <v>32</v>
      </c>
      <c r="O464">
        <v>10</v>
      </c>
      <c r="P464">
        <v>10</v>
      </c>
      <c r="Q464" t="s">
        <v>33</v>
      </c>
      <c r="R464" t="s">
        <v>34</v>
      </c>
      <c r="S464" s="3">
        <v>0</v>
      </c>
      <c r="T464" t="s">
        <v>62</v>
      </c>
      <c r="U464" t="s">
        <v>63</v>
      </c>
      <c r="V464" t="str">
        <f t="shared" si="28"/>
        <v>2026-02</v>
      </c>
      <c r="W464" t="str">
        <f t="shared" si="29"/>
        <v>8-14 days</v>
      </c>
      <c r="X464" t="str">
        <f t="shared" si="30"/>
        <v>No Refund</v>
      </c>
      <c r="Y464" t="str">
        <f t="shared" si="31"/>
        <v>Low</v>
      </c>
    </row>
    <row r="465" spans="1:25" ht="27.6">
      <c r="A465" t="s">
        <v>1582</v>
      </c>
      <c r="B465" t="s">
        <v>1583</v>
      </c>
      <c r="C465" t="s">
        <v>1584</v>
      </c>
      <c r="D465" s="2">
        <v>46089</v>
      </c>
      <c r="E465" t="s">
        <v>94</v>
      </c>
      <c r="F465" t="s">
        <v>57</v>
      </c>
      <c r="G465" s="3">
        <v>223.3</v>
      </c>
      <c r="H465" t="s">
        <v>89</v>
      </c>
      <c r="I465" t="s">
        <v>27</v>
      </c>
      <c r="J465" s="4" t="s">
        <v>59</v>
      </c>
      <c r="K465" t="s">
        <v>33</v>
      </c>
      <c r="L465" t="s">
        <v>60</v>
      </c>
      <c r="M465" t="s">
        <v>31</v>
      </c>
      <c r="N465" t="s">
        <v>126</v>
      </c>
      <c r="O465">
        <v>10</v>
      </c>
      <c r="P465">
        <v>11</v>
      </c>
      <c r="Q465" t="s">
        <v>29</v>
      </c>
      <c r="R465" t="s">
        <v>61</v>
      </c>
      <c r="S465" s="3">
        <v>0</v>
      </c>
      <c r="T465" t="s">
        <v>62</v>
      </c>
      <c r="U465" t="s">
        <v>63</v>
      </c>
      <c r="V465" t="str">
        <f t="shared" si="28"/>
        <v>2026-03</v>
      </c>
      <c r="W465" t="str">
        <f t="shared" si="29"/>
        <v>8-14 days</v>
      </c>
      <c r="X465" t="str">
        <f t="shared" si="30"/>
        <v>No Refund</v>
      </c>
      <c r="Y465" t="str">
        <f t="shared" si="31"/>
        <v>Low</v>
      </c>
    </row>
    <row r="466" spans="1:25" ht="27.6">
      <c r="A466" t="s">
        <v>1585</v>
      </c>
      <c r="B466" t="s">
        <v>1586</v>
      </c>
      <c r="C466" t="s">
        <v>1587</v>
      </c>
      <c r="D466" s="2">
        <v>46140</v>
      </c>
      <c r="E466" t="s">
        <v>94</v>
      </c>
      <c r="F466" t="s">
        <v>57</v>
      </c>
      <c r="G466" s="3">
        <v>125.1</v>
      </c>
      <c r="H466" t="s">
        <v>26</v>
      </c>
      <c r="I466" t="s">
        <v>67</v>
      </c>
      <c r="J466" s="4" t="s">
        <v>155</v>
      </c>
      <c r="K466" t="s">
        <v>29</v>
      </c>
      <c r="L466" t="s">
        <v>60</v>
      </c>
      <c r="M466" t="s">
        <v>31</v>
      </c>
      <c r="N466" t="s">
        <v>32</v>
      </c>
      <c r="O466">
        <v>10</v>
      </c>
      <c r="P466">
        <v>11</v>
      </c>
      <c r="Q466" t="s">
        <v>29</v>
      </c>
      <c r="R466" t="s">
        <v>61</v>
      </c>
      <c r="S466" s="3">
        <v>125.1</v>
      </c>
      <c r="T466" t="s">
        <v>156</v>
      </c>
      <c r="U466" t="s">
        <v>63</v>
      </c>
      <c r="V466" t="str">
        <f t="shared" si="28"/>
        <v>2026-04</v>
      </c>
      <c r="W466" t="str">
        <f t="shared" si="29"/>
        <v>8-14 days</v>
      </c>
      <c r="X466" t="str">
        <f t="shared" si="30"/>
        <v>Refund Issued</v>
      </c>
      <c r="Y466" t="str">
        <f t="shared" si="31"/>
        <v>Low</v>
      </c>
    </row>
    <row r="467" spans="1:25" ht="27.6">
      <c r="A467" t="s">
        <v>1588</v>
      </c>
      <c r="B467" t="s">
        <v>1589</v>
      </c>
      <c r="C467" t="s">
        <v>1590</v>
      </c>
      <c r="D467" s="2">
        <v>46152</v>
      </c>
      <c r="E467" t="s">
        <v>47</v>
      </c>
      <c r="F467" t="s">
        <v>73</v>
      </c>
      <c r="G467" s="3">
        <v>18.309999999999999</v>
      </c>
      <c r="H467" t="s">
        <v>49</v>
      </c>
      <c r="I467" t="s">
        <v>27</v>
      </c>
      <c r="J467" s="4" t="s">
        <v>75</v>
      </c>
      <c r="K467" t="s">
        <v>33</v>
      </c>
      <c r="L467" t="s">
        <v>60</v>
      </c>
      <c r="M467" t="s">
        <v>31</v>
      </c>
      <c r="N467" t="s">
        <v>84</v>
      </c>
      <c r="O467">
        <v>10</v>
      </c>
      <c r="P467">
        <v>15</v>
      </c>
      <c r="Q467" t="s">
        <v>29</v>
      </c>
      <c r="R467" t="s">
        <v>61</v>
      </c>
      <c r="S467" s="3">
        <v>0</v>
      </c>
      <c r="T467" t="s">
        <v>52</v>
      </c>
      <c r="U467" t="s">
        <v>63</v>
      </c>
      <c r="V467" t="str">
        <f t="shared" si="28"/>
        <v>2026-05</v>
      </c>
      <c r="W467" t="str">
        <f t="shared" si="29"/>
        <v>15+ days</v>
      </c>
      <c r="X467" t="str">
        <f t="shared" si="30"/>
        <v>No Refund</v>
      </c>
      <c r="Y467" t="str">
        <f t="shared" si="31"/>
        <v>Low</v>
      </c>
    </row>
    <row r="468" spans="1:25" ht="27.6">
      <c r="A468" t="s">
        <v>1591</v>
      </c>
      <c r="B468" t="s">
        <v>1592</v>
      </c>
      <c r="C468" t="s">
        <v>1593</v>
      </c>
      <c r="D468" s="2">
        <v>46096</v>
      </c>
      <c r="E468" t="s">
        <v>47</v>
      </c>
      <c r="F468" t="s">
        <v>25</v>
      </c>
      <c r="G468" s="3">
        <v>18.940000000000001</v>
      </c>
      <c r="H468" t="s">
        <v>41</v>
      </c>
      <c r="I468" t="s">
        <v>50</v>
      </c>
      <c r="J468" s="4" t="s">
        <v>42</v>
      </c>
      <c r="K468" t="s">
        <v>29</v>
      </c>
      <c r="L468" t="s">
        <v>30</v>
      </c>
      <c r="M468" t="s">
        <v>96</v>
      </c>
      <c r="N468" t="s">
        <v>90</v>
      </c>
      <c r="O468">
        <v>5</v>
      </c>
      <c r="P468">
        <v>4</v>
      </c>
      <c r="Q468" t="s">
        <v>33</v>
      </c>
      <c r="R468" t="s">
        <v>34</v>
      </c>
      <c r="S468" s="3">
        <v>0</v>
      </c>
      <c r="T468" t="s">
        <v>35</v>
      </c>
      <c r="U468" t="s">
        <v>36</v>
      </c>
      <c r="V468" t="str">
        <f t="shared" si="28"/>
        <v>2026-03</v>
      </c>
      <c r="W468" t="str">
        <f t="shared" si="29"/>
        <v>4-7 days</v>
      </c>
      <c r="X468" t="str">
        <f t="shared" si="30"/>
        <v>No Refund</v>
      </c>
      <c r="Y468" t="str">
        <f t="shared" si="31"/>
        <v>High</v>
      </c>
    </row>
    <row r="469" spans="1:25" ht="27.6">
      <c r="A469" t="s">
        <v>1594</v>
      </c>
      <c r="B469" t="s">
        <v>1595</v>
      </c>
      <c r="C469" t="s">
        <v>1596</v>
      </c>
      <c r="D469" s="2">
        <v>46115</v>
      </c>
      <c r="E469" t="s">
        <v>94</v>
      </c>
      <c r="F469" t="s">
        <v>82</v>
      </c>
      <c r="G469" s="3">
        <v>163.22</v>
      </c>
      <c r="H469" t="s">
        <v>89</v>
      </c>
      <c r="I469" t="s">
        <v>67</v>
      </c>
      <c r="J469" s="4" t="s">
        <v>114</v>
      </c>
      <c r="K469" t="s">
        <v>29</v>
      </c>
      <c r="L469" t="s">
        <v>30</v>
      </c>
      <c r="M469" t="s">
        <v>31</v>
      </c>
      <c r="N469" t="s">
        <v>32</v>
      </c>
      <c r="O469">
        <v>7</v>
      </c>
      <c r="P469">
        <v>7</v>
      </c>
      <c r="Q469" t="s">
        <v>33</v>
      </c>
      <c r="R469" t="s">
        <v>85</v>
      </c>
      <c r="S469" s="3">
        <v>0</v>
      </c>
      <c r="T469" t="s">
        <v>69</v>
      </c>
      <c r="U469" t="s">
        <v>36</v>
      </c>
      <c r="V469" t="str">
        <f t="shared" si="28"/>
        <v>2026-04</v>
      </c>
      <c r="W469" t="str">
        <f t="shared" si="29"/>
        <v>4-7 days</v>
      </c>
      <c r="X469" t="str">
        <f t="shared" si="30"/>
        <v>No Refund</v>
      </c>
      <c r="Y469" t="str">
        <f t="shared" si="31"/>
        <v>High</v>
      </c>
    </row>
    <row r="470" spans="1:25" ht="27.6">
      <c r="A470" t="s">
        <v>1597</v>
      </c>
      <c r="B470" t="s">
        <v>1598</v>
      </c>
      <c r="C470" t="s">
        <v>1599</v>
      </c>
      <c r="D470" s="2">
        <v>46032</v>
      </c>
      <c r="E470" t="s">
        <v>40</v>
      </c>
      <c r="F470" t="s">
        <v>172</v>
      </c>
      <c r="G470" s="3">
        <v>79.010000000000005</v>
      </c>
      <c r="H470" t="s">
        <v>58</v>
      </c>
      <c r="I470" t="s">
        <v>67</v>
      </c>
      <c r="J470" s="4" t="s">
        <v>285</v>
      </c>
      <c r="K470" t="s">
        <v>33</v>
      </c>
      <c r="L470" t="s">
        <v>30</v>
      </c>
      <c r="M470" t="s">
        <v>31</v>
      </c>
      <c r="N470" t="s">
        <v>32</v>
      </c>
      <c r="O470">
        <v>7</v>
      </c>
      <c r="P470">
        <v>7</v>
      </c>
      <c r="Q470" t="s">
        <v>33</v>
      </c>
      <c r="R470" t="s">
        <v>174</v>
      </c>
      <c r="S470" s="3">
        <v>79.010000000000005</v>
      </c>
      <c r="T470" t="s">
        <v>286</v>
      </c>
      <c r="U470" t="s">
        <v>36</v>
      </c>
      <c r="V470" t="str">
        <f t="shared" si="28"/>
        <v>2026-01</v>
      </c>
      <c r="W470" t="str">
        <f t="shared" si="29"/>
        <v>4-7 days</v>
      </c>
      <c r="X470" t="str">
        <f t="shared" si="30"/>
        <v>Refund Issued</v>
      </c>
      <c r="Y470" t="str">
        <f t="shared" si="31"/>
        <v>Medium</v>
      </c>
    </row>
    <row r="471" spans="1:25" ht="27.6">
      <c r="A471" t="s">
        <v>1600</v>
      </c>
      <c r="B471" t="s">
        <v>1601</v>
      </c>
      <c r="C471" t="s">
        <v>1602</v>
      </c>
      <c r="D471" s="2">
        <v>46094</v>
      </c>
      <c r="E471" t="s">
        <v>94</v>
      </c>
      <c r="F471" t="s">
        <v>172</v>
      </c>
      <c r="G471" s="3">
        <v>17.05</v>
      </c>
      <c r="H471" t="s">
        <v>58</v>
      </c>
      <c r="I471" t="s">
        <v>27</v>
      </c>
      <c r="J471" s="4" t="s">
        <v>285</v>
      </c>
      <c r="K471" t="s">
        <v>29</v>
      </c>
      <c r="L471" t="s">
        <v>30</v>
      </c>
      <c r="M471" t="s">
        <v>31</v>
      </c>
      <c r="N471" t="s">
        <v>32</v>
      </c>
      <c r="O471">
        <v>7</v>
      </c>
      <c r="P471">
        <v>10</v>
      </c>
      <c r="Q471" t="s">
        <v>29</v>
      </c>
      <c r="R471" t="s">
        <v>174</v>
      </c>
      <c r="S471" s="3">
        <v>0</v>
      </c>
      <c r="T471" t="s">
        <v>110</v>
      </c>
      <c r="U471" t="s">
        <v>63</v>
      </c>
      <c r="V471" t="str">
        <f t="shared" si="28"/>
        <v>2026-03</v>
      </c>
      <c r="W471" t="str">
        <f t="shared" si="29"/>
        <v>8-14 days</v>
      </c>
      <c r="X471" t="str">
        <f t="shared" si="30"/>
        <v>No Refund</v>
      </c>
      <c r="Y471" t="str">
        <f t="shared" si="31"/>
        <v>Medium</v>
      </c>
    </row>
    <row r="472" spans="1:25" ht="27.6">
      <c r="A472" t="s">
        <v>1603</v>
      </c>
      <c r="B472" t="s">
        <v>1604</v>
      </c>
      <c r="C472" t="s">
        <v>1605</v>
      </c>
      <c r="D472" s="2">
        <v>46044</v>
      </c>
      <c r="E472" t="s">
        <v>24</v>
      </c>
      <c r="F472" t="s">
        <v>82</v>
      </c>
      <c r="G472" s="3">
        <v>142.97999999999999</v>
      </c>
      <c r="H472" t="s">
        <v>74</v>
      </c>
      <c r="I472" t="s">
        <v>50</v>
      </c>
      <c r="J472" s="4" t="s">
        <v>114</v>
      </c>
      <c r="K472" t="s">
        <v>29</v>
      </c>
      <c r="L472" t="s">
        <v>30</v>
      </c>
      <c r="M472" t="s">
        <v>31</v>
      </c>
      <c r="N472" t="s">
        <v>32</v>
      </c>
      <c r="O472">
        <v>7</v>
      </c>
      <c r="P472">
        <v>9</v>
      </c>
      <c r="Q472" t="s">
        <v>29</v>
      </c>
      <c r="R472" t="s">
        <v>85</v>
      </c>
      <c r="S472" s="3">
        <v>0</v>
      </c>
      <c r="T472" t="s">
        <v>43</v>
      </c>
      <c r="U472" t="s">
        <v>63</v>
      </c>
      <c r="V472" t="str">
        <f t="shared" si="28"/>
        <v>2026-01</v>
      </c>
      <c r="W472" t="str">
        <f t="shared" si="29"/>
        <v>8-14 days</v>
      </c>
      <c r="X472" t="str">
        <f t="shared" si="30"/>
        <v>No Refund</v>
      </c>
      <c r="Y472" t="str">
        <f t="shared" si="31"/>
        <v>High</v>
      </c>
    </row>
    <row r="473" spans="1:25" ht="27.6">
      <c r="A473" t="s">
        <v>1606</v>
      </c>
      <c r="B473" t="s">
        <v>1607</v>
      </c>
      <c r="C473" t="s">
        <v>1608</v>
      </c>
      <c r="D473" s="2">
        <v>46161</v>
      </c>
      <c r="E473" t="s">
        <v>47</v>
      </c>
      <c r="F473" t="s">
        <v>118</v>
      </c>
      <c r="G473" s="3">
        <v>174.47</v>
      </c>
      <c r="H473" t="s">
        <v>89</v>
      </c>
      <c r="I473" t="s">
        <v>27</v>
      </c>
      <c r="J473" s="4" t="s">
        <v>1609</v>
      </c>
      <c r="K473" t="s">
        <v>29</v>
      </c>
      <c r="L473" t="s">
        <v>120</v>
      </c>
      <c r="M473" t="s">
        <v>96</v>
      </c>
      <c r="N473" t="s">
        <v>32</v>
      </c>
      <c r="O473">
        <v>5</v>
      </c>
      <c r="P473">
        <v>5</v>
      </c>
      <c r="Q473" t="s">
        <v>33</v>
      </c>
      <c r="R473" t="s">
        <v>85</v>
      </c>
      <c r="S473" s="3">
        <v>174.47</v>
      </c>
      <c r="T473" t="s">
        <v>121</v>
      </c>
      <c r="U473" t="s">
        <v>36</v>
      </c>
      <c r="V473" t="str">
        <f t="shared" si="28"/>
        <v>2026-05</v>
      </c>
      <c r="W473" t="str">
        <f t="shared" si="29"/>
        <v>4-7 days</v>
      </c>
      <c r="X473" t="str">
        <f t="shared" si="30"/>
        <v>Refund Issued</v>
      </c>
      <c r="Y473" t="str">
        <f t="shared" si="31"/>
        <v>High</v>
      </c>
    </row>
    <row r="474" spans="1:25" ht="27.6">
      <c r="A474" t="s">
        <v>1610</v>
      </c>
      <c r="B474" t="s">
        <v>1611</v>
      </c>
      <c r="C474" t="s">
        <v>1612</v>
      </c>
      <c r="D474" s="2">
        <v>46054</v>
      </c>
      <c r="E474" t="s">
        <v>47</v>
      </c>
      <c r="F474" t="s">
        <v>172</v>
      </c>
      <c r="G474" s="3">
        <v>13.58</v>
      </c>
      <c r="H474" t="s">
        <v>74</v>
      </c>
      <c r="I474" t="s">
        <v>67</v>
      </c>
      <c r="J474" s="4" t="s">
        <v>173</v>
      </c>
      <c r="K474" t="s">
        <v>33</v>
      </c>
      <c r="L474" t="s">
        <v>30</v>
      </c>
      <c r="M474" t="s">
        <v>31</v>
      </c>
      <c r="N474" t="s">
        <v>32</v>
      </c>
      <c r="O474">
        <v>7</v>
      </c>
      <c r="P474">
        <v>9</v>
      </c>
      <c r="Q474" t="s">
        <v>29</v>
      </c>
      <c r="R474" t="s">
        <v>174</v>
      </c>
      <c r="S474" s="3">
        <v>0</v>
      </c>
      <c r="T474" t="s">
        <v>110</v>
      </c>
      <c r="U474" t="s">
        <v>63</v>
      </c>
      <c r="V474" t="str">
        <f t="shared" si="28"/>
        <v>2026-02</v>
      </c>
      <c r="W474" t="str">
        <f t="shared" si="29"/>
        <v>8-14 days</v>
      </c>
      <c r="X474" t="str">
        <f t="shared" si="30"/>
        <v>No Refund</v>
      </c>
      <c r="Y474" t="str">
        <f t="shared" si="31"/>
        <v>Medium</v>
      </c>
    </row>
    <row r="475" spans="1:25" ht="27.6">
      <c r="A475" t="s">
        <v>1613</v>
      </c>
      <c r="B475" t="s">
        <v>1614</v>
      </c>
      <c r="C475" t="s">
        <v>1615</v>
      </c>
      <c r="D475" s="2">
        <v>46095</v>
      </c>
      <c r="E475" t="s">
        <v>40</v>
      </c>
      <c r="F475" t="s">
        <v>57</v>
      </c>
      <c r="G475" s="3">
        <v>45.76</v>
      </c>
      <c r="H475" t="s">
        <v>108</v>
      </c>
      <c r="I475" t="s">
        <v>50</v>
      </c>
      <c r="J475" s="4" t="s">
        <v>155</v>
      </c>
      <c r="K475" t="s">
        <v>29</v>
      </c>
      <c r="L475" t="s">
        <v>60</v>
      </c>
      <c r="M475" t="s">
        <v>31</v>
      </c>
      <c r="N475" t="s">
        <v>32</v>
      </c>
      <c r="O475">
        <v>10</v>
      </c>
      <c r="P475">
        <v>4</v>
      </c>
      <c r="Q475" t="s">
        <v>33</v>
      </c>
      <c r="R475" t="s">
        <v>61</v>
      </c>
      <c r="S475" s="3">
        <v>34.32</v>
      </c>
      <c r="T475" t="s">
        <v>52</v>
      </c>
      <c r="U475" t="s">
        <v>63</v>
      </c>
      <c r="V475" t="str">
        <f t="shared" si="28"/>
        <v>2026-03</v>
      </c>
      <c r="W475" t="str">
        <f t="shared" si="29"/>
        <v>4-7 days</v>
      </c>
      <c r="X475" t="str">
        <f t="shared" si="30"/>
        <v>Refund Issued</v>
      </c>
      <c r="Y475" t="str">
        <f t="shared" si="31"/>
        <v>Low</v>
      </c>
    </row>
    <row r="476" spans="1:25" ht="27.6">
      <c r="A476" t="s">
        <v>1616</v>
      </c>
      <c r="B476" t="s">
        <v>1617</v>
      </c>
      <c r="C476" t="s">
        <v>1618</v>
      </c>
      <c r="D476" s="2">
        <v>46131</v>
      </c>
      <c r="E476" t="s">
        <v>40</v>
      </c>
      <c r="F476" t="s">
        <v>25</v>
      </c>
      <c r="G476" s="3">
        <v>38</v>
      </c>
      <c r="H476" t="s">
        <v>41</v>
      </c>
      <c r="I476" t="s">
        <v>50</v>
      </c>
      <c r="J476" s="4" t="s">
        <v>42</v>
      </c>
      <c r="K476" t="s">
        <v>29</v>
      </c>
      <c r="L476" t="s">
        <v>30</v>
      </c>
      <c r="M476" t="s">
        <v>96</v>
      </c>
      <c r="N476" t="s">
        <v>32</v>
      </c>
      <c r="O476">
        <v>5</v>
      </c>
      <c r="P476">
        <v>3</v>
      </c>
      <c r="Q476" t="s">
        <v>33</v>
      </c>
      <c r="R476" t="s">
        <v>34</v>
      </c>
      <c r="S476" s="3">
        <v>38</v>
      </c>
      <c r="T476" t="s">
        <v>35</v>
      </c>
      <c r="U476" t="s">
        <v>36</v>
      </c>
      <c r="V476" t="str">
        <f t="shared" si="28"/>
        <v>2026-04</v>
      </c>
      <c r="W476" t="str">
        <f t="shared" si="29"/>
        <v>0-3 days</v>
      </c>
      <c r="X476" t="str">
        <f t="shared" si="30"/>
        <v>Refund Issued</v>
      </c>
      <c r="Y476" t="str">
        <f t="shared" si="31"/>
        <v>High</v>
      </c>
    </row>
    <row r="477" spans="1:25" ht="27.6">
      <c r="A477" t="s">
        <v>1619</v>
      </c>
      <c r="B477" t="s">
        <v>1620</v>
      </c>
      <c r="C477" t="s">
        <v>1621</v>
      </c>
      <c r="D477" s="2">
        <v>46148</v>
      </c>
      <c r="E477" t="s">
        <v>40</v>
      </c>
      <c r="F477" t="s">
        <v>82</v>
      </c>
      <c r="G477" s="3">
        <v>14.96</v>
      </c>
      <c r="H477" t="s">
        <v>108</v>
      </c>
      <c r="I477" t="s">
        <v>50</v>
      </c>
      <c r="J477" s="4" t="s">
        <v>1622</v>
      </c>
      <c r="K477" t="s">
        <v>29</v>
      </c>
      <c r="L477" t="s">
        <v>30</v>
      </c>
      <c r="M477" t="s">
        <v>31</v>
      </c>
      <c r="N477" t="s">
        <v>32</v>
      </c>
      <c r="O477">
        <v>7</v>
      </c>
      <c r="P477">
        <v>5</v>
      </c>
      <c r="Q477" t="s">
        <v>33</v>
      </c>
      <c r="R477" t="s">
        <v>85</v>
      </c>
      <c r="S477" s="3">
        <v>14.96</v>
      </c>
      <c r="T477" t="s">
        <v>62</v>
      </c>
      <c r="U477" t="s">
        <v>53</v>
      </c>
      <c r="V477" t="str">
        <f t="shared" si="28"/>
        <v>2026-05</v>
      </c>
      <c r="W477" t="str">
        <f t="shared" si="29"/>
        <v>4-7 days</v>
      </c>
      <c r="X477" t="str">
        <f t="shared" si="30"/>
        <v>Refund Issued</v>
      </c>
      <c r="Y477" t="str">
        <f t="shared" si="31"/>
        <v>High</v>
      </c>
    </row>
    <row r="478" spans="1:25" ht="27.6">
      <c r="A478" t="s">
        <v>1623</v>
      </c>
      <c r="B478" t="s">
        <v>1624</v>
      </c>
      <c r="C478" t="s">
        <v>1625</v>
      </c>
      <c r="D478" s="2">
        <v>46063</v>
      </c>
      <c r="E478" t="s">
        <v>94</v>
      </c>
      <c r="F478" t="s">
        <v>82</v>
      </c>
      <c r="G478" s="3">
        <v>34.76</v>
      </c>
      <c r="H478" t="s">
        <v>89</v>
      </c>
      <c r="I478" t="s">
        <v>27</v>
      </c>
      <c r="J478" s="4" t="s">
        <v>1626</v>
      </c>
      <c r="K478" t="s">
        <v>29</v>
      </c>
      <c r="L478" t="s">
        <v>30</v>
      </c>
      <c r="M478" t="s">
        <v>31</v>
      </c>
      <c r="N478" t="s">
        <v>32</v>
      </c>
      <c r="O478">
        <v>7</v>
      </c>
      <c r="P478">
        <v>1</v>
      </c>
      <c r="Q478" t="s">
        <v>33</v>
      </c>
      <c r="R478" t="s">
        <v>85</v>
      </c>
      <c r="S478" s="3">
        <v>17.38</v>
      </c>
      <c r="T478" t="s">
        <v>43</v>
      </c>
      <c r="U478" t="s">
        <v>53</v>
      </c>
      <c r="V478" t="str">
        <f t="shared" si="28"/>
        <v>2026-02</v>
      </c>
      <c r="W478" t="str">
        <f t="shared" si="29"/>
        <v>0-3 days</v>
      </c>
      <c r="X478" t="str">
        <f t="shared" si="30"/>
        <v>Refund Issued</v>
      </c>
      <c r="Y478" t="str">
        <f t="shared" si="31"/>
        <v>High</v>
      </c>
    </row>
    <row r="479" spans="1:25" ht="27.6">
      <c r="A479" t="s">
        <v>1627</v>
      </c>
      <c r="B479" t="s">
        <v>535</v>
      </c>
      <c r="C479" t="s">
        <v>1628</v>
      </c>
      <c r="D479" s="2">
        <v>46095</v>
      </c>
      <c r="E479" t="s">
        <v>24</v>
      </c>
      <c r="F479" t="s">
        <v>57</v>
      </c>
      <c r="G479" s="3">
        <v>39.700000000000003</v>
      </c>
      <c r="H479" t="s">
        <v>41</v>
      </c>
      <c r="I479" t="s">
        <v>27</v>
      </c>
      <c r="J479" s="4" t="s">
        <v>155</v>
      </c>
      <c r="K479" t="s">
        <v>29</v>
      </c>
      <c r="L479" t="s">
        <v>60</v>
      </c>
      <c r="M479" t="s">
        <v>31</v>
      </c>
      <c r="N479" t="s">
        <v>32</v>
      </c>
      <c r="O479">
        <v>10</v>
      </c>
      <c r="P479">
        <v>17</v>
      </c>
      <c r="Q479" t="s">
        <v>29</v>
      </c>
      <c r="R479" t="s">
        <v>61</v>
      </c>
      <c r="S479" s="3">
        <v>0</v>
      </c>
      <c r="T479" t="s">
        <v>52</v>
      </c>
      <c r="U479" t="s">
        <v>63</v>
      </c>
      <c r="V479" t="str">
        <f t="shared" si="28"/>
        <v>2026-03</v>
      </c>
      <c r="W479" t="str">
        <f t="shared" si="29"/>
        <v>15+ days</v>
      </c>
      <c r="X479" t="str">
        <f t="shared" si="30"/>
        <v>No Refund</v>
      </c>
      <c r="Y479" t="str">
        <f t="shared" si="31"/>
        <v>Low</v>
      </c>
    </row>
    <row r="480" spans="1:25" ht="27.6">
      <c r="A480" t="s">
        <v>1629</v>
      </c>
      <c r="B480" t="s">
        <v>1630</v>
      </c>
      <c r="C480" t="s">
        <v>1631</v>
      </c>
      <c r="D480" s="2">
        <v>46056</v>
      </c>
      <c r="E480" t="s">
        <v>40</v>
      </c>
      <c r="F480" t="s">
        <v>82</v>
      </c>
      <c r="G480" s="3">
        <v>36.47</v>
      </c>
      <c r="H480" t="s">
        <v>108</v>
      </c>
      <c r="I480" t="s">
        <v>27</v>
      </c>
      <c r="J480" s="4" t="s">
        <v>1632</v>
      </c>
      <c r="K480" t="s">
        <v>33</v>
      </c>
      <c r="L480" t="s">
        <v>30</v>
      </c>
      <c r="M480" t="s">
        <v>31</v>
      </c>
      <c r="N480" t="s">
        <v>32</v>
      </c>
      <c r="O480">
        <v>7</v>
      </c>
      <c r="P480">
        <v>10</v>
      </c>
      <c r="Q480" t="s">
        <v>29</v>
      </c>
      <c r="R480" t="s">
        <v>85</v>
      </c>
      <c r="S480" s="3">
        <v>27.35</v>
      </c>
      <c r="T480" t="s">
        <v>43</v>
      </c>
      <c r="U480" t="s">
        <v>63</v>
      </c>
      <c r="V480" t="str">
        <f t="shared" si="28"/>
        <v>2026-02</v>
      </c>
      <c r="W480" t="str">
        <f t="shared" si="29"/>
        <v>8-14 days</v>
      </c>
      <c r="X480" t="str">
        <f t="shared" si="30"/>
        <v>Refund Issued</v>
      </c>
      <c r="Y480" t="str">
        <f t="shared" si="31"/>
        <v>High</v>
      </c>
    </row>
    <row r="481" spans="1:25" ht="27.6">
      <c r="A481" t="s">
        <v>1633</v>
      </c>
      <c r="B481" t="s">
        <v>1634</v>
      </c>
      <c r="C481" t="s">
        <v>1635</v>
      </c>
      <c r="D481" s="2">
        <v>46136</v>
      </c>
      <c r="E481" t="s">
        <v>40</v>
      </c>
      <c r="F481" t="s">
        <v>172</v>
      </c>
      <c r="G481" s="3">
        <v>250.28</v>
      </c>
      <c r="H481" t="s">
        <v>89</v>
      </c>
      <c r="I481" t="s">
        <v>50</v>
      </c>
      <c r="J481" s="4" t="s">
        <v>173</v>
      </c>
      <c r="K481" t="s">
        <v>33</v>
      </c>
      <c r="L481" t="s">
        <v>30</v>
      </c>
      <c r="M481" t="s">
        <v>31</v>
      </c>
      <c r="N481" t="s">
        <v>32</v>
      </c>
      <c r="O481">
        <v>7</v>
      </c>
      <c r="P481">
        <v>6</v>
      </c>
      <c r="Q481" t="s">
        <v>33</v>
      </c>
      <c r="R481" t="s">
        <v>174</v>
      </c>
      <c r="S481" s="3">
        <v>250.28</v>
      </c>
      <c r="T481" t="s">
        <v>286</v>
      </c>
      <c r="U481" t="s">
        <v>53</v>
      </c>
      <c r="V481" t="str">
        <f t="shared" si="28"/>
        <v>2026-04</v>
      </c>
      <c r="W481" t="str">
        <f t="shared" si="29"/>
        <v>4-7 days</v>
      </c>
      <c r="X481" t="str">
        <f t="shared" si="30"/>
        <v>Refund Issued</v>
      </c>
      <c r="Y481" t="str">
        <f t="shared" si="31"/>
        <v>Medium</v>
      </c>
    </row>
    <row r="482" spans="1:25" ht="27.6">
      <c r="A482" t="s">
        <v>1636</v>
      </c>
      <c r="B482" t="s">
        <v>1637</v>
      </c>
      <c r="C482" t="s">
        <v>1638</v>
      </c>
      <c r="D482" s="2">
        <v>46036</v>
      </c>
      <c r="E482" t="s">
        <v>94</v>
      </c>
      <c r="F482" t="s">
        <v>172</v>
      </c>
      <c r="G482" s="3">
        <v>84.32</v>
      </c>
      <c r="H482" t="s">
        <v>26</v>
      </c>
      <c r="I482" t="s">
        <v>27</v>
      </c>
      <c r="J482" s="4" t="s">
        <v>285</v>
      </c>
      <c r="K482" t="s">
        <v>33</v>
      </c>
      <c r="L482" t="s">
        <v>30</v>
      </c>
      <c r="M482" t="s">
        <v>31</v>
      </c>
      <c r="N482" t="s">
        <v>32</v>
      </c>
      <c r="O482">
        <v>7</v>
      </c>
      <c r="P482">
        <v>13</v>
      </c>
      <c r="Q482" t="s">
        <v>29</v>
      </c>
      <c r="R482" t="s">
        <v>174</v>
      </c>
      <c r="S482" s="3">
        <v>0</v>
      </c>
      <c r="T482" t="s">
        <v>69</v>
      </c>
      <c r="U482" t="s">
        <v>63</v>
      </c>
      <c r="V482" t="str">
        <f t="shared" si="28"/>
        <v>2026-01</v>
      </c>
      <c r="W482" t="str">
        <f t="shared" si="29"/>
        <v>8-14 days</v>
      </c>
      <c r="X482" t="str">
        <f t="shared" si="30"/>
        <v>No Refund</v>
      </c>
      <c r="Y482" t="str">
        <f t="shared" si="31"/>
        <v>Medium</v>
      </c>
    </row>
    <row r="483" spans="1:25" ht="27.6">
      <c r="A483" t="s">
        <v>1639</v>
      </c>
      <c r="B483" t="s">
        <v>1640</v>
      </c>
      <c r="C483" t="s">
        <v>1641</v>
      </c>
      <c r="D483" s="2">
        <v>46159</v>
      </c>
      <c r="E483" t="s">
        <v>47</v>
      </c>
      <c r="F483" t="s">
        <v>82</v>
      </c>
      <c r="G483" s="3">
        <v>11.77</v>
      </c>
      <c r="H483" t="s">
        <v>108</v>
      </c>
      <c r="I483" t="s">
        <v>27</v>
      </c>
      <c r="J483" s="4" t="s">
        <v>1642</v>
      </c>
      <c r="K483" t="s">
        <v>29</v>
      </c>
      <c r="L483" t="s">
        <v>30</v>
      </c>
      <c r="M483" t="s">
        <v>31</v>
      </c>
      <c r="N483" t="s">
        <v>32</v>
      </c>
      <c r="O483">
        <v>7</v>
      </c>
      <c r="P483">
        <v>5</v>
      </c>
      <c r="Q483" t="s">
        <v>33</v>
      </c>
      <c r="R483" t="s">
        <v>85</v>
      </c>
      <c r="S483" s="3">
        <v>5.88</v>
      </c>
      <c r="T483" t="s">
        <v>69</v>
      </c>
      <c r="U483" t="s">
        <v>53</v>
      </c>
      <c r="V483" t="str">
        <f t="shared" si="28"/>
        <v>2026-05</v>
      </c>
      <c r="W483" t="str">
        <f t="shared" si="29"/>
        <v>4-7 days</v>
      </c>
      <c r="X483" t="str">
        <f t="shared" si="30"/>
        <v>Refund Issued</v>
      </c>
      <c r="Y483" t="str">
        <f t="shared" si="31"/>
        <v>High</v>
      </c>
    </row>
    <row r="484" spans="1:25" ht="27.6">
      <c r="A484" t="s">
        <v>1643</v>
      </c>
      <c r="B484" t="s">
        <v>1237</v>
      </c>
      <c r="C484" t="s">
        <v>1644</v>
      </c>
      <c r="D484" s="2">
        <v>46088</v>
      </c>
      <c r="E484" t="s">
        <v>40</v>
      </c>
      <c r="F484" t="s">
        <v>25</v>
      </c>
      <c r="G484" s="3">
        <v>8</v>
      </c>
      <c r="H484" t="s">
        <v>41</v>
      </c>
      <c r="I484" t="s">
        <v>27</v>
      </c>
      <c r="J484" s="4" t="s">
        <v>1645</v>
      </c>
      <c r="K484" t="s">
        <v>29</v>
      </c>
      <c r="L484" t="s">
        <v>30</v>
      </c>
      <c r="M484" t="s">
        <v>31</v>
      </c>
      <c r="N484" t="s">
        <v>84</v>
      </c>
      <c r="O484">
        <v>5</v>
      </c>
      <c r="P484">
        <v>7</v>
      </c>
      <c r="Q484" t="s">
        <v>29</v>
      </c>
      <c r="R484" t="s">
        <v>34</v>
      </c>
      <c r="S484" s="3">
        <v>0</v>
      </c>
      <c r="T484" t="s">
        <v>43</v>
      </c>
      <c r="U484" t="s">
        <v>63</v>
      </c>
      <c r="V484" t="str">
        <f t="shared" si="28"/>
        <v>2026-03</v>
      </c>
      <c r="W484" t="str">
        <f t="shared" si="29"/>
        <v>4-7 days</v>
      </c>
      <c r="X484" t="str">
        <f t="shared" si="30"/>
        <v>No Refund</v>
      </c>
      <c r="Y484" t="str">
        <f t="shared" si="31"/>
        <v>High</v>
      </c>
    </row>
    <row r="485" spans="1:25" ht="27.6">
      <c r="A485" t="s">
        <v>1646</v>
      </c>
      <c r="B485" t="s">
        <v>1647</v>
      </c>
      <c r="C485" t="s">
        <v>1648</v>
      </c>
      <c r="D485" s="2">
        <v>46173</v>
      </c>
      <c r="E485" t="s">
        <v>24</v>
      </c>
      <c r="F485" t="s">
        <v>82</v>
      </c>
      <c r="G485" s="3">
        <v>45.94</v>
      </c>
      <c r="H485" t="s">
        <v>41</v>
      </c>
      <c r="I485" t="s">
        <v>27</v>
      </c>
      <c r="J485" s="4" t="s">
        <v>114</v>
      </c>
      <c r="K485" t="s">
        <v>29</v>
      </c>
      <c r="L485" t="s">
        <v>30</v>
      </c>
      <c r="M485" t="s">
        <v>31</v>
      </c>
      <c r="N485" t="s">
        <v>32</v>
      </c>
      <c r="O485">
        <v>7</v>
      </c>
      <c r="P485">
        <v>4</v>
      </c>
      <c r="Q485" t="s">
        <v>33</v>
      </c>
      <c r="R485" t="s">
        <v>85</v>
      </c>
      <c r="S485" s="3">
        <v>45.94</v>
      </c>
      <c r="T485" t="s">
        <v>69</v>
      </c>
      <c r="U485" t="s">
        <v>53</v>
      </c>
      <c r="V485" t="str">
        <f t="shared" si="28"/>
        <v>2026-05</v>
      </c>
      <c r="W485" t="str">
        <f t="shared" si="29"/>
        <v>4-7 days</v>
      </c>
      <c r="X485" t="str">
        <f t="shared" si="30"/>
        <v>Refund Issued</v>
      </c>
      <c r="Y485" t="str">
        <f t="shared" si="31"/>
        <v>High</v>
      </c>
    </row>
    <row r="486" spans="1:25" ht="27.6">
      <c r="A486" t="s">
        <v>1649</v>
      </c>
      <c r="B486" t="s">
        <v>1650</v>
      </c>
      <c r="C486" t="s">
        <v>1651</v>
      </c>
      <c r="D486" s="2">
        <v>46173</v>
      </c>
      <c r="E486" t="s">
        <v>40</v>
      </c>
      <c r="F486" t="s">
        <v>118</v>
      </c>
      <c r="G486" s="3">
        <v>58.64</v>
      </c>
      <c r="H486" t="s">
        <v>41</v>
      </c>
      <c r="I486" t="s">
        <v>50</v>
      </c>
      <c r="J486" s="4" t="s">
        <v>1652</v>
      </c>
      <c r="K486" t="s">
        <v>29</v>
      </c>
      <c r="L486" t="s">
        <v>120</v>
      </c>
      <c r="M486" t="s">
        <v>96</v>
      </c>
      <c r="N486" t="s">
        <v>84</v>
      </c>
      <c r="O486">
        <v>5</v>
      </c>
      <c r="P486">
        <v>5</v>
      </c>
      <c r="Q486" t="s">
        <v>33</v>
      </c>
      <c r="R486" t="s">
        <v>85</v>
      </c>
      <c r="S486" s="3">
        <v>0</v>
      </c>
      <c r="T486" t="s">
        <v>121</v>
      </c>
      <c r="U486" t="s">
        <v>36</v>
      </c>
      <c r="V486" t="str">
        <f t="shared" si="28"/>
        <v>2026-05</v>
      </c>
      <c r="W486" t="str">
        <f t="shared" si="29"/>
        <v>4-7 days</v>
      </c>
      <c r="X486" t="str">
        <f t="shared" si="30"/>
        <v>No Refund</v>
      </c>
      <c r="Y486" t="str">
        <f t="shared" si="31"/>
        <v>High</v>
      </c>
    </row>
    <row r="487" spans="1:25" ht="27.6">
      <c r="A487" t="s">
        <v>1653</v>
      </c>
      <c r="B487" t="s">
        <v>1654</v>
      </c>
      <c r="C487" t="s">
        <v>1655</v>
      </c>
      <c r="D487" s="2">
        <v>46131</v>
      </c>
      <c r="E487" t="s">
        <v>94</v>
      </c>
      <c r="F487" t="s">
        <v>172</v>
      </c>
      <c r="G487" s="3">
        <v>52.88</v>
      </c>
      <c r="H487" t="s">
        <v>26</v>
      </c>
      <c r="I487" t="s">
        <v>67</v>
      </c>
      <c r="J487" s="4" t="s">
        <v>173</v>
      </c>
      <c r="K487" t="s">
        <v>29</v>
      </c>
      <c r="L487" t="s">
        <v>30</v>
      </c>
      <c r="M487" t="s">
        <v>31</v>
      </c>
      <c r="N487" t="s">
        <v>32</v>
      </c>
      <c r="O487">
        <v>7</v>
      </c>
      <c r="P487">
        <v>5</v>
      </c>
      <c r="Q487" t="s">
        <v>33</v>
      </c>
      <c r="R487" t="s">
        <v>174</v>
      </c>
      <c r="S487" s="3">
        <v>0</v>
      </c>
      <c r="T487" t="s">
        <v>110</v>
      </c>
      <c r="U487" t="s">
        <v>36</v>
      </c>
      <c r="V487" t="str">
        <f t="shared" si="28"/>
        <v>2026-04</v>
      </c>
      <c r="W487" t="str">
        <f t="shared" si="29"/>
        <v>4-7 days</v>
      </c>
      <c r="X487" t="str">
        <f t="shared" si="30"/>
        <v>No Refund</v>
      </c>
      <c r="Y487" t="str">
        <f t="shared" si="31"/>
        <v>Medium</v>
      </c>
    </row>
    <row r="488" spans="1:25" ht="27.6">
      <c r="A488" t="s">
        <v>1656</v>
      </c>
      <c r="B488" t="s">
        <v>1657</v>
      </c>
      <c r="C488" t="s">
        <v>1658</v>
      </c>
      <c r="D488" s="2">
        <v>46034</v>
      </c>
      <c r="E488" t="s">
        <v>24</v>
      </c>
      <c r="F488" t="s">
        <v>172</v>
      </c>
      <c r="G488" s="3">
        <v>222.97</v>
      </c>
      <c r="H488" t="s">
        <v>58</v>
      </c>
      <c r="I488" t="s">
        <v>50</v>
      </c>
      <c r="J488" s="4" t="s">
        <v>285</v>
      </c>
      <c r="K488" t="s">
        <v>33</v>
      </c>
      <c r="L488" t="s">
        <v>30</v>
      </c>
      <c r="M488" t="s">
        <v>31</v>
      </c>
      <c r="N488" t="s">
        <v>126</v>
      </c>
      <c r="O488">
        <v>7</v>
      </c>
      <c r="P488">
        <v>8</v>
      </c>
      <c r="Q488" t="s">
        <v>29</v>
      </c>
      <c r="R488" t="s">
        <v>174</v>
      </c>
      <c r="S488" s="3">
        <v>0</v>
      </c>
      <c r="T488" t="s">
        <v>286</v>
      </c>
      <c r="U488" t="s">
        <v>63</v>
      </c>
      <c r="V488" t="str">
        <f t="shared" si="28"/>
        <v>2026-01</v>
      </c>
      <c r="W488" t="str">
        <f t="shared" si="29"/>
        <v>8-14 days</v>
      </c>
      <c r="X488" t="str">
        <f t="shared" si="30"/>
        <v>No Refund</v>
      </c>
      <c r="Y488" t="str">
        <f t="shared" si="31"/>
        <v>Medium</v>
      </c>
    </row>
    <row r="489" spans="1:25" ht="27.6">
      <c r="A489" t="s">
        <v>1659</v>
      </c>
      <c r="B489" t="s">
        <v>1660</v>
      </c>
      <c r="C489" t="s">
        <v>1661</v>
      </c>
      <c r="D489" s="2">
        <v>46138</v>
      </c>
      <c r="E489" t="s">
        <v>24</v>
      </c>
      <c r="F489" t="s">
        <v>172</v>
      </c>
      <c r="G489" s="3">
        <v>29.09</v>
      </c>
      <c r="H489" t="s">
        <v>89</v>
      </c>
      <c r="I489" t="s">
        <v>27</v>
      </c>
      <c r="J489" s="4" t="s">
        <v>173</v>
      </c>
      <c r="K489" t="s">
        <v>33</v>
      </c>
      <c r="L489" t="s">
        <v>30</v>
      </c>
      <c r="M489" t="s">
        <v>31</v>
      </c>
      <c r="N489" t="s">
        <v>32</v>
      </c>
      <c r="O489">
        <v>7</v>
      </c>
      <c r="P489">
        <v>14</v>
      </c>
      <c r="Q489" t="s">
        <v>29</v>
      </c>
      <c r="R489" t="s">
        <v>174</v>
      </c>
      <c r="S489" s="3">
        <v>21.82</v>
      </c>
      <c r="T489" t="s">
        <v>69</v>
      </c>
      <c r="U489" t="s">
        <v>63</v>
      </c>
      <c r="V489" t="str">
        <f t="shared" si="28"/>
        <v>2026-04</v>
      </c>
      <c r="W489" t="str">
        <f t="shared" si="29"/>
        <v>8-14 days</v>
      </c>
      <c r="X489" t="str">
        <f t="shared" si="30"/>
        <v>Refund Issued</v>
      </c>
      <c r="Y489" t="str">
        <f t="shared" si="31"/>
        <v>Medium</v>
      </c>
    </row>
    <row r="490" spans="1:25" ht="27.6">
      <c r="A490" t="s">
        <v>1662</v>
      </c>
      <c r="B490" t="s">
        <v>1663</v>
      </c>
      <c r="C490" t="s">
        <v>1664</v>
      </c>
      <c r="D490" s="2">
        <v>46067</v>
      </c>
      <c r="E490" t="s">
        <v>24</v>
      </c>
      <c r="F490" t="s">
        <v>73</v>
      </c>
      <c r="G490" s="3">
        <v>140.9</v>
      </c>
      <c r="H490" t="s">
        <v>89</v>
      </c>
      <c r="I490" t="s">
        <v>27</v>
      </c>
      <c r="J490" s="4" t="s">
        <v>389</v>
      </c>
      <c r="K490" t="s">
        <v>33</v>
      </c>
      <c r="L490" t="s">
        <v>60</v>
      </c>
      <c r="M490" t="s">
        <v>31</v>
      </c>
      <c r="N490" t="s">
        <v>126</v>
      </c>
      <c r="O490">
        <v>10</v>
      </c>
      <c r="P490">
        <v>14</v>
      </c>
      <c r="Q490" t="s">
        <v>29</v>
      </c>
      <c r="R490" t="s">
        <v>61</v>
      </c>
      <c r="S490" s="3">
        <v>0</v>
      </c>
      <c r="T490" t="s">
        <v>62</v>
      </c>
      <c r="U490" t="s">
        <v>63</v>
      </c>
      <c r="V490" t="str">
        <f t="shared" si="28"/>
        <v>2026-02</v>
      </c>
      <c r="W490" t="str">
        <f t="shared" si="29"/>
        <v>8-14 days</v>
      </c>
      <c r="X490" t="str">
        <f t="shared" si="30"/>
        <v>No Refund</v>
      </c>
      <c r="Y490" t="str">
        <f t="shared" si="31"/>
        <v>Low</v>
      </c>
    </row>
    <row r="491" spans="1:25" ht="27.6">
      <c r="A491" t="s">
        <v>1665</v>
      </c>
      <c r="B491" t="s">
        <v>1666</v>
      </c>
      <c r="C491" t="s">
        <v>1667</v>
      </c>
      <c r="D491" s="2">
        <v>46119</v>
      </c>
      <c r="E491" t="s">
        <v>40</v>
      </c>
      <c r="F491" t="s">
        <v>82</v>
      </c>
      <c r="G491" s="3">
        <v>5.32</v>
      </c>
      <c r="H491" t="s">
        <v>58</v>
      </c>
      <c r="I491" t="s">
        <v>67</v>
      </c>
      <c r="J491" s="4" t="s">
        <v>114</v>
      </c>
      <c r="K491" t="s">
        <v>29</v>
      </c>
      <c r="L491" t="s">
        <v>30</v>
      </c>
      <c r="M491" t="s">
        <v>31</v>
      </c>
      <c r="N491" t="s">
        <v>90</v>
      </c>
      <c r="O491">
        <v>7</v>
      </c>
      <c r="P491">
        <v>6</v>
      </c>
      <c r="Q491" t="s">
        <v>33</v>
      </c>
      <c r="R491" t="s">
        <v>85</v>
      </c>
      <c r="S491" s="3">
        <v>0</v>
      </c>
      <c r="T491" t="s">
        <v>69</v>
      </c>
      <c r="U491" t="s">
        <v>53</v>
      </c>
      <c r="V491" t="str">
        <f t="shared" si="28"/>
        <v>2026-04</v>
      </c>
      <c r="W491" t="str">
        <f t="shared" si="29"/>
        <v>4-7 days</v>
      </c>
      <c r="X491" t="str">
        <f t="shared" si="30"/>
        <v>No Refund</v>
      </c>
      <c r="Y491" t="str">
        <f t="shared" si="31"/>
        <v>High</v>
      </c>
    </row>
    <row r="492" spans="1:25" ht="27.6">
      <c r="A492" t="s">
        <v>1668</v>
      </c>
      <c r="B492" t="s">
        <v>1669</v>
      </c>
      <c r="C492" t="s">
        <v>1670</v>
      </c>
      <c r="D492" s="2">
        <v>46094</v>
      </c>
      <c r="E492" t="s">
        <v>40</v>
      </c>
      <c r="F492" t="s">
        <v>103</v>
      </c>
      <c r="G492" s="3">
        <v>104.92</v>
      </c>
      <c r="H492" t="s">
        <v>74</v>
      </c>
      <c r="I492" t="s">
        <v>27</v>
      </c>
      <c r="J492" s="4" t="s">
        <v>134</v>
      </c>
      <c r="K492" t="s">
        <v>29</v>
      </c>
      <c r="L492" t="s">
        <v>30</v>
      </c>
      <c r="M492" t="s">
        <v>31</v>
      </c>
      <c r="N492" t="s">
        <v>32</v>
      </c>
      <c r="O492">
        <v>5</v>
      </c>
      <c r="P492">
        <v>9</v>
      </c>
      <c r="Q492" t="s">
        <v>29</v>
      </c>
      <c r="R492" t="s">
        <v>34</v>
      </c>
      <c r="S492" s="3">
        <v>0</v>
      </c>
      <c r="T492" t="s">
        <v>247</v>
      </c>
      <c r="U492" t="s">
        <v>63</v>
      </c>
      <c r="V492" t="str">
        <f t="shared" si="28"/>
        <v>2026-03</v>
      </c>
      <c r="W492" t="str">
        <f t="shared" si="29"/>
        <v>8-14 days</v>
      </c>
      <c r="X492" t="str">
        <f t="shared" si="30"/>
        <v>No Refund</v>
      </c>
      <c r="Y492" t="str">
        <f t="shared" si="31"/>
        <v>Medium</v>
      </c>
    </row>
    <row r="493" spans="1:25" ht="27.6">
      <c r="A493" t="s">
        <v>1671</v>
      </c>
      <c r="B493" t="s">
        <v>1672</v>
      </c>
      <c r="C493" t="s">
        <v>1673</v>
      </c>
      <c r="D493" s="2">
        <v>46124</v>
      </c>
      <c r="E493" t="s">
        <v>24</v>
      </c>
      <c r="F493" t="s">
        <v>118</v>
      </c>
      <c r="G493" s="3">
        <v>40.47</v>
      </c>
      <c r="H493" t="s">
        <v>74</v>
      </c>
      <c r="I493" t="s">
        <v>50</v>
      </c>
      <c r="J493" s="4" t="s">
        <v>1674</v>
      </c>
      <c r="K493" t="s">
        <v>29</v>
      </c>
      <c r="L493" t="s">
        <v>120</v>
      </c>
      <c r="M493" t="s">
        <v>96</v>
      </c>
      <c r="N493" t="s">
        <v>32</v>
      </c>
      <c r="O493">
        <v>5</v>
      </c>
      <c r="P493">
        <v>3</v>
      </c>
      <c r="Q493" t="s">
        <v>33</v>
      </c>
      <c r="R493" t="s">
        <v>85</v>
      </c>
      <c r="S493" s="3">
        <v>40.47</v>
      </c>
      <c r="T493" t="s">
        <v>121</v>
      </c>
      <c r="U493" t="s">
        <v>53</v>
      </c>
      <c r="V493" t="str">
        <f t="shared" si="28"/>
        <v>2026-04</v>
      </c>
      <c r="W493" t="str">
        <f t="shared" si="29"/>
        <v>0-3 days</v>
      </c>
      <c r="X493" t="str">
        <f t="shared" si="30"/>
        <v>Refund Issued</v>
      </c>
      <c r="Y493" t="str">
        <f t="shared" si="31"/>
        <v>High</v>
      </c>
    </row>
    <row r="494" spans="1:25" ht="27.6">
      <c r="A494" t="s">
        <v>1675</v>
      </c>
      <c r="B494" t="s">
        <v>1676</v>
      </c>
      <c r="C494" t="s">
        <v>1677</v>
      </c>
      <c r="D494" s="2">
        <v>46039</v>
      </c>
      <c r="E494" t="s">
        <v>24</v>
      </c>
      <c r="F494" t="s">
        <v>48</v>
      </c>
      <c r="G494" s="3">
        <v>64.069999999999993</v>
      </c>
      <c r="H494" t="s">
        <v>49</v>
      </c>
      <c r="I494" t="s">
        <v>50</v>
      </c>
      <c r="J494" s="4" t="s">
        <v>68</v>
      </c>
      <c r="K494" t="s">
        <v>33</v>
      </c>
      <c r="L494" t="s">
        <v>30</v>
      </c>
      <c r="M494" t="s">
        <v>31</v>
      </c>
      <c r="N494" t="s">
        <v>32</v>
      </c>
      <c r="O494">
        <v>10</v>
      </c>
      <c r="P494">
        <v>7</v>
      </c>
      <c r="Q494" t="s">
        <v>33</v>
      </c>
      <c r="R494" t="s">
        <v>34</v>
      </c>
      <c r="S494" s="3">
        <v>0</v>
      </c>
      <c r="T494" t="s">
        <v>62</v>
      </c>
      <c r="U494" t="s">
        <v>53</v>
      </c>
      <c r="V494" t="str">
        <f t="shared" si="28"/>
        <v>2026-01</v>
      </c>
      <c r="W494" t="str">
        <f t="shared" si="29"/>
        <v>4-7 days</v>
      </c>
      <c r="X494" t="str">
        <f t="shared" si="30"/>
        <v>No Refund</v>
      </c>
      <c r="Y494" t="str">
        <f t="shared" si="31"/>
        <v>Low</v>
      </c>
    </row>
    <row r="495" spans="1:25" ht="27.6">
      <c r="A495" t="s">
        <v>1678</v>
      </c>
      <c r="B495" t="s">
        <v>1679</v>
      </c>
      <c r="C495" t="s">
        <v>1680</v>
      </c>
      <c r="D495" s="2">
        <v>46105</v>
      </c>
      <c r="E495" t="s">
        <v>47</v>
      </c>
      <c r="F495" t="s">
        <v>48</v>
      </c>
      <c r="G495" s="3">
        <v>14.44</v>
      </c>
      <c r="H495" t="s">
        <v>108</v>
      </c>
      <c r="I495" t="s">
        <v>50</v>
      </c>
      <c r="J495" s="4" t="s">
        <v>68</v>
      </c>
      <c r="K495" t="s">
        <v>29</v>
      </c>
      <c r="L495" t="s">
        <v>30</v>
      </c>
      <c r="M495" t="s">
        <v>31</v>
      </c>
      <c r="N495" t="s">
        <v>84</v>
      </c>
      <c r="O495">
        <v>10</v>
      </c>
      <c r="P495">
        <v>2</v>
      </c>
      <c r="Q495" t="s">
        <v>33</v>
      </c>
      <c r="R495" t="s">
        <v>34</v>
      </c>
      <c r="S495" s="3">
        <v>0</v>
      </c>
      <c r="T495" t="s">
        <v>69</v>
      </c>
      <c r="U495" t="s">
        <v>53</v>
      </c>
      <c r="V495" t="str">
        <f t="shared" si="28"/>
        <v>2026-03</v>
      </c>
      <c r="W495" t="str">
        <f t="shared" si="29"/>
        <v>0-3 days</v>
      </c>
      <c r="X495" t="str">
        <f t="shared" si="30"/>
        <v>No Refund</v>
      </c>
      <c r="Y495" t="str">
        <f t="shared" si="31"/>
        <v>Low</v>
      </c>
    </row>
    <row r="496" spans="1:25" ht="27.6">
      <c r="A496" t="s">
        <v>1681</v>
      </c>
      <c r="B496" t="s">
        <v>1682</v>
      </c>
      <c r="C496" t="s">
        <v>1683</v>
      </c>
      <c r="D496" s="2">
        <v>46137</v>
      </c>
      <c r="E496" t="s">
        <v>24</v>
      </c>
      <c r="F496" t="s">
        <v>82</v>
      </c>
      <c r="G496" s="3">
        <v>5.42</v>
      </c>
      <c r="H496" t="s">
        <v>49</v>
      </c>
      <c r="I496" t="s">
        <v>27</v>
      </c>
      <c r="J496" s="4" t="s">
        <v>114</v>
      </c>
      <c r="K496" t="s">
        <v>33</v>
      </c>
      <c r="L496" t="s">
        <v>30</v>
      </c>
      <c r="M496" t="s">
        <v>31</v>
      </c>
      <c r="N496" t="s">
        <v>32</v>
      </c>
      <c r="O496">
        <v>7</v>
      </c>
      <c r="P496">
        <v>7</v>
      </c>
      <c r="Q496" t="s">
        <v>33</v>
      </c>
      <c r="R496" t="s">
        <v>85</v>
      </c>
      <c r="S496" s="3">
        <v>4.0599999999999996</v>
      </c>
      <c r="T496" t="s">
        <v>62</v>
      </c>
      <c r="U496" t="s">
        <v>53</v>
      </c>
      <c r="V496" t="str">
        <f t="shared" si="28"/>
        <v>2026-04</v>
      </c>
      <c r="W496" t="str">
        <f t="shared" si="29"/>
        <v>4-7 days</v>
      </c>
      <c r="X496" t="str">
        <f t="shared" si="30"/>
        <v>Refund Issued</v>
      </c>
      <c r="Y496" t="str">
        <f t="shared" si="31"/>
        <v>High</v>
      </c>
    </row>
    <row r="497" spans="1:25" ht="27.6">
      <c r="A497" t="s">
        <v>1684</v>
      </c>
      <c r="B497" t="s">
        <v>1685</v>
      </c>
      <c r="C497" t="s">
        <v>1686</v>
      </c>
      <c r="D497" s="2">
        <v>46133</v>
      </c>
      <c r="E497" t="s">
        <v>40</v>
      </c>
      <c r="F497" t="s">
        <v>172</v>
      </c>
      <c r="G497" s="3">
        <v>53.34</v>
      </c>
      <c r="H497" t="s">
        <v>41</v>
      </c>
      <c r="I497" t="s">
        <v>27</v>
      </c>
      <c r="J497" s="4" t="s">
        <v>173</v>
      </c>
      <c r="K497" t="s">
        <v>29</v>
      </c>
      <c r="L497" t="s">
        <v>30</v>
      </c>
      <c r="M497" t="s">
        <v>31</v>
      </c>
      <c r="N497" t="s">
        <v>90</v>
      </c>
      <c r="O497">
        <v>7</v>
      </c>
      <c r="P497">
        <v>8</v>
      </c>
      <c r="Q497" t="s">
        <v>29</v>
      </c>
      <c r="R497" t="s">
        <v>174</v>
      </c>
      <c r="S497" s="3">
        <v>0</v>
      </c>
      <c r="T497" t="s">
        <v>286</v>
      </c>
      <c r="U497" t="s">
        <v>63</v>
      </c>
      <c r="V497" t="str">
        <f t="shared" si="28"/>
        <v>2026-04</v>
      </c>
      <c r="W497" t="str">
        <f t="shared" si="29"/>
        <v>8-14 days</v>
      </c>
      <c r="X497" t="str">
        <f t="shared" si="30"/>
        <v>No Refund</v>
      </c>
      <c r="Y497" t="str">
        <f t="shared" si="31"/>
        <v>Medium</v>
      </c>
    </row>
    <row r="498" spans="1:25" ht="27.6">
      <c r="A498" t="s">
        <v>1687</v>
      </c>
      <c r="B498" t="s">
        <v>1688</v>
      </c>
      <c r="C498" t="s">
        <v>1689</v>
      </c>
      <c r="D498" s="2">
        <v>46135</v>
      </c>
      <c r="E498" t="s">
        <v>40</v>
      </c>
      <c r="F498" t="s">
        <v>172</v>
      </c>
      <c r="G498" s="3">
        <v>45.87</v>
      </c>
      <c r="H498" t="s">
        <v>26</v>
      </c>
      <c r="I498" t="s">
        <v>67</v>
      </c>
      <c r="J498" s="4" t="s">
        <v>173</v>
      </c>
      <c r="K498" t="s">
        <v>29</v>
      </c>
      <c r="L498" t="s">
        <v>30</v>
      </c>
      <c r="M498" t="s">
        <v>31</v>
      </c>
      <c r="N498" t="s">
        <v>90</v>
      </c>
      <c r="O498">
        <v>7</v>
      </c>
      <c r="P498">
        <v>9</v>
      </c>
      <c r="Q498" t="s">
        <v>29</v>
      </c>
      <c r="R498" t="s">
        <v>174</v>
      </c>
      <c r="S498" s="3">
        <v>0</v>
      </c>
      <c r="T498" t="s">
        <v>110</v>
      </c>
      <c r="U498" t="s">
        <v>63</v>
      </c>
      <c r="V498" t="str">
        <f t="shared" si="28"/>
        <v>2026-04</v>
      </c>
      <c r="W498" t="str">
        <f t="shared" si="29"/>
        <v>8-14 days</v>
      </c>
      <c r="X498" t="str">
        <f t="shared" si="30"/>
        <v>No Refund</v>
      </c>
      <c r="Y498" t="str">
        <f t="shared" si="31"/>
        <v>Medium</v>
      </c>
    </row>
    <row r="499" spans="1:25" ht="27.6">
      <c r="A499" t="s">
        <v>1690</v>
      </c>
      <c r="B499" t="s">
        <v>1691</v>
      </c>
      <c r="C499" t="s">
        <v>1692</v>
      </c>
      <c r="D499" s="2">
        <v>46133</v>
      </c>
      <c r="E499" t="s">
        <v>24</v>
      </c>
      <c r="F499" t="s">
        <v>103</v>
      </c>
      <c r="G499" s="3">
        <v>45.72</v>
      </c>
      <c r="H499" t="s">
        <v>108</v>
      </c>
      <c r="I499" t="s">
        <v>27</v>
      </c>
      <c r="J499" s="4" t="s">
        <v>134</v>
      </c>
      <c r="K499" t="s">
        <v>29</v>
      </c>
      <c r="L499" t="s">
        <v>30</v>
      </c>
      <c r="M499" t="s">
        <v>31</v>
      </c>
      <c r="N499" t="s">
        <v>32</v>
      </c>
      <c r="O499">
        <v>5</v>
      </c>
      <c r="P499">
        <v>6</v>
      </c>
      <c r="Q499" t="s">
        <v>29</v>
      </c>
      <c r="R499" t="s">
        <v>34</v>
      </c>
      <c r="S499" s="3">
        <v>0</v>
      </c>
      <c r="T499" t="s">
        <v>247</v>
      </c>
      <c r="U499" t="s">
        <v>63</v>
      </c>
      <c r="V499" t="str">
        <f t="shared" si="28"/>
        <v>2026-04</v>
      </c>
      <c r="W499" t="str">
        <f t="shared" si="29"/>
        <v>4-7 days</v>
      </c>
      <c r="X499" t="str">
        <f t="shared" si="30"/>
        <v>No Refund</v>
      </c>
      <c r="Y499" t="str">
        <f t="shared" si="31"/>
        <v>Medium</v>
      </c>
    </row>
    <row r="500" spans="1:25" ht="27.6">
      <c r="A500" t="s">
        <v>1693</v>
      </c>
      <c r="B500" t="s">
        <v>1694</v>
      </c>
      <c r="C500" t="s">
        <v>1695</v>
      </c>
      <c r="D500" s="2">
        <v>46141</v>
      </c>
      <c r="E500" t="s">
        <v>40</v>
      </c>
      <c r="F500" t="s">
        <v>73</v>
      </c>
      <c r="G500" s="3">
        <v>52.63</v>
      </c>
      <c r="H500" t="s">
        <v>58</v>
      </c>
      <c r="I500" t="s">
        <v>67</v>
      </c>
      <c r="J500" s="4" t="s">
        <v>75</v>
      </c>
      <c r="K500" t="s">
        <v>29</v>
      </c>
      <c r="L500" t="s">
        <v>60</v>
      </c>
      <c r="M500" t="s">
        <v>31</v>
      </c>
      <c r="N500" t="s">
        <v>32</v>
      </c>
      <c r="O500">
        <v>10</v>
      </c>
      <c r="P500">
        <v>9</v>
      </c>
      <c r="Q500" t="s">
        <v>33</v>
      </c>
      <c r="R500" t="s">
        <v>61</v>
      </c>
      <c r="S500" s="3">
        <v>0</v>
      </c>
      <c r="T500" t="s">
        <v>52</v>
      </c>
      <c r="U500" t="s">
        <v>63</v>
      </c>
      <c r="V500" t="str">
        <f t="shared" si="28"/>
        <v>2026-04</v>
      </c>
      <c r="W500" t="str">
        <f t="shared" si="29"/>
        <v>8-14 days</v>
      </c>
      <c r="X500" t="str">
        <f t="shared" si="30"/>
        <v>No Refund</v>
      </c>
      <c r="Y500" t="str">
        <f t="shared" si="31"/>
        <v>Low</v>
      </c>
    </row>
    <row r="501" spans="1:25" ht="27.6">
      <c r="A501" t="s">
        <v>1696</v>
      </c>
      <c r="B501" t="s">
        <v>1697</v>
      </c>
      <c r="C501" t="s">
        <v>1698</v>
      </c>
      <c r="D501" s="2">
        <v>46153</v>
      </c>
      <c r="E501" t="s">
        <v>24</v>
      </c>
      <c r="F501" t="s">
        <v>82</v>
      </c>
      <c r="G501" s="3">
        <v>72.95</v>
      </c>
      <c r="H501" t="s">
        <v>74</v>
      </c>
      <c r="I501" t="s">
        <v>27</v>
      </c>
      <c r="J501" s="4" t="s">
        <v>1699</v>
      </c>
      <c r="K501" t="s">
        <v>29</v>
      </c>
      <c r="L501" t="s">
        <v>30</v>
      </c>
      <c r="M501" t="s">
        <v>31</v>
      </c>
      <c r="N501" t="s">
        <v>32</v>
      </c>
      <c r="O501">
        <v>7</v>
      </c>
      <c r="P501">
        <v>5</v>
      </c>
      <c r="Q501" t="s">
        <v>33</v>
      </c>
      <c r="R501" t="s">
        <v>85</v>
      </c>
      <c r="S501" s="3">
        <v>72.95</v>
      </c>
      <c r="T501" t="s">
        <v>43</v>
      </c>
      <c r="U501" t="s">
        <v>36</v>
      </c>
      <c r="V501" t="str">
        <f t="shared" si="28"/>
        <v>2026-05</v>
      </c>
      <c r="W501" t="str">
        <f t="shared" si="29"/>
        <v>4-7 days</v>
      </c>
      <c r="X501" t="str">
        <f t="shared" si="30"/>
        <v>Refund Issued</v>
      </c>
      <c r="Y501" t="str">
        <f t="shared" si="31"/>
        <v>High</v>
      </c>
    </row>
    <row r="502" spans="1:25" ht="27.6">
      <c r="A502" t="s">
        <v>1700</v>
      </c>
      <c r="B502" t="s">
        <v>1701</v>
      </c>
      <c r="C502" t="s">
        <v>1702</v>
      </c>
      <c r="D502" s="2">
        <v>46060</v>
      </c>
      <c r="E502" t="s">
        <v>24</v>
      </c>
      <c r="F502" t="s">
        <v>118</v>
      </c>
      <c r="G502" s="3">
        <v>28.14</v>
      </c>
      <c r="H502" t="s">
        <v>26</v>
      </c>
      <c r="I502" t="s">
        <v>50</v>
      </c>
      <c r="J502" s="4" t="s">
        <v>119</v>
      </c>
      <c r="K502" t="s">
        <v>33</v>
      </c>
      <c r="L502" t="s">
        <v>120</v>
      </c>
      <c r="M502" t="s">
        <v>96</v>
      </c>
      <c r="N502" t="s">
        <v>126</v>
      </c>
      <c r="O502">
        <v>5</v>
      </c>
      <c r="P502">
        <v>4</v>
      </c>
      <c r="Q502" t="s">
        <v>33</v>
      </c>
      <c r="R502" t="s">
        <v>85</v>
      </c>
      <c r="S502" s="3">
        <v>0</v>
      </c>
      <c r="T502" t="s">
        <v>121</v>
      </c>
      <c r="U502" t="s">
        <v>53</v>
      </c>
      <c r="V502" t="str">
        <f t="shared" si="28"/>
        <v>2026-02</v>
      </c>
      <c r="W502" t="str">
        <f t="shared" si="29"/>
        <v>4-7 days</v>
      </c>
      <c r="X502" t="str">
        <f t="shared" si="30"/>
        <v>No Refund</v>
      </c>
      <c r="Y502" t="str">
        <f t="shared" si="31"/>
        <v>High</v>
      </c>
    </row>
    <row r="503" spans="1:25" ht="27.6">
      <c r="A503" t="s">
        <v>1703</v>
      </c>
      <c r="B503" t="s">
        <v>1704</v>
      </c>
      <c r="C503" t="s">
        <v>1705</v>
      </c>
      <c r="D503" s="2">
        <v>46074</v>
      </c>
      <c r="E503" t="s">
        <v>40</v>
      </c>
      <c r="F503" t="s">
        <v>118</v>
      </c>
      <c r="G503" s="3">
        <v>18.61</v>
      </c>
      <c r="H503" t="s">
        <v>108</v>
      </c>
      <c r="I503" t="s">
        <v>50</v>
      </c>
      <c r="J503" s="4" t="s">
        <v>119</v>
      </c>
      <c r="K503" t="s">
        <v>33</v>
      </c>
      <c r="L503" t="s">
        <v>30</v>
      </c>
      <c r="M503" t="s">
        <v>31</v>
      </c>
      <c r="N503" t="s">
        <v>32</v>
      </c>
      <c r="O503">
        <v>5</v>
      </c>
      <c r="P503">
        <v>10</v>
      </c>
      <c r="Q503" t="s">
        <v>29</v>
      </c>
      <c r="R503" t="s">
        <v>85</v>
      </c>
      <c r="S503" s="3">
        <v>18.61</v>
      </c>
      <c r="T503" t="s">
        <v>121</v>
      </c>
      <c r="U503" t="s">
        <v>63</v>
      </c>
      <c r="V503" t="str">
        <f t="shared" si="28"/>
        <v>2026-02</v>
      </c>
      <c r="W503" t="str">
        <f t="shared" si="29"/>
        <v>8-14 days</v>
      </c>
      <c r="X503" t="str">
        <f t="shared" si="30"/>
        <v>Refund Issued</v>
      </c>
      <c r="Y503" t="str">
        <f t="shared" si="31"/>
        <v>High</v>
      </c>
    </row>
    <row r="504" spans="1:25" ht="27.6">
      <c r="A504" t="s">
        <v>1706</v>
      </c>
      <c r="B504" t="s">
        <v>1707</v>
      </c>
      <c r="C504" t="s">
        <v>1708</v>
      </c>
      <c r="D504" s="2">
        <v>46107</v>
      </c>
      <c r="E504" t="s">
        <v>24</v>
      </c>
      <c r="F504" t="s">
        <v>82</v>
      </c>
      <c r="G504" s="3">
        <v>23.93</v>
      </c>
      <c r="H504" t="s">
        <v>89</v>
      </c>
      <c r="I504" t="s">
        <v>27</v>
      </c>
      <c r="J504" s="4" t="s">
        <v>1709</v>
      </c>
      <c r="K504" t="s">
        <v>29</v>
      </c>
      <c r="L504" t="s">
        <v>30</v>
      </c>
      <c r="M504" t="s">
        <v>31</v>
      </c>
      <c r="N504" t="s">
        <v>32</v>
      </c>
      <c r="O504">
        <v>7</v>
      </c>
      <c r="P504">
        <v>7</v>
      </c>
      <c r="Q504" t="s">
        <v>33</v>
      </c>
      <c r="R504" t="s">
        <v>85</v>
      </c>
      <c r="S504" s="3">
        <v>0</v>
      </c>
      <c r="T504" t="s">
        <v>69</v>
      </c>
      <c r="U504" t="s">
        <v>53</v>
      </c>
      <c r="V504" t="str">
        <f t="shared" si="28"/>
        <v>2026-03</v>
      </c>
      <c r="W504" t="str">
        <f t="shared" si="29"/>
        <v>4-7 days</v>
      </c>
      <c r="X504" t="str">
        <f t="shared" si="30"/>
        <v>No Refund</v>
      </c>
      <c r="Y504" t="str">
        <f t="shared" si="31"/>
        <v>High</v>
      </c>
    </row>
    <row r="505" spans="1:25" ht="27.6">
      <c r="A505" t="s">
        <v>1710</v>
      </c>
      <c r="B505" t="s">
        <v>1711</v>
      </c>
      <c r="C505" t="s">
        <v>1712</v>
      </c>
      <c r="D505" s="2">
        <v>46114</v>
      </c>
      <c r="E505" t="s">
        <v>24</v>
      </c>
      <c r="F505" t="s">
        <v>25</v>
      </c>
      <c r="G505" s="3">
        <v>27.69</v>
      </c>
      <c r="H505" t="s">
        <v>89</v>
      </c>
      <c r="I505" t="s">
        <v>67</v>
      </c>
      <c r="J505" s="4" t="s">
        <v>1713</v>
      </c>
      <c r="K505" t="s">
        <v>29</v>
      </c>
      <c r="L505" t="s">
        <v>30</v>
      </c>
      <c r="M505" t="s">
        <v>31</v>
      </c>
      <c r="N505" t="s">
        <v>32</v>
      </c>
      <c r="O505">
        <v>5</v>
      </c>
      <c r="P505">
        <v>3</v>
      </c>
      <c r="Q505" t="s">
        <v>33</v>
      </c>
      <c r="R505" t="s">
        <v>34</v>
      </c>
      <c r="S505" s="3">
        <v>13.85</v>
      </c>
      <c r="T505" t="s">
        <v>110</v>
      </c>
      <c r="U505" t="s">
        <v>36</v>
      </c>
      <c r="V505" t="str">
        <f t="shared" si="28"/>
        <v>2026-04</v>
      </c>
      <c r="W505" t="str">
        <f t="shared" si="29"/>
        <v>0-3 days</v>
      </c>
      <c r="X505" t="str">
        <f t="shared" si="30"/>
        <v>Refund Issued</v>
      </c>
      <c r="Y505" t="str">
        <f t="shared" si="31"/>
        <v>High</v>
      </c>
    </row>
    <row r="506" spans="1:25" ht="27.6">
      <c r="A506" t="s">
        <v>1714</v>
      </c>
      <c r="B506" t="s">
        <v>1715</v>
      </c>
      <c r="C506" t="s">
        <v>1716</v>
      </c>
      <c r="D506" s="2">
        <v>46164</v>
      </c>
      <c r="E506" t="s">
        <v>24</v>
      </c>
      <c r="F506" t="s">
        <v>25</v>
      </c>
      <c r="G506" s="3">
        <v>21.33</v>
      </c>
      <c r="H506" t="s">
        <v>26</v>
      </c>
      <c r="I506" t="s">
        <v>27</v>
      </c>
      <c r="J506" s="4" t="s">
        <v>42</v>
      </c>
      <c r="K506" t="s">
        <v>29</v>
      </c>
      <c r="L506" t="s">
        <v>30</v>
      </c>
      <c r="M506" t="s">
        <v>31</v>
      </c>
      <c r="N506" t="s">
        <v>32</v>
      </c>
      <c r="O506">
        <v>5</v>
      </c>
      <c r="P506">
        <v>2</v>
      </c>
      <c r="Q506" t="s">
        <v>33</v>
      </c>
      <c r="R506" t="s">
        <v>34</v>
      </c>
      <c r="S506" s="3">
        <v>16</v>
      </c>
      <c r="T506" t="s">
        <v>43</v>
      </c>
      <c r="U506" t="s">
        <v>53</v>
      </c>
      <c r="V506" t="str">
        <f t="shared" si="28"/>
        <v>2026-05</v>
      </c>
      <c r="W506" t="str">
        <f t="shared" si="29"/>
        <v>0-3 days</v>
      </c>
      <c r="X506" t="str">
        <f t="shared" si="30"/>
        <v>Refund Issued</v>
      </c>
      <c r="Y506" t="str">
        <f t="shared" si="31"/>
        <v>High</v>
      </c>
    </row>
    <row r="507" spans="1:25" ht="27.6">
      <c r="A507" t="s">
        <v>1717</v>
      </c>
      <c r="B507" t="s">
        <v>1718</v>
      </c>
      <c r="C507" t="s">
        <v>1719</v>
      </c>
      <c r="D507" s="2">
        <v>46066</v>
      </c>
      <c r="E507" t="s">
        <v>94</v>
      </c>
      <c r="F507" t="s">
        <v>48</v>
      </c>
      <c r="G507" s="3">
        <v>68.849999999999994</v>
      </c>
      <c r="H507" t="s">
        <v>108</v>
      </c>
      <c r="I507" t="s">
        <v>50</v>
      </c>
      <c r="J507" s="4" t="s">
        <v>51</v>
      </c>
      <c r="K507" t="s">
        <v>29</v>
      </c>
      <c r="L507" t="s">
        <v>30</v>
      </c>
      <c r="M507" t="s">
        <v>31</v>
      </c>
      <c r="N507" t="s">
        <v>84</v>
      </c>
      <c r="O507">
        <v>10</v>
      </c>
      <c r="P507">
        <v>1</v>
      </c>
      <c r="Q507" t="s">
        <v>33</v>
      </c>
      <c r="R507" t="s">
        <v>34</v>
      </c>
      <c r="S507" s="3">
        <v>0</v>
      </c>
      <c r="T507" t="s">
        <v>52</v>
      </c>
      <c r="U507" t="s">
        <v>53</v>
      </c>
      <c r="V507" t="str">
        <f t="shared" si="28"/>
        <v>2026-02</v>
      </c>
      <c r="W507" t="str">
        <f t="shared" si="29"/>
        <v>0-3 days</v>
      </c>
      <c r="X507" t="str">
        <f t="shared" si="30"/>
        <v>No Refund</v>
      </c>
      <c r="Y507" t="str">
        <f t="shared" si="31"/>
        <v>Low</v>
      </c>
    </row>
    <row r="508" spans="1:25" ht="27.6">
      <c r="A508" t="s">
        <v>1720</v>
      </c>
      <c r="B508" t="s">
        <v>1721</v>
      </c>
      <c r="C508" t="s">
        <v>1722</v>
      </c>
      <c r="D508" s="2">
        <v>46061</v>
      </c>
      <c r="E508" t="s">
        <v>24</v>
      </c>
      <c r="F508" t="s">
        <v>25</v>
      </c>
      <c r="G508" s="3">
        <v>82.39</v>
      </c>
      <c r="H508" t="s">
        <v>26</v>
      </c>
      <c r="I508" t="s">
        <v>67</v>
      </c>
      <c r="J508" s="4" t="s">
        <v>42</v>
      </c>
      <c r="K508" t="s">
        <v>33</v>
      </c>
      <c r="L508" t="s">
        <v>30</v>
      </c>
      <c r="M508" t="s">
        <v>31</v>
      </c>
      <c r="N508" t="s">
        <v>32</v>
      </c>
      <c r="O508">
        <v>5</v>
      </c>
      <c r="P508">
        <v>12</v>
      </c>
      <c r="Q508" t="s">
        <v>29</v>
      </c>
      <c r="R508" t="s">
        <v>34</v>
      </c>
      <c r="S508" s="3">
        <v>0</v>
      </c>
      <c r="T508" t="s">
        <v>35</v>
      </c>
      <c r="U508" t="s">
        <v>63</v>
      </c>
      <c r="V508" t="str">
        <f t="shared" si="28"/>
        <v>2026-02</v>
      </c>
      <c r="W508" t="str">
        <f t="shared" si="29"/>
        <v>8-14 days</v>
      </c>
      <c r="X508" t="str">
        <f t="shared" si="30"/>
        <v>No Refund</v>
      </c>
      <c r="Y508" t="str">
        <f t="shared" si="31"/>
        <v>High</v>
      </c>
    </row>
    <row r="509" spans="1:25" ht="27.6">
      <c r="A509" t="s">
        <v>1723</v>
      </c>
      <c r="B509" t="s">
        <v>1724</v>
      </c>
      <c r="C509" t="s">
        <v>1725</v>
      </c>
      <c r="D509" s="2">
        <v>46141</v>
      </c>
      <c r="E509" t="s">
        <v>24</v>
      </c>
      <c r="F509" t="s">
        <v>103</v>
      </c>
      <c r="G509" s="3">
        <v>43.46</v>
      </c>
      <c r="H509" t="s">
        <v>108</v>
      </c>
      <c r="I509" t="s">
        <v>27</v>
      </c>
      <c r="J509" s="4" t="s">
        <v>104</v>
      </c>
      <c r="K509" t="s">
        <v>29</v>
      </c>
      <c r="L509" t="s">
        <v>30</v>
      </c>
      <c r="M509" t="s">
        <v>31</v>
      </c>
      <c r="N509" t="s">
        <v>32</v>
      </c>
      <c r="O509">
        <v>5</v>
      </c>
      <c r="P509">
        <v>7</v>
      </c>
      <c r="Q509" t="s">
        <v>29</v>
      </c>
      <c r="R509" t="s">
        <v>34</v>
      </c>
      <c r="S509" s="3">
        <v>0</v>
      </c>
      <c r="T509" t="s">
        <v>35</v>
      </c>
      <c r="U509" t="s">
        <v>63</v>
      </c>
      <c r="V509" t="str">
        <f t="shared" si="28"/>
        <v>2026-04</v>
      </c>
      <c r="W509" t="str">
        <f t="shared" si="29"/>
        <v>4-7 days</v>
      </c>
      <c r="X509" t="str">
        <f t="shared" si="30"/>
        <v>No Refund</v>
      </c>
      <c r="Y509" t="str">
        <f t="shared" si="31"/>
        <v>Medium</v>
      </c>
    </row>
    <row r="510" spans="1:25" ht="27.6">
      <c r="A510" t="s">
        <v>1726</v>
      </c>
      <c r="B510" t="s">
        <v>1727</v>
      </c>
      <c r="C510" t="s">
        <v>1728</v>
      </c>
      <c r="D510" s="2">
        <v>46078</v>
      </c>
      <c r="E510" t="s">
        <v>24</v>
      </c>
      <c r="F510" t="s">
        <v>73</v>
      </c>
      <c r="G510" s="3">
        <v>203.06</v>
      </c>
      <c r="H510" t="s">
        <v>41</v>
      </c>
      <c r="I510" t="s">
        <v>27</v>
      </c>
      <c r="J510" s="4" t="s">
        <v>389</v>
      </c>
      <c r="K510" t="s">
        <v>29</v>
      </c>
      <c r="L510" t="s">
        <v>60</v>
      </c>
      <c r="M510" t="s">
        <v>31</v>
      </c>
      <c r="N510" t="s">
        <v>32</v>
      </c>
      <c r="O510">
        <v>10</v>
      </c>
      <c r="P510">
        <v>9</v>
      </c>
      <c r="Q510" t="s">
        <v>33</v>
      </c>
      <c r="R510" t="s">
        <v>61</v>
      </c>
      <c r="S510" s="3">
        <v>203.06</v>
      </c>
      <c r="T510" t="s">
        <v>156</v>
      </c>
      <c r="U510" t="s">
        <v>63</v>
      </c>
      <c r="V510" t="str">
        <f t="shared" si="28"/>
        <v>2026-02</v>
      </c>
      <c r="W510" t="str">
        <f t="shared" si="29"/>
        <v>8-14 days</v>
      </c>
      <c r="X510" t="str">
        <f t="shared" si="30"/>
        <v>Refund Issued</v>
      </c>
      <c r="Y510" t="str">
        <f t="shared" si="31"/>
        <v>Low</v>
      </c>
    </row>
    <row r="511" spans="1:25" ht="27.6">
      <c r="A511" t="s">
        <v>1729</v>
      </c>
      <c r="B511" t="s">
        <v>1730</v>
      </c>
      <c r="C511" t="s">
        <v>1731</v>
      </c>
      <c r="D511" s="2">
        <v>46142</v>
      </c>
      <c r="E511" t="s">
        <v>47</v>
      </c>
      <c r="F511" t="s">
        <v>82</v>
      </c>
      <c r="G511" s="3">
        <v>40.25</v>
      </c>
      <c r="H511" t="s">
        <v>26</v>
      </c>
      <c r="I511" t="s">
        <v>27</v>
      </c>
      <c r="J511" s="4" t="s">
        <v>1732</v>
      </c>
      <c r="K511" t="s">
        <v>29</v>
      </c>
      <c r="L511" t="s">
        <v>30</v>
      </c>
      <c r="M511" t="s">
        <v>31</v>
      </c>
      <c r="N511" t="s">
        <v>32</v>
      </c>
      <c r="O511">
        <v>7</v>
      </c>
      <c r="P511">
        <v>9</v>
      </c>
      <c r="Q511" t="s">
        <v>29</v>
      </c>
      <c r="R511" t="s">
        <v>85</v>
      </c>
      <c r="S511" s="3">
        <v>0</v>
      </c>
      <c r="T511" t="s">
        <v>62</v>
      </c>
      <c r="U511" t="s">
        <v>63</v>
      </c>
      <c r="V511" t="str">
        <f t="shared" si="28"/>
        <v>2026-04</v>
      </c>
      <c r="W511" t="str">
        <f t="shared" si="29"/>
        <v>8-14 days</v>
      </c>
      <c r="X511" t="str">
        <f t="shared" si="30"/>
        <v>No Refund</v>
      </c>
      <c r="Y511" t="str">
        <f t="shared" si="31"/>
        <v>High</v>
      </c>
    </row>
    <row r="512" spans="1:25" ht="27.6">
      <c r="A512" t="s">
        <v>1733</v>
      </c>
      <c r="B512" t="s">
        <v>1734</v>
      </c>
      <c r="C512" t="s">
        <v>1735</v>
      </c>
      <c r="D512" s="2">
        <v>46162</v>
      </c>
      <c r="E512" t="s">
        <v>40</v>
      </c>
      <c r="F512" t="s">
        <v>57</v>
      </c>
      <c r="G512" s="3">
        <v>23.48</v>
      </c>
      <c r="H512" t="s">
        <v>41</v>
      </c>
      <c r="I512" t="s">
        <v>27</v>
      </c>
      <c r="J512" s="4" t="s">
        <v>155</v>
      </c>
      <c r="K512" t="s">
        <v>33</v>
      </c>
      <c r="L512" t="s">
        <v>60</v>
      </c>
      <c r="M512" t="s">
        <v>31</v>
      </c>
      <c r="N512" t="s">
        <v>32</v>
      </c>
      <c r="O512">
        <v>10</v>
      </c>
      <c r="P512">
        <v>15</v>
      </c>
      <c r="Q512" t="s">
        <v>29</v>
      </c>
      <c r="R512" t="s">
        <v>61</v>
      </c>
      <c r="S512" s="3">
        <v>23.48</v>
      </c>
      <c r="T512" t="s">
        <v>62</v>
      </c>
      <c r="U512" t="s">
        <v>63</v>
      </c>
      <c r="V512" t="str">
        <f t="shared" si="28"/>
        <v>2026-05</v>
      </c>
      <c r="W512" t="str">
        <f t="shared" si="29"/>
        <v>15+ days</v>
      </c>
      <c r="X512" t="str">
        <f t="shared" si="30"/>
        <v>Refund Issued</v>
      </c>
      <c r="Y512" t="str">
        <f t="shared" si="31"/>
        <v>Low</v>
      </c>
    </row>
    <row r="513" spans="1:25" ht="27.6">
      <c r="A513" t="s">
        <v>1736</v>
      </c>
      <c r="B513" t="s">
        <v>1737</v>
      </c>
      <c r="C513" t="s">
        <v>1738</v>
      </c>
      <c r="D513" s="2">
        <v>46099</v>
      </c>
      <c r="E513" t="s">
        <v>24</v>
      </c>
      <c r="F513" t="s">
        <v>82</v>
      </c>
      <c r="G513" s="3">
        <v>280.86</v>
      </c>
      <c r="H513" t="s">
        <v>26</v>
      </c>
      <c r="I513" t="s">
        <v>27</v>
      </c>
      <c r="J513" s="4" t="s">
        <v>114</v>
      </c>
      <c r="K513" t="s">
        <v>29</v>
      </c>
      <c r="L513" t="s">
        <v>30</v>
      </c>
      <c r="M513" t="s">
        <v>31</v>
      </c>
      <c r="N513" t="s">
        <v>84</v>
      </c>
      <c r="O513">
        <v>7</v>
      </c>
      <c r="P513">
        <v>4</v>
      </c>
      <c r="Q513" t="s">
        <v>33</v>
      </c>
      <c r="R513" t="s">
        <v>85</v>
      </c>
      <c r="S513" s="3">
        <v>0</v>
      </c>
      <c r="T513" t="s">
        <v>43</v>
      </c>
      <c r="U513" t="s">
        <v>53</v>
      </c>
      <c r="V513" t="str">
        <f t="shared" si="28"/>
        <v>2026-03</v>
      </c>
      <c r="W513" t="str">
        <f t="shared" si="29"/>
        <v>4-7 days</v>
      </c>
      <c r="X513" t="str">
        <f t="shared" si="30"/>
        <v>No Refund</v>
      </c>
      <c r="Y513" t="str">
        <f t="shared" si="31"/>
        <v>High</v>
      </c>
    </row>
    <row r="514" spans="1:25" ht="27.6">
      <c r="A514" t="s">
        <v>1739</v>
      </c>
      <c r="B514" t="s">
        <v>1740</v>
      </c>
      <c r="C514" t="s">
        <v>1741</v>
      </c>
      <c r="D514" s="2">
        <v>46155</v>
      </c>
      <c r="E514" t="s">
        <v>47</v>
      </c>
      <c r="F514" t="s">
        <v>172</v>
      </c>
      <c r="G514" s="3">
        <v>31.64</v>
      </c>
      <c r="H514" t="s">
        <v>41</v>
      </c>
      <c r="I514" t="s">
        <v>67</v>
      </c>
      <c r="J514" s="4" t="s">
        <v>285</v>
      </c>
      <c r="K514" t="s">
        <v>29</v>
      </c>
      <c r="L514" t="s">
        <v>30</v>
      </c>
      <c r="M514" t="s">
        <v>31</v>
      </c>
      <c r="N514" t="s">
        <v>32</v>
      </c>
      <c r="O514">
        <v>7</v>
      </c>
      <c r="P514">
        <v>1</v>
      </c>
      <c r="Q514" t="s">
        <v>33</v>
      </c>
      <c r="R514" t="s">
        <v>174</v>
      </c>
      <c r="S514" s="3">
        <v>31.64</v>
      </c>
      <c r="T514" t="s">
        <v>69</v>
      </c>
      <c r="U514" t="s">
        <v>53</v>
      </c>
      <c r="V514" t="str">
        <f t="shared" ref="V514:V577" si="32">TEXT(D514,"yyyy-mm")</f>
        <v>2026-05</v>
      </c>
      <c r="W514" t="str">
        <f t="shared" ref="W514:W577" si="33">IF(P514&lt;=3,"0-3 days",IF(P514&lt;=7,"4-7 days",IF(P514&lt;=14,"8-14 days","15+ days")))</f>
        <v>0-3 days</v>
      </c>
      <c r="X514" t="str">
        <f t="shared" ref="X514:X577" si="34">IF(S514&gt;0,"Refund Issued","No Refund")</f>
        <v>Refund Issued</v>
      </c>
      <c r="Y514" t="str">
        <f t="shared" ref="Y514:Y577" si="35">IF(OR(F514="Failed Payment",F514="Duplicate Debit",F514="Refund Delay"),"High",IF(OR(F514="Merchant Not Credited",F514="Wrong Amount Debited"),"Medium","Low"))</f>
        <v>Medium</v>
      </c>
    </row>
    <row r="515" spans="1:25" ht="27.6">
      <c r="A515" t="s">
        <v>1742</v>
      </c>
      <c r="B515" t="s">
        <v>1743</v>
      </c>
      <c r="C515" t="s">
        <v>1744</v>
      </c>
      <c r="D515" s="2">
        <v>46055</v>
      </c>
      <c r="E515" t="s">
        <v>24</v>
      </c>
      <c r="F515" t="s">
        <v>103</v>
      </c>
      <c r="G515" s="3">
        <v>40.409999999999997</v>
      </c>
      <c r="H515" t="s">
        <v>41</v>
      </c>
      <c r="I515" t="s">
        <v>27</v>
      </c>
      <c r="J515" s="4" t="s">
        <v>104</v>
      </c>
      <c r="K515" t="s">
        <v>29</v>
      </c>
      <c r="L515" t="s">
        <v>30</v>
      </c>
      <c r="M515" t="s">
        <v>31</v>
      </c>
      <c r="N515" t="s">
        <v>32</v>
      </c>
      <c r="O515">
        <v>5</v>
      </c>
      <c r="P515">
        <v>9</v>
      </c>
      <c r="Q515" t="s">
        <v>29</v>
      </c>
      <c r="R515" t="s">
        <v>34</v>
      </c>
      <c r="S515" s="3">
        <v>0</v>
      </c>
      <c r="T515" t="s">
        <v>247</v>
      </c>
      <c r="U515" t="s">
        <v>63</v>
      </c>
      <c r="V515" t="str">
        <f t="shared" si="32"/>
        <v>2026-02</v>
      </c>
      <c r="W515" t="str">
        <f t="shared" si="33"/>
        <v>8-14 days</v>
      </c>
      <c r="X515" t="str">
        <f t="shared" si="34"/>
        <v>No Refund</v>
      </c>
      <c r="Y515" t="str">
        <f t="shared" si="35"/>
        <v>Medium</v>
      </c>
    </row>
    <row r="516" spans="1:25" ht="27.6">
      <c r="A516" t="s">
        <v>1745</v>
      </c>
      <c r="B516" t="s">
        <v>1746</v>
      </c>
      <c r="C516" t="s">
        <v>1747</v>
      </c>
      <c r="D516" s="2">
        <v>46028</v>
      </c>
      <c r="E516" t="s">
        <v>47</v>
      </c>
      <c r="F516" t="s">
        <v>25</v>
      </c>
      <c r="G516" s="3">
        <v>48.27</v>
      </c>
      <c r="H516" t="s">
        <v>108</v>
      </c>
      <c r="I516" t="s">
        <v>27</v>
      </c>
      <c r="J516" s="4" t="s">
        <v>1748</v>
      </c>
      <c r="K516" t="s">
        <v>29</v>
      </c>
      <c r="L516" t="s">
        <v>30</v>
      </c>
      <c r="M516" t="s">
        <v>31</v>
      </c>
      <c r="N516" t="s">
        <v>32</v>
      </c>
      <c r="O516">
        <v>5</v>
      </c>
      <c r="P516">
        <v>3</v>
      </c>
      <c r="Q516" t="s">
        <v>33</v>
      </c>
      <c r="R516" t="s">
        <v>34</v>
      </c>
      <c r="S516" s="3">
        <v>0</v>
      </c>
      <c r="T516" t="s">
        <v>35</v>
      </c>
      <c r="U516" t="s">
        <v>36</v>
      </c>
      <c r="V516" t="str">
        <f t="shared" si="32"/>
        <v>2026-01</v>
      </c>
      <c r="W516" t="str">
        <f t="shared" si="33"/>
        <v>0-3 days</v>
      </c>
      <c r="X516" t="str">
        <f t="shared" si="34"/>
        <v>No Refund</v>
      </c>
      <c r="Y516" t="str">
        <f t="shared" si="35"/>
        <v>High</v>
      </c>
    </row>
    <row r="517" spans="1:25" ht="27.6">
      <c r="A517" t="s">
        <v>1749</v>
      </c>
      <c r="B517" t="s">
        <v>1750</v>
      </c>
      <c r="C517" t="s">
        <v>1751</v>
      </c>
      <c r="D517" s="2">
        <v>46164</v>
      </c>
      <c r="E517" t="s">
        <v>24</v>
      </c>
      <c r="F517" t="s">
        <v>57</v>
      </c>
      <c r="G517" s="3">
        <v>47.22</v>
      </c>
      <c r="H517" t="s">
        <v>74</v>
      </c>
      <c r="I517" t="s">
        <v>27</v>
      </c>
      <c r="J517" s="4" t="s">
        <v>59</v>
      </c>
      <c r="K517" t="s">
        <v>33</v>
      </c>
      <c r="L517" t="s">
        <v>60</v>
      </c>
      <c r="M517" t="s">
        <v>31</v>
      </c>
      <c r="N517" t="s">
        <v>32</v>
      </c>
      <c r="O517">
        <v>10</v>
      </c>
      <c r="P517">
        <v>16</v>
      </c>
      <c r="Q517" t="s">
        <v>29</v>
      </c>
      <c r="R517" t="s">
        <v>61</v>
      </c>
      <c r="S517" s="3">
        <v>47.22</v>
      </c>
      <c r="T517" t="s">
        <v>52</v>
      </c>
      <c r="U517" t="s">
        <v>63</v>
      </c>
      <c r="V517" t="str">
        <f t="shared" si="32"/>
        <v>2026-05</v>
      </c>
      <c r="W517" t="str">
        <f t="shared" si="33"/>
        <v>15+ days</v>
      </c>
      <c r="X517" t="str">
        <f t="shared" si="34"/>
        <v>Refund Issued</v>
      </c>
      <c r="Y517" t="str">
        <f t="shared" si="35"/>
        <v>Low</v>
      </c>
    </row>
    <row r="518" spans="1:25" ht="27.6">
      <c r="A518" t="s">
        <v>1752</v>
      </c>
      <c r="B518" t="s">
        <v>1753</v>
      </c>
      <c r="C518" t="s">
        <v>1754</v>
      </c>
      <c r="D518" s="2">
        <v>46117</v>
      </c>
      <c r="E518" t="s">
        <v>47</v>
      </c>
      <c r="F518" t="s">
        <v>25</v>
      </c>
      <c r="G518" s="3">
        <v>98.53</v>
      </c>
      <c r="H518" t="s">
        <v>74</v>
      </c>
      <c r="I518" t="s">
        <v>67</v>
      </c>
      <c r="J518" s="4" t="s">
        <v>1755</v>
      </c>
      <c r="K518" t="s">
        <v>29</v>
      </c>
      <c r="L518" t="s">
        <v>30</v>
      </c>
      <c r="M518" t="s">
        <v>31</v>
      </c>
      <c r="N518" t="s">
        <v>84</v>
      </c>
      <c r="O518">
        <v>5</v>
      </c>
      <c r="P518">
        <v>4</v>
      </c>
      <c r="Q518" t="s">
        <v>33</v>
      </c>
      <c r="R518" t="s">
        <v>34</v>
      </c>
      <c r="S518" s="3">
        <v>0</v>
      </c>
      <c r="T518" t="s">
        <v>43</v>
      </c>
      <c r="U518" t="s">
        <v>53</v>
      </c>
      <c r="V518" t="str">
        <f t="shared" si="32"/>
        <v>2026-04</v>
      </c>
      <c r="W518" t="str">
        <f t="shared" si="33"/>
        <v>4-7 days</v>
      </c>
      <c r="X518" t="str">
        <f t="shared" si="34"/>
        <v>No Refund</v>
      </c>
      <c r="Y518" t="str">
        <f t="shared" si="35"/>
        <v>High</v>
      </c>
    </row>
    <row r="519" spans="1:25" ht="27.6">
      <c r="A519" t="s">
        <v>1756</v>
      </c>
      <c r="B519" t="s">
        <v>1757</v>
      </c>
      <c r="C519" t="s">
        <v>1758</v>
      </c>
      <c r="D519" s="2">
        <v>46144</v>
      </c>
      <c r="E519" t="s">
        <v>24</v>
      </c>
      <c r="F519" t="s">
        <v>172</v>
      </c>
      <c r="G519" s="3">
        <v>28.59</v>
      </c>
      <c r="H519" t="s">
        <v>58</v>
      </c>
      <c r="I519" t="s">
        <v>50</v>
      </c>
      <c r="J519" s="4" t="s">
        <v>173</v>
      </c>
      <c r="K519" t="s">
        <v>29</v>
      </c>
      <c r="L519" t="s">
        <v>30</v>
      </c>
      <c r="M519" t="s">
        <v>31</v>
      </c>
      <c r="N519" t="s">
        <v>90</v>
      </c>
      <c r="O519">
        <v>7</v>
      </c>
      <c r="P519">
        <v>8</v>
      </c>
      <c r="Q519" t="s">
        <v>29</v>
      </c>
      <c r="R519" t="s">
        <v>174</v>
      </c>
      <c r="S519" s="3">
        <v>0</v>
      </c>
      <c r="T519" t="s">
        <v>69</v>
      </c>
      <c r="U519" t="s">
        <v>63</v>
      </c>
      <c r="V519" t="str">
        <f t="shared" si="32"/>
        <v>2026-05</v>
      </c>
      <c r="W519" t="str">
        <f t="shared" si="33"/>
        <v>8-14 days</v>
      </c>
      <c r="X519" t="str">
        <f t="shared" si="34"/>
        <v>No Refund</v>
      </c>
      <c r="Y519" t="str">
        <f t="shared" si="35"/>
        <v>Medium</v>
      </c>
    </row>
    <row r="520" spans="1:25" ht="27.6">
      <c r="A520" t="s">
        <v>1759</v>
      </c>
      <c r="B520" t="s">
        <v>1760</v>
      </c>
      <c r="C520" t="s">
        <v>1761</v>
      </c>
      <c r="D520" s="2">
        <v>46086</v>
      </c>
      <c r="E520" t="s">
        <v>47</v>
      </c>
      <c r="F520" t="s">
        <v>73</v>
      </c>
      <c r="G520" s="3">
        <v>112.67</v>
      </c>
      <c r="H520" t="s">
        <v>89</v>
      </c>
      <c r="I520" t="s">
        <v>27</v>
      </c>
      <c r="J520" s="4" t="s">
        <v>389</v>
      </c>
      <c r="K520" t="s">
        <v>29</v>
      </c>
      <c r="L520" t="s">
        <v>60</v>
      </c>
      <c r="M520" t="s">
        <v>31</v>
      </c>
      <c r="N520" t="s">
        <v>32</v>
      </c>
      <c r="O520">
        <v>10</v>
      </c>
      <c r="P520">
        <v>13</v>
      </c>
      <c r="Q520" t="s">
        <v>29</v>
      </c>
      <c r="R520" t="s">
        <v>61</v>
      </c>
      <c r="S520" s="3">
        <v>56.34</v>
      </c>
      <c r="T520" t="s">
        <v>62</v>
      </c>
      <c r="U520" t="s">
        <v>63</v>
      </c>
      <c r="V520" t="str">
        <f t="shared" si="32"/>
        <v>2026-03</v>
      </c>
      <c r="W520" t="str">
        <f t="shared" si="33"/>
        <v>8-14 days</v>
      </c>
      <c r="X520" t="str">
        <f t="shared" si="34"/>
        <v>Refund Issued</v>
      </c>
      <c r="Y520" t="str">
        <f t="shared" si="35"/>
        <v>Low</v>
      </c>
    </row>
    <row r="521" spans="1:25" ht="27.6">
      <c r="A521" t="s">
        <v>1762</v>
      </c>
      <c r="B521" t="s">
        <v>1763</v>
      </c>
      <c r="C521" t="s">
        <v>1764</v>
      </c>
      <c r="D521" s="2">
        <v>46133</v>
      </c>
      <c r="E521" t="s">
        <v>47</v>
      </c>
      <c r="F521" t="s">
        <v>73</v>
      </c>
      <c r="G521" s="3">
        <v>13.87</v>
      </c>
      <c r="H521" t="s">
        <v>108</v>
      </c>
      <c r="I521" t="s">
        <v>50</v>
      </c>
      <c r="J521" s="4" t="s">
        <v>75</v>
      </c>
      <c r="K521" t="s">
        <v>29</v>
      </c>
      <c r="L521" t="s">
        <v>60</v>
      </c>
      <c r="M521" t="s">
        <v>31</v>
      </c>
      <c r="N521" t="s">
        <v>32</v>
      </c>
      <c r="O521">
        <v>10</v>
      </c>
      <c r="P521">
        <v>8</v>
      </c>
      <c r="Q521" t="s">
        <v>33</v>
      </c>
      <c r="R521" t="s">
        <v>61</v>
      </c>
      <c r="S521" s="3">
        <v>6.93</v>
      </c>
      <c r="T521" t="s">
        <v>156</v>
      </c>
      <c r="U521" t="s">
        <v>63</v>
      </c>
      <c r="V521" t="str">
        <f t="shared" si="32"/>
        <v>2026-04</v>
      </c>
      <c r="W521" t="str">
        <f t="shared" si="33"/>
        <v>8-14 days</v>
      </c>
      <c r="X521" t="str">
        <f t="shared" si="34"/>
        <v>Refund Issued</v>
      </c>
      <c r="Y521" t="str">
        <f t="shared" si="35"/>
        <v>Low</v>
      </c>
    </row>
    <row r="522" spans="1:25" ht="27.6">
      <c r="A522" t="s">
        <v>1765</v>
      </c>
      <c r="B522" t="s">
        <v>1766</v>
      </c>
      <c r="C522" t="s">
        <v>1767</v>
      </c>
      <c r="D522" s="2">
        <v>46164</v>
      </c>
      <c r="E522" t="s">
        <v>24</v>
      </c>
      <c r="F522" t="s">
        <v>82</v>
      </c>
      <c r="G522" s="3">
        <v>85.75</v>
      </c>
      <c r="H522" t="s">
        <v>49</v>
      </c>
      <c r="I522" t="s">
        <v>27</v>
      </c>
      <c r="J522" s="4" t="s">
        <v>1768</v>
      </c>
      <c r="K522" t="s">
        <v>29</v>
      </c>
      <c r="L522" t="s">
        <v>30</v>
      </c>
      <c r="M522" t="s">
        <v>31</v>
      </c>
      <c r="N522" t="s">
        <v>32</v>
      </c>
      <c r="O522">
        <v>7</v>
      </c>
      <c r="P522">
        <v>6</v>
      </c>
      <c r="Q522" t="s">
        <v>33</v>
      </c>
      <c r="R522" t="s">
        <v>85</v>
      </c>
      <c r="S522" s="3">
        <v>0</v>
      </c>
      <c r="T522" t="s">
        <v>69</v>
      </c>
      <c r="U522" t="s">
        <v>36</v>
      </c>
      <c r="V522" t="str">
        <f t="shared" si="32"/>
        <v>2026-05</v>
      </c>
      <c r="W522" t="str">
        <f t="shared" si="33"/>
        <v>4-7 days</v>
      </c>
      <c r="X522" t="str">
        <f t="shared" si="34"/>
        <v>No Refund</v>
      </c>
      <c r="Y522" t="str">
        <f t="shared" si="35"/>
        <v>High</v>
      </c>
    </row>
    <row r="523" spans="1:25" ht="27.6">
      <c r="A523" t="s">
        <v>1769</v>
      </c>
      <c r="B523" t="s">
        <v>1770</v>
      </c>
      <c r="C523" t="s">
        <v>1771</v>
      </c>
      <c r="D523" s="2">
        <v>46125</v>
      </c>
      <c r="E523" t="s">
        <v>94</v>
      </c>
      <c r="F523" t="s">
        <v>82</v>
      </c>
      <c r="G523" s="3">
        <v>99.88</v>
      </c>
      <c r="H523" t="s">
        <v>58</v>
      </c>
      <c r="I523" t="s">
        <v>27</v>
      </c>
      <c r="J523" s="4" t="s">
        <v>1772</v>
      </c>
      <c r="K523" t="s">
        <v>29</v>
      </c>
      <c r="L523" t="s">
        <v>30</v>
      </c>
      <c r="M523" t="s">
        <v>31</v>
      </c>
      <c r="N523" t="s">
        <v>32</v>
      </c>
      <c r="O523">
        <v>7</v>
      </c>
      <c r="P523">
        <v>6</v>
      </c>
      <c r="Q523" t="s">
        <v>33</v>
      </c>
      <c r="R523" t="s">
        <v>85</v>
      </c>
      <c r="S523" s="3">
        <v>74.91</v>
      </c>
      <c r="T523" t="s">
        <v>43</v>
      </c>
      <c r="U523" t="s">
        <v>53</v>
      </c>
      <c r="V523" t="str">
        <f t="shared" si="32"/>
        <v>2026-04</v>
      </c>
      <c r="W523" t="str">
        <f t="shared" si="33"/>
        <v>4-7 days</v>
      </c>
      <c r="X523" t="str">
        <f t="shared" si="34"/>
        <v>Refund Issued</v>
      </c>
      <c r="Y523" t="str">
        <f t="shared" si="35"/>
        <v>High</v>
      </c>
    </row>
    <row r="524" spans="1:25" ht="27.6">
      <c r="A524" t="s">
        <v>1773</v>
      </c>
      <c r="B524" t="s">
        <v>1774</v>
      </c>
      <c r="C524" t="s">
        <v>1775</v>
      </c>
      <c r="D524" s="2">
        <v>46064</v>
      </c>
      <c r="E524" t="s">
        <v>24</v>
      </c>
      <c r="F524" t="s">
        <v>25</v>
      </c>
      <c r="G524" s="3">
        <v>17.72</v>
      </c>
      <c r="H524" t="s">
        <v>89</v>
      </c>
      <c r="I524" t="s">
        <v>50</v>
      </c>
      <c r="J524" s="4" t="s">
        <v>42</v>
      </c>
      <c r="K524" t="s">
        <v>29</v>
      </c>
      <c r="L524" t="s">
        <v>30</v>
      </c>
      <c r="M524" t="s">
        <v>96</v>
      </c>
      <c r="N524" t="s">
        <v>32</v>
      </c>
      <c r="O524">
        <v>5</v>
      </c>
      <c r="P524">
        <v>6</v>
      </c>
      <c r="Q524" t="s">
        <v>29</v>
      </c>
      <c r="R524" t="s">
        <v>34</v>
      </c>
      <c r="S524" s="3">
        <v>17.72</v>
      </c>
      <c r="T524" t="s">
        <v>35</v>
      </c>
      <c r="U524" t="s">
        <v>63</v>
      </c>
      <c r="V524" t="str">
        <f t="shared" si="32"/>
        <v>2026-02</v>
      </c>
      <c r="W524" t="str">
        <f t="shared" si="33"/>
        <v>4-7 days</v>
      </c>
      <c r="X524" t="str">
        <f t="shared" si="34"/>
        <v>Refund Issued</v>
      </c>
      <c r="Y524" t="str">
        <f t="shared" si="35"/>
        <v>High</v>
      </c>
    </row>
    <row r="525" spans="1:25" ht="27.6">
      <c r="A525" t="s">
        <v>1776</v>
      </c>
      <c r="B525" t="s">
        <v>1777</v>
      </c>
      <c r="C525" t="s">
        <v>1778</v>
      </c>
      <c r="D525" s="2">
        <v>46031</v>
      </c>
      <c r="E525" t="s">
        <v>94</v>
      </c>
      <c r="F525" t="s">
        <v>172</v>
      </c>
      <c r="G525" s="3">
        <v>37.01</v>
      </c>
      <c r="H525" t="s">
        <v>58</v>
      </c>
      <c r="I525" t="s">
        <v>67</v>
      </c>
      <c r="J525" s="4" t="s">
        <v>285</v>
      </c>
      <c r="K525" t="s">
        <v>29</v>
      </c>
      <c r="L525" t="s">
        <v>30</v>
      </c>
      <c r="M525" t="s">
        <v>31</v>
      </c>
      <c r="N525" t="s">
        <v>32</v>
      </c>
      <c r="O525">
        <v>7</v>
      </c>
      <c r="P525">
        <v>3</v>
      </c>
      <c r="Q525" t="s">
        <v>33</v>
      </c>
      <c r="R525" t="s">
        <v>174</v>
      </c>
      <c r="S525" s="3">
        <v>37.01</v>
      </c>
      <c r="T525" t="s">
        <v>110</v>
      </c>
      <c r="U525" t="s">
        <v>36</v>
      </c>
      <c r="V525" t="str">
        <f t="shared" si="32"/>
        <v>2026-01</v>
      </c>
      <c r="W525" t="str">
        <f t="shared" si="33"/>
        <v>0-3 days</v>
      </c>
      <c r="X525" t="str">
        <f t="shared" si="34"/>
        <v>Refund Issued</v>
      </c>
      <c r="Y525" t="str">
        <f t="shared" si="35"/>
        <v>Medium</v>
      </c>
    </row>
    <row r="526" spans="1:25" ht="27.6">
      <c r="A526" t="s">
        <v>1779</v>
      </c>
      <c r="B526" t="s">
        <v>1780</v>
      </c>
      <c r="C526" t="s">
        <v>1781</v>
      </c>
      <c r="D526" s="2">
        <v>46024</v>
      </c>
      <c r="E526" t="s">
        <v>24</v>
      </c>
      <c r="F526" t="s">
        <v>82</v>
      </c>
      <c r="G526" s="3">
        <v>22.65</v>
      </c>
      <c r="H526" t="s">
        <v>74</v>
      </c>
      <c r="I526" t="s">
        <v>27</v>
      </c>
      <c r="J526" s="4" t="s">
        <v>114</v>
      </c>
      <c r="K526" t="s">
        <v>29</v>
      </c>
      <c r="L526" t="s">
        <v>30</v>
      </c>
      <c r="M526" t="s">
        <v>31</v>
      </c>
      <c r="N526" t="s">
        <v>32</v>
      </c>
      <c r="O526">
        <v>7</v>
      </c>
      <c r="P526">
        <v>8</v>
      </c>
      <c r="Q526" t="s">
        <v>29</v>
      </c>
      <c r="R526" t="s">
        <v>85</v>
      </c>
      <c r="S526" s="3">
        <v>0</v>
      </c>
      <c r="T526" t="s">
        <v>43</v>
      </c>
      <c r="U526" t="s">
        <v>63</v>
      </c>
      <c r="V526" t="str">
        <f t="shared" si="32"/>
        <v>2026-01</v>
      </c>
      <c r="W526" t="str">
        <f t="shared" si="33"/>
        <v>8-14 days</v>
      </c>
      <c r="X526" t="str">
        <f t="shared" si="34"/>
        <v>No Refund</v>
      </c>
      <c r="Y526" t="str">
        <f t="shared" si="35"/>
        <v>High</v>
      </c>
    </row>
    <row r="527" spans="1:25" ht="27.6">
      <c r="A527" t="s">
        <v>1782</v>
      </c>
      <c r="B527" t="s">
        <v>1783</v>
      </c>
      <c r="C527" t="s">
        <v>1784</v>
      </c>
      <c r="D527" s="2">
        <v>46065</v>
      </c>
      <c r="E527" t="s">
        <v>40</v>
      </c>
      <c r="F527" t="s">
        <v>25</v>
      </c>
      <c r="G527" s="3">
        <v>44.65</v>
      </c>
      <c r="H527" t="s">
        <v>41</v>
      </c>
      <c r="I527" t="s">
        <v>50</v>
      </c>
      <c r="J527" s="4" t="s">
        <v>1785</v>
      </c>
      <c r="K527" t="s">
        <v>29</v>
      </c>
      <c r="L527" t="s">
        <v>30</v>
      </c>
      <c r="M527" t="s">
        <v>96</v>
      </c>
      <c r="N527" t="s">
        <v>90</v>
      </c>
      <c r="O527">
        <v>5</v>
      </c>
      <c r="P527">
        <v>5</v>
      </c>
      <c r="Q527" t="s">
        <v>33</v>
      </c>
      <c r="R527" t="s">
        <v>34</v>
      </c>
      <c r="S527" s="3">
        <v>0</v>
      </c>
      <c r="T527" t="s">
        <v>110</v>
      </c>
      <c r="U527" t="s">
        <v>36</v>
      </c>
      <c r="V527" t="str">
        <f t="shared" si="32"/>
        <v>2026-02</v>
      </c>
      <c r="W527" t="str">
        <f t="shared" si="33"/>
        <v>4-7 days</v>
      </c>
      <c r="X527" t="str">
        <f t="shared" si="34"/>
        <v>No Refund</v>
      </c>
      <c r="Y527" t="str">
        <f t="shared" si="35"/>
        <v>High</v>
      </c>
    </row>
    <row r="528" spans="1:25" ht="27.6">
      <c r="A528" t="s">
        <v>1786</v>
      </c>
      <c r="B528" t="s">
        <v>1787</v>
      </c>
      <c r="C528" t="s">
        <v>1788</v>
      </c>
      <c r="D528" s="2">
        <v>46050</v>
      </c>
      <c r="E528" t="s">
        <v>24</v>
      </c>
      <c r="F528" t="s">
        <v>25</v>
      </c>
      <c r="G528" s="3">
        <v>32.83</v>
      </c>
      <c r="H528" t="s">
        <v>108</v>
      </c>
      <c r="I528" t="s">
        <v>27</v>
      </c>
      <c r="J528" s="4" t="s">
        <v>42</v>
      </c>
      <c r="K528" t="s">
        <v>29</v>
      </c>
      <c r="L528" t="s">
        <v>30</v>
      </c>
      <c r="M528" t="s">
        <v>31</v>
      </c>
      <c r="N528" t="s">
        <v>32</v>
      </c>
      <c r="O528">
        <v>5</v>
      </c>
      <c r="P528">
        <v>7</v>
      </c>
      <c r="Q528" t="s">
        <v>29</v>
      </c>
      <c r="R528" t="s">
        <v>34</v>
      </c>
      <c r="S528" s="3">
        <v>16.41</v>
      </c>
      <c r="T528" t="s">
        <v>35</v>
      </c>
      <c r="U528" t="s">
        <v>63</v>
      </c>
      <c r="V528" t="str">
        <f t="shared" si="32"/>
        <v>2026-01</v>
      </c>
      <c r="W528" t="str">
        <f t="shared" si="33"/>
        <v>4-7 days</v>
      </c>
      <c r="X528" t="str">
        <f t="shared" si="34"/>
        <v>Refund Issued</v>
      </c>
      <c r="Y528" t="str">
        <f t="shared" si="35"/>
        <v>High</v>
      </c>
    </row>
    <row r="529" spans="1:25" ht="27.6">
      <c r="A529" t="s">
        <v>1789</v>
      </c>
      <c r="B529" t="s">
        <v>1790</v>
      </c>
      <c r="C529" t="s">
        <v>1791</v>
      </c>
      <c r="D529" s="2">
        <v>46150</v>
      </c>
      <c r="E529" t="s">
        <v>94</v>
      </c>
      <c r="F529" t="s">
        <v>25</v>
      </c>
      <c r="G529" s="3">
        <v>74.95</v>
      </c>
      <c r="H529" t="s">
        <v>26</v>
      </c>
      <c r="I529" t="s">
        <v>50</v>
      </c>
      <c r="J529" s="4" t="s">
        <v>42</v>
      </c>
      <c r="K529" t="s">
        <v>33</v>
      </c>
      <c r="L529" t="s">
        <v>30</v>
      </c>
      <c r="M529" t="s">
        <v>31</v>
      </c>
      <c r="N529" t="s">
        <v>32</v>
      </c>
      <c r="O529">
        <v>5</v>
      </c>
      <c r="P529">
        <v>5</v>
      </c>
      <c r="Q529" t="s">
        <v>33</v>
      </c>
      <c r="R529" t="s">
        <v>34</v>
      </c>
      <c r="S529" s="3">
        <v>0</v>
      </c>
      <c r="T529" t="s">
        <v>35</v>
      </c>
      <c r="U529" t="s">
        <v>53</v>
      </c>
      <c r="V529" t="str">
        <f t="shared" si="32"/>
        <v>2026-05</v>
      </c>
      <c r="W529" t="str">
        <f t="shared" si="33"/>
        <v>4-7 days</v>
      </c>
      <c r="X529" t="str">
        <f t="shared" si="34"/>
        <v>No Refund</v>
      </c>
      <c r="Y529" t="str">
        <f t="shared" si="35"/>
        <v>High</v>
      </c>
    </row>
    <row r="530" spans="1:25" ht="27.6">
      <c r="A530" t="s">
        <v>1792</v>
      </c>
      <c r="B530" t="s">
        <v>1793</v>
      </c>
      <c r="C530" t="s">
        <v>1794</v>
      </c>
      <c r="D530" s="2">
        <v>46104</v>
      </c>
      <c r="E530" t="s">
        <v>94</v>
      </c>
      <c r="F530" t="s">
        <v>172</v>
      </c>
      <c r="G530" s="3">
        <v>120.35</v>
      </c>
      <c r="H530" t="s">
        <v>89</v>
      </c>
      <c r="I530" t="s">
        <v>50</v>
      </c>
      <c r="J530" s="4" t="s">
        <v>285</v>
      </c>
      <c r="K530" t="s">
        <v>29</v>
      </c>
      <c r="L530" t="s">
        <v>30</v>
      </c>
      <c r="M530" t="s">
        <v>31</v>
      </c>
      <c r="N530" t="s">
        <v>32</v>
      </c>
      <c r="O530">
        <v>7</v>
      </c>
      <c r="P530">
        <v>7</v>
      </c>
      <c r="Q530" t="s">
        <v>33</v>
      </c>
      <c r="R530" t="s">
        <v>174</v>
      </c>
      <c r="S530" s="3">
        <v>0</v>
      </c>
      <c r="T530" t="s">
        <v>110</v>
      </c>
      <c r="U530" t="s">
        <v>53</v>
      </c>
      <c r="V530" t="str">
        <f t="shared" si="32"/>
        <v>2026-03</v>
      </c>
      <c r="W530" t="str">
        <f t="shared" si="33"/>
        <v>4-7 days</v>
      </c>
      <c r="X530" t="str">
        <f t="shared" si="34"/>
        <v>No Refund</v>
      </c>
      <c r="Y530" t="str">
        <f t="shared" si="35"/>
        <v>Medium</v>
      </c>
    </row>
    <row r="531" spans="1:25" ht="27.6">
      <c r="A531" t="s">
        <v>1795</v>
      </c>
      <c r="B531" t="s">
        <v>1796</v>
      </c>
      <c r="C531" t="s">
        <v>1797</v>
      </c>
      <c r="D531" s="2">
        <v>46132</v>
      </c>
      <c r="E531" t="s">
        <v>40</v>
      </c>
      <c r="F531" t="s">
        <v>172</v>
      </c>
      <c r="G531" s="3">
        <v>14.5</v>
      </c>
      <c r="H531" t="s">
        <v>41</v>
      </c>
      <c r="I531" t="s">
        <v>27</v>
      </c>
      <c r="J531" s="4" t="s">
        <v>285</v>
      </c>
      <c r="K531" t="s">
        <v>29</v>
      </c>
      <c r="L531" t="s">
        <v>30</v>
      </c>
      <c r="M531" t="s">
        <v>31</v>
      </c>
      <c r="N531" t="s">
        <v>32</v>
      </c>
      <c r="O531">
        <v>7</v>
      </c>
      <c r="P531">
        <v>7</v>
      </c>
      <c r="Q531" t="s">
        <v>33</v>
      </c>
      <c r="R531" t="s">
        <v>174</v>
      </c>
      <c r="S531" s="3">
        <v>0</v>
      </c>
      <c r="T531" t="s">
        <v>110</v>
      </c>
      <c r="U531" t="s">
        <v>36</v>
      </c>
      <c r="V531" t="str">
        <f t="shared" si="32"/>
        <v>2026-04</v>
      </c>
      <c r="W531" t="str">
        <f t="shared" si="33"/>
        <v>4-7 days</v>
      </c>
      <c r="X531" t="str">
        <f t="shared" si="34"/>
        <v>No Refund</v>
      </c>
      <c r="Y531" t="str">
        <f t="shared" si="35"/>
        <v>Medium</v>
      </c>
    </row>
    <row r="532" spans="1:25" ht="27.6">
      <c r="A532" t="s">
        <v>1798</v>
      </c>
      <c r="B532" t="s">
        <v>1799</v>
      </c>
      <c r="C532" t="s">
        <v>1800</v>
      </c>
      <c r="D532" s="2">
        <v>46104</v>
      </c>
      <c r="E532" t="s">
        <v>40</v>
      </c>
      <c r="F532" t="s">
        <v>57</v>
      </c>
      <c r="G532" s="3">
        <v>157.09</v>
      </c>
      <c r="H532" t="s">
        <v>58</v>
      </c>
      <c r="I532" t="s">
        <v>67</v>
      </c>
      <c r="J532" s="4" t="s">
        <v>59</v>
      </c>
      <c r="K532" t="s">
        <v>33</v>
      </c>
      <c r="L532" t="s">
        <v>60</v>
      </c>
      <c r="M532" t="s">
        <v>31</v>
      </c>
      <c r="N532" t="s">
        <v>32</v>
      </c>
      <c r="O532">
        <v>10</v>
      </c>
      <c r="P532">
        <v>15</v>
      </c>
      <c r="Q532" t="s">
        <v>29</v>
      </c>
      <c r="R532" t="s">
        <v>61</v>
      </c>
      <c r="S532" s="3">
        <v>157.09</v>
      </c>
      <c r="T532" t="s">
        <v>156</v>
      </c>
      <c r="U532" t="s">
        <v>63</v>
      </c>
      <c r="V532" t="str">
        <f t="shared" si="32"/>
        <v>2026-03</v>
      </c>
      <c r="W532" t="str">
        <f t="shared" si="33"/>
        <v>15+ days</v>
      </c>
      <c r="X532" t="str">
        <f t="shared" si="34"/>
        <v>Refund Issued</v>
      </c>
      <c r="Y532" t="str">
        <f t="shared" si="35"/>
        <v>Low</v>
      </c>
    </row>
    <row r="533" spans="1:25" ht="27.6">
      <c r="A533" t="s">
        <v>1801</v>
      </c>
      <c r="B533" t="s">
        <v>153</v>
      </c>
      <c r="C533" t="s">
        <v>1802</v>
      </c>
      <c r="D533" s="2">
        <v>46120</v>
      </c>
      <c r="E533" t="s">
        <v>47</v>
      </c>
      <c r="F533" t="s">
        <v>25</v>
      </c>
      <c r="G533" s="3">
        <v>49.52</v>
      </c>
      <c r="H533" t="s">
        <v>108</v>
      </c>
      <c r="I533" t="s">
        <v>27</v>
      </c>
      <c r="J533" s="4" t="s">
        <v>1803</v>
      </c>
      <c r="K533" t="s">
        <v>29</v>
      </c>
      <c r="L533" t="s">
        <v>30</v>
      </c>
      <c r="M533" t="s">
        <v>31</v>
      </c>
      <c r="N533" t="s">
        <v>84</v>
      </c>
      <c r="O533">
        <v>5</v>
      </c>
      <c r="P533">
        <v>3</v>
      </c>
      <c r="Q533" t="s">
        <v>33</v>
      </c>
      <c r="R533" t="s">
        <v>34</v>
      </c>
      <c r="S533" s="3">
        <v>0</v>
      </c>
      <c r="T533" t="s">
        <v>35</v>
      </c>
      <c r="U533" t="s">
        <v>53</v>
      </c>
      <c r="V533" t="str">
        <f t="shared" si="32"/>
        <v>2026-04</v>
      </c>
      <c r="W533" t="str">
        <f t="shared" si="33"/>
        <v>0-3 days</v>
      </c>
      <c r="X533" t="str">
        <f t="shared" si="34"/>
        <v>No Refund</v>
      </c>
      <c r="Y533" t="str">
        <f t="shared" si="35"/>
        <v>High</v>
      </c>
    </row>
    <row r="534" spans="1:25" ht="27.6">
      <c r="A534" t="s">
        <v>1804</v>
      </c>
      <c r="B534" t="s">
        <v>1805</v>
      </c>
      <c r="C534" t="s">
        <v>1806</v>
      </c>
      <c r="D534" s="2">
        <v>46163</v>
      </c>
      <c r="E534" t="s">
        <v>40</v>
      </c>
      <c r="F534" t="s">
        <v>48</v>
      </c>
      <c r="G534" s="3">
        <v>26.65</v>
      </c>
      <c r="H534" t="s">
        <v>58</v>
      </c>
      <c r="I534" t="s">
        <v>27</v>
      </c>
      <c r="J534" s="4" t="s">
        <v>68</v>
      </c>
      <c r="K534" t="s">
        <v>29</v>
      </c>
      <c r="L534" t="s">
        <v>30</v>
      </c>
      <c r="M534" t="s">
        <v>31</v>
      </c>
      <c r="N534" t="s">
        <v>32</v>
      </c>
      <c r="O534">
        <v>10</v>
      </c>
      <c r="P534">
        <v>6</v>
      </c>
      <c r="Q534" t="s">
        <v>33</v>
      </c>
      <c r="R534" t="s">
        <v>34</v>
      </c>
      <c r="S534" s="3">
        <v>19.989999999999998</v>
      </c>
      <c r="T534" t="s">
        <v>69</v>
      </c>
      <c r="U534" t="s">
        <v>53</v>
      </c>
      <c r="V534" t="str">
        <f t="shared" si="32"/>
        <v>2026-05</v>
      </c>
      <c r="W534" t="str">
        <f t="shared" si="33"/>
        <v>4-7 days</v>
      </c>
      <c r="X534" t="str">
        <f t="shared" si="34"/>
        <v>Refund Issued</v>
      </c>
      <c r="Y534" t="str">
        <f t="shared" si="35"/>
        <v>Low</v>
      </c>
    </row>
    <row r="535" spans="1:25" ht="27.6">
      <c r="A535" t="s">
        <v>1807</v>
      </c>
      <c r="B535" t="s">
        <v>1808</v>
      </c>
      <c r="C535" t="s">
        <v>1809</v>
      </c>
      <c r="D535" s="2">
        <v>46115</v>
      </c>
      <c r="E535" t="s">
        <v>24</v>
      </c>
      <c r="F535" t="s">
        <v>25</v>
      </c>
      <c r="G535" s="3">
        <v>34.03</v>
      </c>
      <c r="H535" t="s">
        <v>58</v>
      </c>
      <c r="I535" t="s">
        <v>27</v>
      </c>
      <c r="J535" s="4" t="s">
        <v>42</v>
      </c>
      <c r="K535" t="s">
        <v>29</v>
      </c>
      <c r="L535" t="s">
        <v>30</v>
      </c>
      <c r="M535" t="s">
        <v>31</v>
      </c>
      <c r="N535" t="s">
        <v>32</v>
      </c>
      <c r="O535">
        <v>5</v>
      </c>
      <c r="P535">
        <v>7</v>
      </c>
      <c r="Q535" t="s">
        <v>29</v>
      </c>
      <c r="R535" t="s">
        <v>34</v>
      </c>
      <c r="S535" s="3">
        <v>17.02</v>
      </c>
      <c r="T535" t="s">
        <v>43</v>
      </c>
      <c r="U535" t="s">
        <v>63</v>
      </c>
      <c r="V535" t="str">
        <f t="shared" si="32"/>
        <v>2026-04</v>
      </c>
      <c r="W535" t="str">
        <f t="shared" si="33"/>
        <v>4-7 days</v>
      </c>
      <c r="X535" t="str">
        <f t="shared" si="34"/>
        <v>Refund Issued</v>
      </c>
      <c r="Y535" t="str">
        <f t="shared" si="35"/>
        <v>High</v>
      </c>
    </row>
    <row r="536" spans="1:25" ht="27.6">
      <c r="A536" t="s">
        <v>1810</v>
      </c>
      <c r="B536" t="s">
        <v>1811</v>
      </c>
      <c r="C536" t="s">
        <v>1812</v>
      </c>
      <c r="D536" s="2">
        <v>46164</v>
      </c>
      <c r="E536" t="s">
        <v>40</v>
      </c>
      <c r="F536" t="s">
        <v>118</v>
      </c>
      <c r="G536" s="3">
        <v>36.71</v>
      </c>
      <c r="H536" t="s">
        <v>108</v>
      </c>
      <c r="I536" t="s">
        <v>50</v>
      </c>
      <c r="J536" s="4" t="s">
        <v>1813</v>
      </c>
      <c r="K536" t="s">
        <v>29</v>
      </c>
      <c r="L536" t="s">
        <v>120</v>
      </c>
      <c r="M536" t="s">
        <v>96</v>
      </c>
      <c r="N536" t="s">
        <v>32</v>
      </c>
      <c r="O536">
        <v>5</v>
      </c>
      <c r="P536">
        <v>1</v>
      </c>
      <c r="Q536" t="s">
        <v>33</v>
      </c>
      <c r="R536" t="s">
        <v>85</v>
      </c>
      <c r="S536" s="3">
        <v>36.71</v>
      </c>
      <c r="T536" t="s">
        <v>121</v>
      </c>
      <c r="U536" t="s">
        <v>53</v>
      </c>
      <c r="V536" t="str">
        <f t="shared" si="32"/>
        <v>2026-05</v>
      </c>
      <c r="W536" t="str">
        <f t="shared" si="33"/>
        <v>0-3 days</v>
      </c>
      <c r="X536" t="str">
        <f t="shared" si="34"/>
        <v>Refund Issued</v>
      </c>
      <c r="Y536" t="str">
        <f t="shared" si="35"/>
        <v>High</v>
      </c>
    </row>
    <row r="537" spans="1:25" ht="27.6">
      <c r="A537" t="s">
        <v>1814</v>
      </c>
      <c r="B537" t="s">
        <v>1815</v>
      </c>
      <c r="C537" t="s">
        <v>1816</v>
      </c>
      <c r="D537" s="2">
        <v>46118</v>
      </c>
      <c r="E537" t="s">
        <v>47</v>
      </c>
      <c r="F537" t="s">
        <v>48</v>
      </c>
      <c r="G537" s="3">
        <v>28.15</v>
      </c>
      <c r="H537" t="s">
        <v>58</v>
      </c>
      <c r="I537" t="s">
        <v>67</v>
      </c>
      <c r="J537" s="4" t="s">
        <v>68</v>
      </c>
      <c r="K537" t="s">
        <v>29</v>
      </c>
      <c r="L537" t="s">
        <v>30</v>
      </c>
      <c r="M537" t="s">
        <v>31</v>
      </c>
      <c r="N537" t="s">
        <v>84</v>
      </c>
      <c r="O537">
        <v>10</v>
      </c>
      <c r="P537">
        <v>10</v>
      </c>
      <c r="Q537" t="s">
        <v>33</v>
      </c>
      <c r="R537" t="s">
        <v>34</v>
      </c>
      <c r="S537" s="3">
        <v>0</v>
      </c>
      <c r="T537" t="s">
        <v>69</v>
      </c>
      <c r="U537" t="s">
        <v>63</v>
      </c>
      <c r="V537" t="str">
        <f t="shared" si="32"/>
        <v>2026-04</v>
      </c>
      <c r="W537" t="str">
        <f t="shared" si="33"/>
        <v>8-14 days</v>
      </c>
      <c r="X537" t="str">
        <f t="shared" si="34"/>
        <v>No Refund</v>
      </c>
      <c r="Y537" t="str">
        <f t="shared" si="35"/>
        <v>Low</v>
      </c>
    </row>
    <row r="538" spans="1:25" ht="27.6">
      <c r="A538" t="s">
        <v>1817</v>
      </c>
      <c r="B538" t="s">
        <v>1818</v>
      </c>
      <c r="C538" t="s">
        <v>1819</v>
      </c>
      <c r="D538" s="2">
        <v>46134</v>
      </c>
      <c r="E538" t="s">
        <v>94</v>
      </c>
      <c r="F538" t="s">
        <v>57</v>
      </c>
      <c r="G538" s="3">
        <v>71.03</v>
      </c>
      <c r="H538" t="s">
        <v>58</v>
      </c>
      <c r="I538" t="s">
        <v>50</v>
      </c>
      <c r="J538" s="4" t="s">
        <v>59</v>
      </c>
      <c r="K538" t="s">
        <v>29</v>
      </c>
      <c r="L538" t="s">
        <v>60</v>
      </c>
      <c r="M538" t="s">
        <v>31</v>
      </c>
      <c r="N538" t="s">
        <v>32</v>
      </c>
      <c r="O538">
        <v>10</v>
      </c>
      <c r="P538">
        <v>13</v>
      </c>
      <c r="Q538" t="s">
        <v>29</v>
      </c>
      <c r="R538" t="s">
        <v>61</v>
      </c>
      <c r="S538" s="3">
        <v>53.27</v>
      </c>
      <c r="T538" t="s">
        <v>62</v>
      </c>
      <c r="U538" t="s">
        <v>63</v>
      </c>
      <c r="V538" t="str">
        <f t="shared" si="32"/>
        <v>2026-04</v>
      </c>
      <c r="W538" t="str">
        <f t="shared" si="33"/>
        <v>8-14 days</v>
      </c>
      <c r="X538" t="str">
        <f t="shared" si="34"/>
        <v>Refund Issued</v>
      </c>
      <c r="Y538" t="str">
        <f t="shared" si="35"/>
        <v>Low</v>
      </c>
    </row>
    <row r="539" spans="1:25" ht="27.6">
      <c r="A539" t="s">
        <v>1820</v>
      </c>
      <c r="B539" t="s">
        <v>1821</v>
      </c>
      <c r="C539" t="s">
        <v>1822</v>
      </c>
      <c r="D539" s="2">
        <v>46030</v>
      </c>
      <c r="E539" t="s">
        <v>40</v>
      </c>
      <c r="F539" t="s">
        <v>172</v>
      </c>
      <c r="G539" s="3">
        <v>21.35</v>
      </c>
      <c r="H539" t="s">
        <v>58</v>
      </c>
      <c r="I539" t="s">
        <v>27</v>
      </c>
      <c r="J539" s="4" t="s">
        <v>173</v>
      </c>
      <c r="K539" t="s">
        <v>29</v>
      </c>
      <c r="L539" t="s">
        <v>30</v>
      </c>
      <c r="M539" t="s">
        <v>31</v>
      </c>
      <c r="N539" t="s">
        <v>84</v>
      </c>
      <c r="O539">
        <v>7</v>
      </c>
      <c r="P539">
        <v>9</v>
      </c>
      <c r="Q539" t="s">
        <v>29</v>
      </c>
      <c r="R539" t="s">
        <v>174</v>
      </c>
      <c r="S539" s="3">
        <v>0</v>
      </c>
      <c r="T539" t="s">
        <v>110</v>
      </c>
      <c r="U539" t="s">
        <v>63</v>
      </c>
      <c r="V539" t="str">
        <f t="shared" si="32"/>
        <v>2026-01</v>
      </c>
      <c r="W539" t="str">
        <f t="shared" si="33"/>
        <v>8-14 days</v>
      </c>
      <c r="X539" t="str">
        <f t="shared" si="34"/>
        <v>No Refund</v>
      </c>
      <c r="Y539" t="str">
        <f t="shared" si="35"/>
        <v>Medium</v>
      </c>
    </row>
    <row r="540" spans="1:25" ht="27.6">
      <c r="A540" t="s">
        <v>1823</v>
      </c>
      <c r="B540" t="s">
        <v>1824</v>
      </c>
      <c r="C540" t="s">
        <v>1825</v>
      </c>
      <c r="D540" s="2">
        <v>46046</v>
      </c>
      <c r="E540" t="s">
        <v>40</v>
      </c>
      <c r="F540" t="s">
        <v>73</v>
      </c>
      <c r="G540" s="3">
        <v>28.2</v>
      </c>
      <c r="H540" t="s">
        <v>26</v>
      </c>
      <c r="I540" t="s">
        <v>50</v>
      </c>
      <c r="J540" s="4" t="s">
        <v>389</v>
      </c>
      <c r="K540" t="s">
        <v>29</v>
      </c>
      <c r="L540" t="s">
        <v>60</v>
      </c>
      <c r="M540" t="s">
        <v>31</v>
      </c>
      <c r="N540" t="s">
        <v>32</v>
      </c>
      <c r="O540">
        <v>10</v>
      </c>
      <c r="P540">
        <v>12</v>
      </c>
      <c r="Q540" t="s">
        <v>29</v>
      </c>
      <c r="R540" t="s">
        <v>61</v>
      </c>
      <c r="S540" s="3">
        <v>28.2</v>
      </c>
      <c r="T540" t="s">
        <v>52</v>
      </c>
      <c r="U540" t="s">
        <v>63</v>
      </c>
      <c r="V540" t="str">
        <f t="shared" si="32"/>
        <v>2026-01</v>
      </c>
      <c r="W540" t="str">
        <f t="shared" si="33"/>
        <v>8-14 days</v>
      </c>
      <c r="X540" t="str">
        <f t="shared" si="34"/>
        <v>Refund Issued</v>
      </c>
      <c r="Y540" t="str">
        <f t="shared" si="35"/>
        <v>Low</v>
      </c>
    </row>
    <row r="541" spans="1:25" ht="27.6">
      <c r="A541" t="s">
        <v>1826</v>
      </c>
      <c r="B541" t="s">
        <v>1827</v>
      </c>
      <c r="C541" t="s">
        <v>1828</v>
      </c>
      <c r="D541" s="2">
        <v>46128</v>
      </c>
      <c r="E541" t="s">
        <v>40</v>
      </c>
      <c r="F541" t="s">
        <v>48</v>
      </c>
      <c r="G541" s="3">
        <v>68.239999999999995</v>
      </c>
      <c r="H541" t="s">
        <v>49</v>
      </c>
      <c r="I541" t="s">
        <v>27</v>
      </c>
      <c r="J541" s="4" t="s">
        <v>68</v>
      </c>
      <c r="K541" t="s">
        <v>33</v>
      </c>
      <c r="L541" t="s">
        <v>30</v>
      </c>
      <c r="M541" t="s">
        <v>31</v>
      </c>
      <c r="N541" t="s">
        <v>32</v>
      </c>
      <c r="O541">
        <v>10</v>
      </c>
      <c r="P541">
        <v>11</v>
      </c>
      <c r="Q541" t="s">
        <v>29</v>
      </c>
      <c r="R541" t="s">
        <v>34</v>
      </c>
      <c r="S541" s="3">
        <v>34.119999999999997</v>
      </c>
      <c r="T541" t="s">
        <v>62</v>
      </c>
      <c r="U541" t="s">
        <v>63</v>
      </c>
      <c r="V541" t="str">
        <f t="shared" si="32"/>
        <v>2026-04</v>
      </c>
      <c r="W541" t="str">
        <f t="shared" si="33"/>
        <v>8-14 days</v>
      </c>
      <c r="X541" t="str">
        <f t="shared" si="34"/>
        <v>Refund Issued</v>
      </c>
      <c r="Y541" t="str">
        <f t="shared" si="35"/>
        <v>Low</v>
      </c>
    </row>
    <row r="542" spans="1:25" ht="27.6">
      <c r="A542" t="s">
        <v>1829</v>
      </c>
      <c r="B542" t="s">
        <v>1830</v>
      </c>
      <c r="C542" t="s">
        <v>1831</v>
      </c>
      <c r="D542" s="2">
        <v>46040</v>
      </c>
      <c r="E542" t="s">
        <v>40</v>
      </c>
      <c r="F542" t="s">
        <v>82</v>
      </c>
      <c r="G542" s="3">
        <v>34.11</v>
      </c>
      <c r="H542" t="s">
        <v>108</v>
      </c>
      <c r="I542" t="s">
        <v>27</v>
      </c>
      <c r="J542" s="4" t="s">
        <v>114</v>
      </c>
      <c r="K542" t="s">
        <v>29</v>
      </c>
      <c r="L542" t="s">
        <v>30</v>
      </c>
      <c r="M542" t="s">
        <v>31</v>
      </c>
      <c r="N542" t="s">
        <v>32</v>
      </c>
      <c r="O542">
        <v>7</v>
      </c>
      <c r="P542">
        <v>8</v>
      </c>
      <c r="Q542" t="s">
        <v>29</v>
      </c>
      <c r="R542" t="s">
        <v>85</v>
      </c>
      <c r="S542" s="3">
        <v>34.11</v>
      </c>
      <c r="T542" t="s">
        <v>62</v>
      </c>
      <c r="U542" t="s">
        <v>63</v>
      </c>
      <c r="V542" t="str">
        <f t="shared" si="32"/>
        <v>2026-01</v>
      </c>
      <c r="W542" t="str">
        <f t="shared" si="33"/>
        <v>8-14 days</v>
      </c>
      <c r="X542" t="str">
        <f t="shared" si="34"/>
        <v>Refund Issued</v>
      </c>
      <c r="Y542" t="str">
        <f t="shared" si="35"/>
        <v>High</v>
      </c>
    </row>
    <row r="543" spans="1:25" ht="27.6">
      <c r="A543" t="s">
        <v>1832</v>
      </c>
      <c r="B543" t="s">
        <v>1833</v>
      </c>
      <c r="C543" t="s">
        <v>1834</v>
      </c>
      <c r="D543" s="2">
        <v>46038</v>
      </c>
      <c r="E543" t="s">
        <v>40</v>
      </c>
      <c r="F543" t="s">
        <v>57</v>
      </c>
      <c r="G543" s="3">
        <v>106.58</v>
      </c>
      <c r="H543" t="s">
        <v>89</v>
      </c>
      <c r="I543" t="s">
        <v>27</v>
      </c>
      <c r="J543" s="4" t="s">
        <v>59</v>
      </c>
      <c r="K543" t="s">
        <v>29</v>
      </c>
      <c r="L543" t="s">
        <v>60</v>
      </c>
      <c r="M543" t="s">
        <v>31</v>
      </c>
      <c r="N543" t="s">
        <v>32</v>
      </c>
      <c r="O543">
        <v>10</v>
      </c>
      <c r="P543">
        <v>13</v>
      </c>
      <c r="Q543" t="s">
        <v>29</v>
      </c>
      <c r="R543" t="s">
        <v>61</v>
      </c>
      <c r="S543" s="3">
        <v>79.94</v>
      </c>
      <c r="T543" t="s">
        <v>156</v>
      </c>
      <c r="U543" t="s">
        <v>63</v>
      </c>
      <c r="V543" t="str">
        <f t="shared" si="32"/>
        <v>2026-01</v>
      </c>
      <c r="W543" t="str">
        <f t="shared" si="33"/>
        <v>8-14 days</v>
      </c>
      <c r="X543" t="str">
        <f t="shared" si="34"/>
        <v>Refund Issued</v>
      </c>
      <c r="Y543" t="str">
        <f t="shared" si="35"/>
        <v>Low</v>
      </c>
    </row>
    <row r="544" spans="1:25" ht="27.6">
      <c r="A544" t="s">
        <v>1835</v>
      </c>
      <c r="B544" t="s">
        <v>1836</v>
      </c>
      <c r="C544" t="s">
        <v>1837</v>
      </c>
      <c r="D544" s="2">
        <v>46172</v>
      </c>
      <c r="E544" t="s">
        <v>24</v>
      </c>
      <c r="F544" t="s">
        <v>82</v>
      </c>
      <c r="G544" s="3">
        <v>126.93</v>
      </c>
      <c r="H544" t="s">
        <v>26</v>
      </c>
      <c r="I544" t="s">
        <v>27</v>
      </c>
      <c r="J544" s="4" t="s">
        <v>1838</v>
      </c>
      <c r="K544" t="s">
        <v>29</v>
      </c>
      <c r="L544" t="s">
        <v>30</v>
      </c>
      <c r="M544" t="s">
        <v>31</v>
      </c>
      <c r="N544" t="s">
        <v>90</v>
      </c>
      <c r="O544">
        <v>7</v>
      </c>
      <c r="P544">
        <v>3</v>
      </c>
      <c r="Q544" t="s">
        <v>33</v>
      </c>
      <c r="R544" t="s">
        <v>85</v>
      </c>
      <c r="S544" s="3">
        <v>0</v>
      </c>
      <c r="T544" t="s">
        <v>43</v>
      </c>
      <c r="U544" t="s">
        <v>36</v>
      </c>
      <c r="V544" t="str">
        <f t="shared" si="32"/>
        <v>2026-05</v>
      </c>
      <c r="W544" t="str">
        <f t="shared" si="33"/>
        <v>0-3 days</v>
      </c>
      <c r="X544" t="str">
        <f t="shared" si="34"/>
        <v>No Refund</v>
      </c>
      <c r="Y544" t="str">
        <f t="shared" si="35"/>
        <v>High</v>
      </c>
    </row>
    <row r="545" spans="1:25" ht="27.6">
      <c r="A545" t="s">
        <v>1839</v>
      </c>
      <c r="B545" t="s">
        <v>1840</v>
      </c>
      <c r="C545" t="s">
        <v>1841</v>
      </c>
      <c r="D545" s="2">
        <v>46132</v>
      </c>
      <c r="E545" t="s">
        <v>24</v>
      </c>
      <c r="F545" t="s">
        <v>103</v>
      </c>
      <c r="G545" s="3">
        <v>28.96</v>
      </c>
      <c r="H545" t="s">
        <v>74</v>
      </c>
      <c r="I545" t="s">
        <v>67</v>
      </c>
      <c r="J545" s="4" t="s">
        <v>104</v>
      </c>
      <c r="K545" t="s">
        <v>29</v>
      </c>
      <c r="L545" t="s">
        <v>30</v>
      </c>
      <c r="M545" t="s">
        <v>31</v>
      </c>
      <c r="N545" t="s">
        <v>32</v>
      </c>
      <c r="O545">
        <v>5</v>
      </c>
      <c r="P545">
        <v>8</v>
      </c>
      <c r="Q545" t="s">
        <v>29</v>
      </c>
      <c r="R545" t="s">
        <v>34</v>
      </c>
      <c r="S545" s="3">
        <v>0</v>
      </c>
      <c r="T545" t="s">
        <v>247</v>
      </c>
      <c r="U545" t="s">
        <v>63</v>
      </c>
      <c r="V545" t="str">
        <f t="shared" si="32"/>
        <v>2026-04</v>
      </c>
      <c r="W545" t="str">
        <f t="shared" si="33"/>
        <v>8-14 days</v>
      </c>
      <c r="X545" t="str">
        <f t="shared" si="34"/>
        <v>No Refund</v>
      </c>
      <c r="Y545" t="str">
        <f t="shared" si="35"/>
        <v>Medium</v>
      </c>
    </row>
    <row r="546" spans="1:25" ht="27.6">
      <c r="A546" t="s">
        <v>1842</v>
      </c>
      <c r="B546" t="s">
        <v>1843</v>
      </c>
      <c r="C546" t="s">
        <v>1844</v>
      </c>
      <c r="D546" s="2">
        <v>46139</v>
      </c>
      <c r="E546" t="s">
        <v>94</v>
      </c>
      <c r="F546" t="s">
        <v>82</v>
      </c>
      <c r="G546" s="3">
        <v>100.75</v>
      </c>
      <c r="H546" t="s">
        <v>49</v>
      </c>
      <c r="I546" t="s">
        <v>67</v>
      </c>
      <c r="J546" s="4" t="s">
        <v>1845</v>
      </c>
      <c r="K546" t="s">
        <v>29</v>
      </c>
      <c r="L546" t="s">
        <v>30</v>
      </c>
      <c r="M546" t="s">
        <v>31</v>
      </c>
      <c r="N546" t="s">
        <v>32</v>
      </c>
      <c r="O546">
        <v>7</v>
      </c>
      <c r="P546">
        <v>3</v>
      </c>
      <c r="Q546" t="s">
        <v>33</v>
      </c>
      <c r="R546" t="s">
        <v>85</v>
      </c>
      <c r="S546" s="3">
        <v>0</v>
      </c>
      <c r="T546" t="s">
        <v>62</v>
      </c>
      <c r="U546" t="s">
        <v>53</v>
      </c>
      <c r="V546" t="str">
        <f t="shared" si="32"/>
        <v>2026-04</v>
      </c>
      <c r="W546" t="str">
        <f t="shared" si="33"/>
        <v>0-3 days</v>
      </c>
      <c r="X546" t="str">
        <f t="shared" si="34"/>
        <v>No Refund</v>
      </c>
      <c r="Y546" t="str">
        <f t="shared" si="35"/>
        <v>High</v>
      </c>
    </row>
    <row r="547" spans="1:25" ht="27.6">
      <c r="A547" t="s">
        <v>1846</v>
      </c>
      <c r="B547" t="s">
        <v>1847</v>
      </c>
      <c r="C547" t="s">
        <v>1848</v>
      </c>
      <c r="D547" s="2">
        <v>46115</v>
      </c>
      <c r="E547" t="s">
        <v>94</v>
      </c>
      <c r="F547" t="s">
        <v>48</v>
      </c>
      <c r="G547" s="3">
        <v>117.64</v>
      </c>
      <c r="H547" t="s">
        <v>74</v>
      </c>
      <c r="I547" t="s">
        <v>50</v>
      </c>
      <c r="J547" s="4" t="s">
        <v>68</v>
      </c>
      <c r="K547" t="s">
        <v>29</v>
      </c>
      <c r="L547" t="s">
        <v>30</v>
      </c>
      <c r="M547" t="s">
        <v>31</v>
      </c>
      <c r="N547" t="s">
        <v>90</v>
      </c>
      <c r="O547">
        <v>10</v>
      </c>
      <c r="P547">
        <v>1</v>
      </c>
      <c r="Q547" t="s">
        <v>33</v>
      </c>
      <c r="R547" t="s">
        <v>34</v>
      </c>
      <c r="S547" s="3">
        <v>0</v>
      </c>
      <c r="T547" t="s">
        <v>62</v>
      </c>
      <c r="U547" t="s">
        <v>36</v>
      </c>
      <c r="V547" t="str">
        <f t="shared" si="32"/>
        <v>2026-04</v>
      </c>
      <c r="W547" t="str">
        <f t="shared" si="33"/>
        <v>0-3 days</v>
      </c>
      <c r="X547" t="str">
        <f t="shared" si="34"/>
        <v>No Refund</v>
      </c>
      <c r="Y547" t="str">
        <f t="shared" si="35"/>
        <v>Low</v>
      </c>
    </row>
    <row r="548" spans="1:25" ht="27.6">
      <c r="A548" t="s">
        <v>1849</v>
      </c>
      <c r="B548" t="s">
        <v>1850</v>
      </c>
      <c r="C548" t="s">
        <v>1851</v>
      </c>
      <c r="D548" s="2">
        <v>46121</v>
      </c>
      <c r="E548" t="s">
        <v>24</v>
      </c>
      <c r="F548" t="s">
        <v>25</v>
      </c>
      <c r="G548" s="3">
        <v>13.68</v>
      </c>
      <c r="H548" t="s">
        <v>89</v>
      </c>
      <c r="I548" t="s">
        <v>67</v>
      </c>
      <c r="J548" s="4" t="s">
        <v>42</v>
      </c>
      <c r="K548" t="s">
        <v>29</v>
      </c>
      <c r="L548" t="s">
        <v>30</v>
      </c>
      <c r="M548" t="s">
        <v>31</v>
      </c>
      <c r="N548" t="s">
        <v>32</v>
      </c>
      <c r="O548">
        <v>5</v>
      </c>
      <c r="P548">
        <v>9</v>
      </c>
      <c r="Q548" t="s">
        <v>29</v>
      </c>
      <c r="R548" t="s">
        <v>34</v>
      </c>
      <c r="S548" s="3">
        <v>0</v>
      </c>
      <c r="T548" t="s">
        <v>110</v>
      </c>
      <c r="U548" t="s">
        <v>63</v>
      </c>
      <c r="V548" t="str">
        <f t="shared" si="32"/>
        <v>2026-04</v>
      </c>
      <c r="W548" t="str">
        <f t="shared" si="33"/>
        <v>8-14 days</v>
      </c>
      <c r="X548" t="str">
        <f t="shared" si="34"/>
        <v>No Refund</v>
      </c>
      <c r="Y548" t="str">
        <f t="shared" si="35"/>
        <v>High</v>
      </c>
    </row>
    <row r="549" spans="1:25" ht="27.6">
      <c r="A549" t="s">
        <v>1852</v>
      </c>
      <c r="B549" t="s">
        <v>1853</v>
      </c>
      <c r="C549" t="s">
        <v>1854</v>
      </c>
      <c r="D549" s="2">
        <v>46052</v>
      </c>
      <c r="E549" t="s">
        <v>47</v>
      </c>
      <c r="F549" t="s">
        <v>172</v>
      </c>
      <c r="G549" s="3">
        <v>25.76</v>
      </c>
      <c r="H549" t="s">
        <v>58</v>
      </c>
      <c r="I549" t="s">
        <v>50</v>
      </c>
      <c r="J549" s="4" t="s">
        <v>285</v>
      </c>
      <c r="K549" t="s">
        <v>29</v>
      </c>
      <c r="L549" t="s">
        <v>30</v>
      </c>
      <c r="M549" t="s">
        <v>31</v>
      </c>
      <c r="N549" t="s">
        <v>32</v>
      </c>
      <c r="O549">
        <v>7</v>
      </c>
      <c r="P549">
        <v>11</v>
      </c>
      <c r="Q549" t="s">
        <v>29</v>
      </c>
      <c r="R549" t="s">
        <v>174</v>
      </c>
      <c r="S549" s="3">
        <v>0</v>
      </c>
      <c r="T549" t="s">
        <v>110</v>
      </c>
      <c r="U549" t="s">
        <v>63</v>
      </c>
      <c r="V549" t="str">
        <f t="shared" si="32"/>
        <v>2026-01</v>
      </c>
      <c r="W549" t="str">
        <f t="shared" si="33"/>
        <v>8-14 days</v>
      </c>
      <c r="X549" t="str">
        <f t="shared" si="34"/>
        <v>No Refund</v>
      </c>
      <c r="Y549" t="str">
        <f t="shared" si="35"/>
        <v>Medium</v>
      </c>
    </row>
    <row r="550" spans="1:25" ht="27.6">
      <c r="A550" t="s">
        <v>1855</v>
      </c>
      <c r="B550" t="s">
        <v>1510</v>
      </c>
      <c r="C550" t="s">
        <v>1856</v>
      </c>
      <c r="D550" s="2">
        <v>46094</v>
      </c>
      <c r="E550" t="s">
        <v>24</v>
      </c>
      <c r="F550" t="s">
        <v>118</v>
      </c>
      <c r="G550" s="3">
        <v>28.87</v>
      </c>
      <c r="H550" t="s">
        <v>26</v>
      </c>
      <c r="I550" t="s">
        <v>50</v>
      </c>
      <c r="J550" s="4" t="s">
        <v>1857</v>
      </c>
      <c r="K550" t="s">
        <v>33</v>
      </c>
      <c r="L550" t="s">
        <v>30</v>
      </c>
      <c r="M550" t="s">
        <v>31</v>
      </c>
      <c r="N550" t="s">
        <v>90</v>
      </c>
      <c r="O550">
        <v>5</v>
      </c>
      <c r="P550">
        <v>6</v>
      </c>
      <c r="Q550" t="s">
        <v>29</v>
      </c>
      <c r="R550" t="s">
        <v>85</v>
      </c>
      <c r="S550" s="3">
        <v>0</v>
      </c>
      <c r="T550" t="s">
        <v>121</v>
      </c>
      <c r="U550" t="s">
        <v>63</v>
      </c>
      <c r="V550" t="str">
        <f t="shared" si="32"/>
        <v>2026-03</v>
      </c>
      <c r="W550" t="str">
        <f t="shared" si="33"/>
        <v>4-7 days</v>
      </c>
      <c r="X550" t="str">
        <f t="shared" si="34"/>
        <v>No Refund</v>
      </c>
      <c r="Y550" t="str">
        <f t="shared" si="35"/>
        <v>High</v>
      </c>
    </row>
    <row r="551" spans="1:25" ht="27.6">
      <c r="A551" t="s">
        <v>1858</v>
      </c>
      <c r="B551" t="s">
        <v>1859</v>
      </c>
      <c r="C551" t="s">
        <v>1860</v>
      </c>
      <c r="D551" s="2">
        <v>46110</v>
      </c>
      <c r="E551" t="s">
        <v>24</v>
      </c>
      <c r="F551" t="s">
        <v>103</v>
      </c>
      <c r="G551" s="3">
        <v>70.569999999999993</v>
      </c>
      <c r="H551" t="s">
        <v>58</v>
      </c>
      <c r="I551" t="s">
        <v>67</v>
      </c>
      <c r="J551" s="4" t="s">
        <v>104</v>
      </c>
      <c r="K551" t="s">
        <v>33</v>
      </c>
      <c r="L551" t="s">
        <v>30</v>
      </c>
      <c r="M551" t="s">
        <v>31</v>
      </c>
      <c r="N551" t="s">
        <v>84</v>
      </c>
      <c r="O551">
        <v>5</v>
      </c>
      <c r="P551">
        <v>6</v>
      </c>
      <c r="Q551" t="s">
        <v>29</v>
      </c>
      <c r="R551" t="s">
        <v>34</v>
      </c>
      <c r="S551" s="3">
        <v>0</v>
      </c>
      <c r="T551" t="s">
        <v>247</v>
      </c>
      <c r="U551" t="s">
        <v>63</v>
      </c>
      <c r="V551" t="str">
        <f t="shared" si="32"/>
        <v>2026-03</v>
      </c>
      <c r="W551" t="str">
        <f t="shared" si="33"/>
        <v>4-7 days</v>
      </c>
      <c r="X551" t="str">
        <f t="shared" si="34"/>
        <v>No Refund</v>
      </c>
      <c r="Y551" t="str">
        <f t="shared" si="35"/>
        <v>Medium</v>
      </c>
    </row>
    <row r="552" spans="1:25" ht="27.6">
      <c r="A552" t="s">
        <v>1861</v>
      </c>
      <c r="B552" t="s">
        <v>1862</v>
      </c>
      <c r="C552" t="s">
        <v>1863</v>
      </c>
      <c r="D552" s="2">
        <v>46045</v>
      </c>
      <c r="E552" t="s">
        <v>24</v>
      </c>
      <c r="F552" t="s">
        <v>82</v>
      </c>
      <c r="G552" s="3">
        <v>47.73</v>
      </c>
      <c r="H552" t="s">
        <v>26</v>
      </c>
      <c r="I552" t="s">
        <v>50</v>
      </c>
      <c r="J552" s="4" t="s">
        <v>114</v>
      </c>
      <c r="K552" t="s">
        <v>29</v>
      </c>
      <c r="L552" t="s">
        <v>30</v>
      </c>
      <c r="M552" t="s">
        <v>31</v>
      </c>
      <c r="N552" t="s">
        <v>32</v>
      </c>
      <c r="O552">
        <v>7</v>
      </c>
      <c r="P552">
        <v>9</v>
      </c>
      <c r="Q552" t="s">
        <v>29</v>
      </c>
      <c r="R552" t="s">
        <v>85</v>
      </c>
      <c r="S552" s="3">
        <v>47.73</v>
      </c>
      <c r="T552" t="s">
        <v>69</v>
      </c>
      <c r="U552" t="s">
        <v>63</v>
      </c>
      <c r="V552" t="str">
        <f t="shared" si="32"/>
        <v>2026-01</v>
      </c>
      <c r="W552" t="str">
        <f t="shared" si="33"/>
        <v>8-14 days</v>
      </c>
      <c r="X552" t="str">
        <f t="shared" si="34"/>
        <v>Refund Issued</v>
      </c>
      <c r="Y552" t="str">
        <f t="shared" si="35"/>
        <v>High</v>
      </c>
    </row>
    <row r="553" spans="1:25" ht="27.6">
      <c r="A553" t="s">
        <v>1864</v>
      </c>
      <c r="B553" t="s">
        <v>1865</v>
      </c>
      <c r="C553" t="s">
        <v>1866</v>
      </c>
      <c r="D553" s="2">
        <v>46104</v>
      </c>
      <c r="E553" t="s">
        <v>40</v>
      </c>
      <c r="F553" t="s">
        <v>57</v>
      </c>
      <c r="G553" s="3">
        <v>72.489999999999995</v>
      </c>
      <c r="H553" t="s">
        <v>26</v>
      </c>
      <c r="I553" t="s">
        <v>27</v>
      </c>
      <c r="J553" s="4" t="s">
        <v>155</v>
      </c>
      <c r="K553" t="s">
        <v>29</v>
      </c>
      <c r="L553" t="s">
        <v>60</v>
      </c>
      <c r="M553" t="s">
        <v>31</v>
      </c>
      <c r="N553" t="s">
        <v>32</v>
      </c>
      <c r="O553">
        <v>10</v>
      </c>
      <c r="P553">
        <v>9</v>
      </c>
      <c r="Q553" t="s">
        <v>33</v>
      </c>
      <c r="R553" t="s">
        <v>61</v>
      </c>
      <c r="S553" s="3">
        <v>36.24</v>
      </c>
      <c r="T553" t="s">
        <v>52</v>
      </c>
      <c r="U553" t="s">
        <v>63</v>
      </c>
      <c r="V553" t="str">
        <f t="shared" si="32"/>
        <v>2026-03</v>
      </c>
      <c r="W553" t="str">
        <f t="shared" si="33"/>
        <v>8-14 days</v>
      </c>
      <c r="X553" t="str">
        <f t="shared" si="34"/>
        <v>Refund Issued</v>
      </c>
      <c r="Y553" t="str">
        <f t="shared" si="35"/>
        <v>Low</v>
      </c>
    </row>
    <row r="554" spans="1:25" ht="27.6">
      <c r="A554" t="s">
        <v>1867</v>
      </c>
      <c r="B554" t="s">
        <v>1868</v>
      </c>
      <c r="C554" t="s">
        <v>1869</v>
      </c>
      <c r="D554" s="2">
        <v>46095</v>
      </c>
      <c r="E554" t="s">
        <v>24</v>
      </c>
      <c r="F554" t="s">
        <v>172</v>
      </c>
      <c r="G554" s="3">
        <v>177.52</v>
      </c>
      <c r="H554" t="s">
        <v>89</v>
      </c>
      <c r="I554" t="s">
        <v>27</v>
      </c>
      <c r="J554" s="4" t="s">
        <v>285</v>
      </c>
      <c r="K554" t="s">
        <v>29</v>
      </c>
      <c r="L554" t="s">
        <v>30</v>
      </c>
      <c r="M554" t="s">
        <v>31</v>
      </c>
      <c r="N554" t="s">
        <v>32</v>
      </c>
      <c r="O554">
        <v>7</v>
      </c>
      <c r="P554">
        <v>15</v>
      </c>
      <c r="Q554" t="s">
        <v>29</v>
      </c>
      <c r="R554" t="s">
        <v>174</v>
      </c>
      <c r="S554" s="3">
        <v>88.76</v>
      </c>
      <c r="T554" t="s">
        <v>110</v>
      </c>
      <c r="U554" t="s">
        <v>63</v>
      </c>
      <c r="V554" t="str">
        <f t="shared" si="32"/>
        <v>2026-03</v>
      </c>
      <c r="W554" t="str">
        <f t="shared" si="33"/>
        <v>15+ days</v>
      </c>
      <c r="X554" t="str">
        <f t="shared" si="34"/>
        <v>Refund Issued</v>
      </c>
      <c r="Y554" t="str">
        <f t="shared" si="35"/>
        <v>Medium</v>
      </c>
    </row>
    <row r="555" spans="1:25" ht="27.6">
      <c r="A555" t="s">
        <v>1870</v>
      </c>
      <c r="B555" t="s">
        <v>598</v>
      </c>
      <c r="C555" t="s">
        <v>1871</v>
      </c>
      <c r="D555" s="2">
        <v>46119</v>
      </c>
      <c r="E555" t="s">
        <v>24</v>
      </c>
      <c r="F555" t="s">
        <v>57</v>
      </c>
      <c r="G555" s="3">
        <v>6.77</v>
      </c>
      <c r="H555" t="s">
        <v>49</v>
      </c>
      <c r="I555" t="s">
        <v>50</v>
      </c>
      <c r="J555" s="4" t="s">
        <v>155</v>
      </c>
      <c r="K555" t="s">
        <v>33</v>
      </c>
      <c r="L555" t="s">
        <v>60</v>
      </c>
      <c r="M555" t="s">
        <v>31</v>
      </c>
      <c r="N555" t="s">
        <v>32</v>
      </c>
      <c r="O555">
        <v>10</v>
      </c>
      <c r="P555">
        <v>21</v>
      </c>
      <c r="Q555" t="s">
        <v>29</v>
      </c>
      <c r="R555" t="s">
        <v>61</v>
      </c>
      <c r="S555" s="3">
        <v>0</v>
      </c>
      <c r="T555" t="s">
        <v>62</v>
      </c>
      <c r="U555" t="s">
        <v>63</v>
      </c>
      <c r="V555" t="str">
        <f t="shared" si="32"/>
        <v>2026-04</v>
      </c>
      <c r="W555" t="str">
        <f t="shared" si="33"/>
        <v>15+ days</v>
      </c>
      <c r="X555" t="str">
        <f t="shared" si="34"/>
        <v>No Refund</v>
      </c>
      <c r="Y555" t="str">
        <f t="shared" si="35"/>
        <v>Low</v>
      </c>
    </row>
    <row r="556" spans="1:25" ht="27.6">
      <c r="A556" t="s">
        <v>1872</v>
      </c>
      <c r="B556" t="s">
        <v>1873</v>
      </c>
      <c r="C556" t="s">
        <v>1874</v>
      </c>
      <c r="D556" s="2">
        <v>46063</v>
      </c>
      <c r="E556" t="s">
        <v>94</v>
      </c>
      <c r="F556" t="s">
        <v>172</v>
      </c>
      <c r="G556" s="3">
        <v>19.37</v>
      </c>
      <c r="H556" t="s">
        <v>41</v>
      </c>
      <c r="I556" t="s">
        <v>50</v>
      </c>
      <c r="J556" s="4" t="s">
        <v>173</v>
      </c>
      <c r="K556" t="s">
        <v>33</v>
      </c>
      <c r="L556" t="s">
        <v>30</v>
      </c>
      <c r="M556" t="s">
        <v>31</v>
      </c>
      <c r="N556" t="s">
        <v>126</v>
      </c>
      <c r="O556">
        <v>7</v>
      </c>
      <c r="P556">
        <v>7</v>
      </c>
      <c r="Q556" t="s">
        <v>33</v>
      </c>
      <c r="R556" t="s">
        <v>174</v>
      </c>
      <c r="S556" s="3">
        <v>0</v>
      </c>
      <c r="T556" t="s">
        <v>110</v>
      </c>
      <c r="U556" t="s">
        <v>36</v>
      </c>
      <c r="V556" t="str">
        <f t="shared" si="32"/>
        <v>2026-02</v>
      </c>
      <c r="W556" t="str">
        <f t="shared" si="33"/>
        <v>4-7 days</v>
      </c>
      <c r="X556" t="str">
        <f t="shared" si="34"/>
        <v>No Refund</v>
      </c>
      <c r="Y556" t="str">
        <f t="shared" si="35"/>
        <v>Medium</v>
      </c>
    </row>
    <row r="557" spans="1:25" ht="27.6">
      <c r="A557" t="s">
        <v>1875</v>
      </c>
      <c r="B557" t="s">
        <v>1876</v>
      </c>
      <c r="C557" t="s">
        <v>1877</v>
      </c>
      <c r="D557" s="2">
        <v>46171</v>
      </c>
      <c r="E557" t="s">
        <v>94</v>
      </c>
      <c r="F557" t="s">
        <v>25</v>
      </c>
      <c r="G557" s="3">
        <v>100.54</v>
      </c>
      <c r="H557" t="s">
        <v>58</v>
      </c>
      <c r="I557" t="s">
        <v>27</v>
      </c>
      <c r="J557" s="4" t="s">
        <v>1878</v>
      </c>
      <c r="K557" t="s">
        <v>29</v>
      </c>
      <c r="L557" t="s">
        <v>30</v>
      </c>
      <c r="M557" t="s">
        <v>31</v>
      </c>
      <c r="N557" t="s">
        <v>32</v>
      </c>
      <c r="O557">
        <v>5</v>
      </c>
      <c r="P557">
        <v>3</v>
      </c>
      <c r="Q557" t="s">
        <v>33</v>
      </c>
      <c r="R557" t="s">
        <v>34</v>
      </c>
      <c r="S557" s="3">
        <v>0</v>
      </c>
      <c r="T557" t="s">
        <v>35</v>
      </c>
      <c r="U557" t="s">
        <v>53</v>
      </c>
      <c r="V557" t="str">
        <f t="shared" si="32"/>
        <v>2026-05</v>
      </c>
      <c r="W557" t="str">
        <f t="shared" si="33"/>
        <v>0-3 days</v>
      </c>
      <c r="X557" t="str">
        <f t="shared" si="34"/>
        <v>No Refund</v>
      </c>
      <c r="Y557" t="str">
        <f t="shared" si="35"/>
        <v>High</v>
      </c>
    </row>
    <row r="558" spans="1:25" ht="27.6">
      <c r="A558" t="s">
        <v>1879</v>
      </c>
      <c r="B558" t="s">
        <v>1880</v>
      </c>
      <c r="C558" t="s">
        <v>1881</v>
      </c>
      <c r="D558" s="2">
        <v>46025</v>
      </c>
      <c r="E558" t="s">
        <v>24</v>
      </c>
      <c r="F558" t="s">
        <v>73</v>
      </c>
      <c r="G558" s="3">
        <v>93.54</v>
      </c>
      <c r="H558" t="s">
        <v>108</v>
      </c>
      <c r="I558" t="s">
        <v>50</v>
      </c>
      <c r="J558" s="4" t="s">
        <v>389</v>
      </c>
      <c r="K558" t="s">
        <v>29</v>
      </c>
      <c r="L558" t="s">
        <v>60</v>
      </c>
      <c r="M558" t="s">
        <v>31</v>
      </c>
      <c r="N558" t="s">
        <v>32</v>
      </c>
      <c r="O558">
        <v>10</v>
      </c>
      <c r="P558">
        <v>17</v>
      </c>
      <c r="Q558" t="s">
        <v>29</v>
      </c>
      <c r="R558" t="s">
        <v>61</v>
      </c>
      <c r="S558" s="3">
        <v>93.54</v>
      </c>
      <c r="T558" t="s">
        <v>156</v>
      </c>
      <c r="U558" t="s">
        <v>63</v>
      </c>
      <c r="V558" t="str">
        <f t="shared" si="32"/>
        <v>2026-01</v>
      </c>
      <c r="W558" t="str">
        <f t="shared" si="33"/>
        <v>15+ days</v>
      </c>
      <c r="X558" t="str">
        <f t="shared" si="34"/>
        <v>Refund Issued</v>
      </c>
      <c r="Y558" t="str">
        <f t="shared" si="35"/>
        <v>Low</v>
      </c>
    </row>
    <row r="559" spans="1:25" ht="27.6">
      <c r="A559" t="s">
        <v>1882</v>
      </c>
      <c r="B559" t="s">
        <v>1883</v>
      </c>
      <c r="C559" t="s">
        <v>1884</v>
      </c>
      <c r="D559" s="2">
        <v>46126</v>
      </c>
      <c r="E559" t="s">
        <v>24</v>
      </c>
      <c r="F559" t="s">
        <v>25</v>
      </c>
      <c r="G559" s="3">
        <v>32.590000000000003</v>
      </c>
      <c r="H559" t="s">
        <v>89</v>
      </c>
      <c r="I559" t="s">
        <v>67</v>
      </c>
      <c r="J559" s="4" t="s">
        <v>1885</v>
      </c>
      <c r="K559" t="s">
        <v>29</v>
      </c>
      <c r="L559" t="s">
        <v>30</v>
      </c>
      <c r="M559" t="s">
        <v>31</v>
      </c>
      <c r="N559" t="s">
        <v>32</v>
      </c>
      <c r="O559">
        <v>5</v>
      </c>
      <c r="P559">
        <v>10</v>
      </c>
      <c r="Q559" t="s">
        <v>29</v>
      </c>
      <c r="R559" t="s">
        <v>34</v>
      </c>
      <c r="S559" s="3">
        <v>0</v>
      </c>
      <c r="T559" t="s">
        <v>43</v>
      </c>
      <c r="U559" t="s">
        <v>63</v>
      </c>
      <c r="V559" t="str">
        <f t="shared" si="32"/>
        <v>2026-04</v>
      </c>
      <c r="W559" t="str">
        <f t="shared" si="33"/>
        <v>8-14 days</v>
      </c>
      <c r="X559" t="str">
        <f t="shared" si="34"/>
        <v>No Refund</v>
      </c>
      <c r="Y559" t="str">
        <f t="shared" si="35"/>
        <v>High</v>
      </c>
    </row>
    <row r="560" spans="1:25" ht="27.6">
      <c r="A560" t="s">
        <v>1886</v>
      </c>
      <c r="B560" t="s">
        <v>1887</v>
      </c>
      <c r="C560" t="s">
        <v>1888</v>
      </c>
      <c r="D560" s="2">
        <v>46120</v>
      </c>
      <c r="E560" t="s">
        <v>24</v>
      </c>
      <c r="F560" t="s">
        <v>172</v>
      </c>
      <c r="G560" s="3">
        <v>32.46</v>
      </c>
      <c r="H560" t="s">
        <v>26</v>
      </c>
      <c r="I560" t="s">
        <v>27</v>
      </c>
      <c r="J560" s="4" t="s">
        <v>285</v>
      </c>
      <c r="K560" t="s">
        <v>29</v>
      </c>
      <c r="L560" t="s">
        <v>30</v>
      </c>
      <c r="M560" t="s">
        <v>31</v>
      </c>
      <c r="N560" t="s">
        <v>90</v>
      </c>
      <c r="O560">
        <v>7</v>
      </c>
      <c r="P560">
        <v>8</v>
      </c>
      <c r="Q560" t="s">
        <v>29</v>
      </c>
      <c r="R560" t="s">
        <v>174</v>
      </c>
      <c r="S560" s="3">
        <v>0</v>
      </c>
      <c r="T560" t="s">
        <v>110</v>
      </c>
      <c r="U560" t="s">
        <v>63</v>
      </c>
      <c r="V560" t="str">
        <f t="shared" si="32"/>
        <v>2026-04</v>
      </c>
      <c r="W560" t="str">
        <f t="shared" si="33"/>
        <v>8-14 days</v>
      </c>
      <c r="X560" t="str">
        <f t="shared" si="34"/>
        <v>No Refund</v>
      </c>
      <c r="Y560" t="str">
        <f t="shared" si="35"/>
        <v>Medium</v>
      </c>
    </row>
    <row r="561" spans="1:25" ht="27.6">
      <c r="A561" t="s">
        <v>1889</v>
      </c>
      <c r="B561" t="s">
        <v>1890</v>
      </c>
      <c r="C561" t="s">
        <v>1891</v>
      </c>
      <c r="D561" s="2">
        <v>46069</v>
      </c>
      <c r="E561" t="s">
        <v>24</v>
      </c>
      <c r="F561" t="s">
        <v>48</v>
      </c>
      <c r="G561" s="3">
        <v>61.64</v>
      </c>
      <c r="H561" t="s">
        <v>74</v>
      </c>
      <c r="I561" t="s">
        <v>27</v>
      </c>
      <c r="J561" s="4" t="s">
        <v>51</v>
      </c>
      <c r="K561" t="s">
        <v>29</v>
      </c>
      <c r="L561" t="s">
        <v>30</v>
      </c>
      <c r="M561" t="s">
        <v>31</v>
      </c>
      <c r="N561" t="s">
        <v>32</v>
      </c>
      <c r="O561">
        <v>10</v>
      </c>
      <c r="P561">
        <v>9</v>
      </c>
      <c r="Q561" t="s">
        <v>33</v>
      </c>
      <c r="R561" t="s">
        <v>34</v>
      </c>
      <c r="S561" s="3">
        <v>0</v>
      </c>
      <c r="T561" t="s">
        <v>62</v>
      </c>
      <c r="U561" t="s">
        <v>63</v>
      </c>
      <c r="V561" t="str">
        <f t="shared" si="32"/>
        <v>2026-02</v>
      </c>
      <c r="W561" t="str">
        <f t="shared" si="33"/>
        <v>8-14 days</v>
      </c>
      <c r="X561" t="str">
        <f t="shared" si="34"/>
        <v>No Refund</v>
      </c>
      <c r="Y561" t="str">
        <f t="shared" si="35"/>
        <v>Low</v>
      </c>
    </row>
    <row r="562" spans="1:25" ht="27.6">
      <c r="A562" t="s">
        <v>1892</v>
      </c>
      <c r="B562" t="s">
        <v>1893</v>
      </c>
      <c r="C562" t="s">
        <v>1894</v>
      </c>
      <c r="D562" s="2">
        <v>46160</v>
      </c>
      <c r="E562" t="s">
        <v>40</v>
      </c>
      <c r="F562" t="s">
        <v>172</v>
      </c>
      <c r="G562" s="3">
        <v>55.35</v>
      </c>
      <c r="H562" t="s">
        <v>58</v>
      </c>
      <c r="I562" t="s">
        <v>27</v>
      </c>
      <c r="J562" s="4" t="s">
        <v>285</v>
      </c>
      <c r="K562" t="s">
        <v>33</v>
      </c>
      <c r="L562" t="s">
        <v>30</v>
      </c>
      <c r="M562" t="s">
        <v>31</v>
      </c>
      <c r="N562" t="s">
        <v>32</v>
      </c>
      <c r="O562">
        <v>7</v>
      </c>
      <c r="P562">
        <v>12</v>
      </c>
      <c r="Q562" t="s">
        <v>29</v>
      </c>
      <c r="R562" t="s">
        <v>174</v>
      </c>
      <c r="S562" s="3">
        <v>55.35</v>
      </c>
      <c r="T562" t="s">
        <v>110</v>
      </c>
      <c r="U562" t="s">
        <v>63</v>
      </c>
      <c r="V562" t="str">
        <f t="shared" si="32"/>
        <v>2026-05</v>
      </c>
      <c r="W562" t="str">
        <f t="shared" si="33"/>
        <v>8-14 days</v>
      </c>
      <c r="X562" t="str">
        <f t="shared" si="34"/>
        <v>Refund Issued</v>
      </c>
      <c r="Y562" t="str">
        <f t="shared" si="35"/>
        <v>Medium</v>
      </c>
    </row>
    <row r="563" spans="1:25" ht="27.6">
      <c r="A563" t="s">
        <v>1895</v>
      </c>
      <c r="B563" t="s">
        <v>1896</v>
      </c>
      <c r="C563" t="s">
        <v>1897</v>
      </c>
      <c r="D563" s="2">
        <v>46033</v>
      </c>
      <c r="E563" t="s">
        <v>24</v>
      </c>
      <c r="F563" t="s">
        <v>118</v>
      </c>
      <c r="G563" s="3">
        <v>13.08</v>
      </c>
      <c r="H563" t="s">
        <v>49</v>
      </c>
      <c r="I563" t="s">
        <v>50</v>
      </c>
      <c r="J563" s="4" t="s">
        <v>119</v>
      </c>
      <c r="K563" t="s">
        <v>29</v>
      </c>
      <c r="L563" t="s">
        <v>120</v>
      </c>
      <c r="M563" t="s">
        <v>96</v>
      </c>
      <c r="N563" t="s">
        <v>32</v>
      </c>
      <c r="O563">
        <v>5</v>
      </c>
      <c r="P563">
        <v>1</v>
      </c>
      <c r="Q563" t="s">
        <v>33</v>
      </c>
      <c r="R563" t="s">
        <v>85</v>
      </c>
      <c r="S563" s="3">
        <v>13.08</v>
      </c>
      <c r="T563" t="s">
        <v>121</v>
      </c>
      <c r="U563" t="s">
        <v>36</v>
      </c>
      <c r="V563" t="str">
        <f t="shared" si="32"/>
        <v>2026-01</v>
      </c>
      <c r="W563" t="str">
        <f t="shared" si="33"/>
        <v>0-3 days</v>
      </c>
      <c r="X563" t="str">
        <f t="shared" si="34"/>
        <v>Refund Issued</v>
      </c>
      <c r="Y563" t="str">
        <f t="shared" si="35"/>
        <v>High</v>
      </c>
    </row>
    <row r="564" spans="1:25" ht="27.6">
      <c r="A564" t="s">
        <v>1898</v>
      </c>
      <c r="B564" t="s">
        <v>1899</v>
      </c>
      <c r="C564" t="s">
        <v>1900</v>
      </c>
      <c r="D564" s="2">
        <v>46131</v>
      </c>
      <c r="E564" t="s">
        <v>94</v>
      </c>
      <c r="F564" t="s">
        <v>172</v>
      </c>
      <c r="G564" s="3">
        <v>21.19</v>
      </c>
      <c r="H564" t="s">
        <v>74</v>
      </c>
      <c r="I564" t="s">
        <v>50</v>
      </c>
      <c r="J564" s="4" t="s">
        <v>173</v>
      </c>
      <c r="K564" t="s">
        <v>29</v>
      </c>
      <c r="L564" t="s">
        <v>30</v>
      </c>
      <c r="M564" t="s">
        <v>31</v>
      </c>
      <c r="N564" t="s">
        <v>32</v>
      </c>
      <c r="O564">
        <v>7</v>
      </c>
      <c r="P564">
        <v>16</v>
      </c>
      <c r="Q564" t="s">
        <v>29</v>
      </c>
      <c r="R564" t="s">
        <v>174</v>
      </c>
      <c r="S564" s="3">
        <v>21.19</v>
      </c>
      <c r="T564" t="s">
        <v>110</v>
      </c>
      <c r="U564" t="s">
        <v>63</v>
      </c>
      <c r="V564" t="str">
        <f t="shared" si="32"/>
        <v>2026-04</v>
      </c>
      <c r="W564" t="str">
        <f t="shared" si="33"/>
        <v>15+ days</v>
      </c>
      <c r="X564" t="str">
        <f t="shared" si="34"/>
        <v>Refund Issued</v>
      </c>
      <c r="Y564" t="str">
        <f t="shared" si="35"/>
        <v>Medium</v>
      </c>
    </row>
    <row r="565" spans="1:25" ht="27.6">
      <c r="A565" t="s">
        <v>1901</v>
      </c>
      <c r="B565" t="s">
        <v>1902</v>
      </c>
      <c r="C565" t="s">
        <v>1903</v>
      </c>
      <c r="D565" s="2">
        <v>46032</v>
      </c>
      <c r="E565" t="s">
        <v>24</v>
      </c>
      <c r="F565" t="s">
        <v>118</v>
      </c>
      <c r="G565" s="3">
        <v>48.91</v>
      </c>
      <c r="H565" t="s">
        <v>41</v>
      </c>
      <c r="I565" t="s">
        <v>27</v>
      </c>
      <c r="J565" s="4" t="s">
        <v>1904</v>
      </c>
      <c r="K565" t="s">
        <v>33</v>
      </c>
      <c r="L565" t="s">
        <v>30</v>
      </c>
      <c r="M565" t="s">
        <v>31</v>
      </c>
      <c r="N565" t="s">
        <v>32</v>
      </c>
      <c r="O565">
        <v>5</v>
      </c>
      <c r="P565">
        <v>3</v>
      </c>
      <c r="Q565" t="s">
        <v>33</v>
      </c>
      <c r="R565" t="s">
        <v>85</v>
      </c>
      <c r="S565" s="3">
        <v>36.68</v>
      </c>
      <c r="T565" t="s">
        <v>121</v>
      </c>
      <c r="U565" t="s">
        <v>36</v>
      </c>
      <c r="V565" t="str">
        <f t="shared" si="32"/>
        <v>2026-01</v>
      </c>
      <c r="W565" t="str">
        <f t="shared" si="33"/>
        <v>0-3 days</v>
      </c>
      <c r="X565" t="str">
        <f t="shared" si="34"/>
        <v>Refund Issued</v>
      </c>
      <c r="Y565" t="str">
        <f t="shared" si="35"/>
        <v>High</v>
      </c>
    </row>
    <row r="566" spans="1:25" ht="27.6">
      <c r="A566" t="s">
        <v>1905</v>
      </c>
      <c r="B566" t="s">
        <v>1906</v>
      </c>
      <c r="C566" t="s">
        <v>1907</v>
      </c>
      <c r="D566" s="2">
        <v>46044</v>
      </c>
      <c r="E566" t="s">
        <v>94</v>
      </c>
      <c r="F566" t="s">
        <v>103</v>
      </c>
      <c r="G566" s="3">
        <v>12.6</v>
      </c>
      <c r="H566" t="s">
        <v>41</v>
      </c>
      <c r="I566" t="s">
        <v>67</v>
      </c>
      <c r="J566" s="4" t="s">
        <v>134</v>
      </c>
      <c r="K566" t="s">
        <v>29</v>
      </c>
      <c r="L566" t="s">
        <v>30</v>
      </c>
      <c r="M566" t="s">
        <v>31</v>
      </c>
      <c r="N566" t="s">
        <v>32</v>
      </c>
      <c r="O566">
        <v>5</v>
      </c>
      <c r="P566">
        <v>5</v>
      </c>
      <c r="Q566" t="s">
        <v>33</v>
      </c>
      <c r="R566" t="s">
        <v>34</v>
      </c>
      <c r="S566" s="3">
        <v>6.3</v>
      </c>
      <c r="T566" t="s">
        <v>35</v>
      </c>
      <c r="U566" t="s">
        <v>36</v>
      </c>
      <c r="V566" t="str">
        <f t="shared" si="32"/>
        <v>2026-01</v>
      </c>
      <c r="W566" t="str">
        <f t="shared" si="33"/>
        <v>4-7 days</v>
      </c>
      <c r="X566" t="str">
        <f t="shared" si="34"/>
        <v>Refund Issued</v>
      </c>
      <c r="Y566" t="str">
        <f t="shared" si="35"/>
        <v>Medium</v>
      </c>
    </row>
    <row r="567" spans="1:25" ht="27.6">
      <c r="A567" t="s">
        <v>1908</v>
      </c>
      <c r="B567" t="s">
        <v>1909</v>
      </c>
      <c r="C567" t="s">
        <v>1910</v>
      </c>
      <c r="D567" s="2">
        <v>46134</v>
      </c>
      <c r="E567" t="s">
        <v>24</v>
      </c>
      <c r="F567" t="s">
        <v>48</v>
      </c>
      <c r="G567" s="3">
        <v>24.42</v>
      </c>
      <c r="H567" t="s">
        <v>89</v>
      </c>
      <c r="I567" t="s">
        <v>27</v>
      </c>
      <c r="J567" s="4" t="s">
        <v>51</v>
      </c>
      <c r="K567" t="s">
        <v>29</v>
      </c>
      <c r="L567" t="s">
        <v>30</v>
      </c>
      <c r="M567" t="s">
        <v>31</v>
      </c>
      <c r="N567" t="s">
        <v>32</v>
      </c>
      <c r="O567">
        <v>10</v>
      </c>
      <c r="P567">
        <v>2</v>
      </c>
      <c r="Q567" t="s">
        <v>33</v>
      </c>
      <c r="R567" t="s">
        <v>34</v>
      </c>
      <c r="S567" s="3">
        <v>18.32</v>
      </c>
      <c r="T567" t="s">
        <v>69</v>
      </c>
      <c r="U567" t="s">
        <v>36</v>
      </c>
      <c r="V567" t="str">
        <f t="shared" si="32"/>
        <v>2026-04</v>
      </c>
      <c r="W567" t="str">
        <f t="shared" si="33"/>
        <v>0-3 days</v>
      </c>
      <c r="X567" t="str">
        <f t="shared" si="34"/>
        <v>Refund Issued</v>
      </c>
      <c r="Y567" t="str">
        <f t="shared" si="35"/>
        <v>Low</v>
      </c>
    </row>
    <row r="568" spans="1:25" ht="27.6">
      <c r="A568" t="s">
        <v>1911</v>
      </c>
      <c r="B568" t="s">
        <v>1912</v>
      </c>
      <c r="C568" t="s">
        <v>1913</v>
      </c>
      <c r="D568" s="2">
        <v>46025</v>
      </c>
      <c r="E568" t="s">
        <v>24</v>
      </c>
      <c r="F568" t="s">
        <v>48</v>
      </c>
      <c r="G568" s="3">
        <v>64.739999999999995</v>
      </c>
      <c r="H568" t="s">
        <v>89</v>
      </c>
      <c r="I568" t="s">
        <v>50</v>
      </c>
      <c r="J568" s="4" t="s">
        <v>51</v>
      </c>
      <c r="K568" t="s">
        <v>29</v>
      </c>
      <c r="L568" t="s">
        <v>30</v>
      </c>
      <c r="M568" t="s">
        <v>31</v>
      </c>
      <c r="N568" t="s">
        <v>32</v>
      </c>
      <c r="O568">
        <v>10</v>
      </c>
      <c r="P568">
        <v>8</v>
      </c>
      <c r="Q568" t="s">
        <v>33</v>
      </c>
      <c r="R568" t="s">
        <v>34</v>
      </c>
      <c r="S568" s="3">
        <v>48.55</v>
      </c>
      <c r="T568" t="s">
        <v>52</v>
      </c>
      <c r="U568" t="s">
        <v>63</v>
      </c>
      <c r="V568" t="str">
        <f t="shared" si="32"/>
        <v>2026-01</v>
      </c>
      <c r="W568" t="str">
        <f t="shared" si="33"/>
        <v>8-14 days</v>
      </c>
      <c r="X568" t="str">
        <f t="shared" si="34"/>
        <v>Refund Issued</v>
      </c>
      <c r="Y568" t="str">
        <f t="shared" si="35"/>
        <v>Low</v>
      </c>
    </row>
    <row r="569" spans="1:25" ht="27.6">
      <c r="A569" t="s">
        <v>1914</v>
      </c>
      <c r="B569" t="s">
        <v>1915</v>
      </c>
      <c r="C569" t="s">
        <v>1916</v>
      </c>
      <c r="D569" s="2">
        <v>46104</v>
      </c>
      <c r="E569" t="s">
        <v>94</v>
      </c>
      <c r="F569" t="s">
        <v>82</v>
      </c>
      <c r="G569" s="3">
        <v>16.899999999999999</v>
      </c>
      <c r="H569" t="s">
        <v>49</v>
      </c>
      <c r="I569" t="s">
        <v>50</v>
      </c>
      <c r="J569" s="4" t="s">
        <v>114</v>
      </c>
      <c r="K569" t="s">
        <v>29</v>
      </c>
      <c r="L569" t="s">
        <v>30</v>
      </c>
      <c r="M569" t="s">
        <v>31</v>
      </c>
      <c r="N569" t="s">
        <v>32</v>
      </c>
      <c r="O569">
        <v>7</v>
      </c>
      <c r="P569">
        <v>7</v>
      </c>
      <c r="Q569" t="s">
        <v>33</v>
      </c>
      <c r="R569" t="s">
        <v>85</v>
      </c>
      <c r="S569" s="3">
        <v>8.4499999999999993</v>
      </c>
      <c r="T569" t="s">
        <v>69</v>
      </c>
      <c r="U569" t="s">
        <v>53</v>
      </c>
      <c r="V569" t="str">
        <f t="shared" si="32"/>
        <v>2026-03</v>
      </c>
      <c r="W569" t="str">
        <f t="shared" si="33"/>
        <v>4-7 days</v>
      </c>
      <c r="X569" t="str">
        <f t="shared" si="34"/>
        <v>Refund Issued</v>
      </c>
      <c r="Y569" t="str">
        <f t="shared" si="35"/>
        <v>High</v>
      </c>
    </row>
    <row r="570" spans="1:25" ht="27.6">
      <c r="A570" t="s">
        <v>1917</v>
      </c>
      <c r="B570" t="s">
        <v>1918</v>
      </c>
      <c r="C570" t="s">
        <v>1919</v>
      </c>
      <c r="D570" s="2">
        <v>46168</v>
      </c>
      <c r="E570" t="s">
        <v>40</v>
      </c>
      <c r="F570" t="s">
        <v>25</v>
      </c>
      <c r="G570" s="3">
        <v>60.52</v>
      </c>
      <c r="H570" t="s">
        <v>89</v>
      </c>
      <c r="I570" t="s">
        <v>27</v>
      </c>
      <c r="J570" s="4" t="s">
        <v>1920</v>
      </c>
      <c r="K570" t="s">
        <v>29</v>
      </c>
      <c r="L570" t="s">
        <v>30</v>
      </c>
      <c r="M570" t="s">
        <v>31</v>
      </c>
      <c r="N570" t="s">
        <v>32</v>
      </c>
      <c r="O570">
        <v>5</v>
      </c>
      <c r="P570">
        <v>11</v>
      </c>
      <c r="Q570" t="s">
        <v>29</v>
      </c>
      <c r="R570" t="s">
        <v>34</v>
      </c>
      <c r="S570" s="3">
        <v>45.39</v>
      </c>
      <c r="T570" t="s">
        <v>43</v>
      </c>
      <c r="U570" t="s">
        <v>63</v>
      </c>
      <c r="V570" t="str">
        <f t="shared" si="32"/>
        <v>2026-05</v>
      </c>
      <c r="W570" t="str">
        <f t="shared" si="33"/>
        <v>8-14 days</v>
      </c>
      <c r="X570" t="str">
        <f t="shared" si="34"/>
        <v>Refund Issued</v>
      </c>
      <c r="Y570" t="str">
        <f t="shared" si="35"/>
        <v>High</v>
      </c>
    </row>
    <row r="571" spans="1:25" ht="27.6">
      <c r="A571" t="s">
        <v>1921</v>
      </c>
      <c r="B571" t="s">
        <v>1922</v>
      </c>
      <c r="C571" t="s">
        <v>1923</v>
      </c>
      <c r="D571" s="2">
        <v>46045</v>
      </c>
      <c r="E571" t="s">
        <v>94</v>
      </c>
      <c r="F571" t="s">
        <v>82</v>
      </c>
      <c r="G571" s="3">
        <v>29.96</v>
      </c>
      <c r="H571" t="s">
        <v>26</v>
      </c>
      <c r="I571" t="s">
        <v>27</v>
      </c>
      <c r="J571" s="4" t="s">
        <v>1924</v>
      </c>
      <c r="K571" t="s">
        <v>29</v>
      </c>
      <c r="L571" t="s">
        <v>30</v>
      </c>
      <c r="M571" t="s">
        <v>31</v>
      </c>
      <c r="N571" t="s">
        <v>32</v>
      </c>
      <c r="O571">
        <v>7</v>
      </c>
      <c r="P571">
        <v>5</v>
      </c>
      <c r="Q571" t="s">
        <v>33</v>
      </c>
      <c r="R571" t="s">
        <v>85</v>
      </c>
      <c r="S571" s="3">
        <v>29.96</v>
      </c>
      <c r="T571" t="s">
        <v>43</v>
      </c>
      <c r="U571" t="s">
        <v>36</v>
      </c>
      <c r="V571" t="str">
        <f t="shared" si="32"/>
        <v>2026-01</v>
      </c>
      <c r="W571" t="str">
        <f t="shared" si="33"/>
        <v>4-7 days</v>
      </c>
      <c r="X571" t="str">
        <f t="shared" si="34"/>
        <v>Refund Issued</v>
      </c>
      <c r="Y571" t="str">
        <f t="shared" si="35"/>
        <v>High</v>
      </c>
    </row>
    <row r="572" spans="1:25" ht="27.6">
      <c r="A572" t="s">
        <v>1925</v>
      </c>
      <c r="B572" t="s">
        <v>1926</v>
      </c>
      <c r="C572" t="s">
        <v>1927</v>
      </c>
      <c r="D572" s="2">
        <v>46153</v>
      </c>
      <c r="E572" t="s">
        <v>94</v>
      </c>
      <c r="F572" t="s">
        <v>25</v>
      </c>
      <c r="G572" s="3">
        <v>40.04</v>
      </c>
      <c r="H572" t="s">
        <v>58</v>
      </c>
      <c r="I572" t="s">
        <v>67</v>
      </c>
      <c r="J572" s="4" t="s">
        <v>42</v>
      </c>
      <c r="K572" t="s">
        <v>29</v>
      </c>
      <c r="L572" t="s">
        <v>30</v>
      </c>
      <c r="M572" t="s">
        <v>31</v>
      </c>
      <c r="N572" t="s">
        <v>84</v>
      </c>
      <c r="O572">
        <v>5</v>
      </c>
      <c r="P572">
        <v>7</v>
      </c>
      <c r="Q572" t="s">
        <v>29</v>
      </c>
      <c r="R572" t="s">
        <v>34</v>
      </c>
      <c r="S572" s="3">
        <v>0</v>
      </c>
      <c r="T572" t="s">
        <v>43</v>
      </c>
      <c r="U572" t="s">
        <v>63</v>
      </c>
      <c r="V572" t="str">
        <f t="shared" si="32"/>
        <v>2026-05</v>
      </c>
      <c r="W572" t="str">
        <f t="shared" si="33"/>
        <v>4-7 days</v>
      </c>
      <c r="X572" t="str">
        <f t="shared" si="34"/>
        <v>No Refund</v>
      </c>
      <c r="Y572" t="str">
        <f t="shared" si="35"/>
        <v>High</v>
      </c>
    </row>
    <row r="573" spans="1:25" ht="27.6">
      <c r="A573" t="s">
        <v>1928</v>
      </c>
      <c r="B573" t="s">
        <v>1929</v>
      </c>
      <c r="C573" t="s">
        <v>1930</v>
      </c>
      <c r="D573" s="2">
        <v>46111</v>
      </c>
      <c r="E573" t="s">
        <v>24</v>
      </c>
      <c r="F573" t="s">
        <v>103</v>
      </c>
      <c r="G573" s="3">
        <v>131.01</v>
      </c>
      <c r="H573" t="s">
        <v>89</v>
      </c>
      <c r="I573" t="s">
        <v>27</v>
      </c>
      <c r="J573" s="4" t="s">
        <v>134</v>
      </c>
      <c r="K573" t="s">
        <v>29</v>
      </c>
      <c r="L573" t="s">
        <v>30</v>
      </c>
      <c r="M573" t="s">
        <v>31</v>
      </c>
      <c r="N573" t="s">
        <v>32</v>
      </c>
      <c r="O573">
        <v>5</v>
      </c>
      <c r="P573">
        <v>6</v>
      </c>
      <c r="Q573" t="s">
        <v>29</v>
      </c>
      <c r="R573" t="s">
        <v>34</v>
      </c>
      <c r="S573" s="3">
        <v>0</v>
      </c>
      <c r="T573" t="s">
        <v>35</v>
      </c>
      <c r="U573" t="s">
        <v>63</v>
      </c>
      <c r="V573" t="str">
        <f t="shared" si="32"/>
        <v>2026-03</v>
      </c>
      <c r="W573" t="str">
        <f t="shared" si="33"/>
        <v>4-7 days</v>
      </c>
      <c r="X573" t="str">
        <f t="shared" si="34"/>
        <v>No Refund</v>
      </c>
      <c r="Y573" t="str">
        <f t="shared" si="35"/>
        <v>Medium</v>
      </c>
    </row>
    <row r="574" spans="1:25" ht="27.6">
      <c r="A574" t="s">
        <v>1931</v>
      </c>
      <c r="B574" t="s">
        <v>1932</v>
      </c>
      <c r="C574" t="s">
        <v>1933</v>
      </c>
      <c r="D574" s="2">
        <v>46116</v>
      </c>
      <c r="E574" t="s">
        <v>40</v>
      </c>
      <c r="F574" t="s">
        <v>172</v>
      </c>
      <c r="G574" s="3">
        <v>126.85</v>
      </c>
      <c r="H574" t="s">
        <v>108</v>
      </c>
      <c r="I574" t="s">
        <v>27</v>
      </c>
      <c r="J574" s="4" t="s">
        <v>173</v>
      </c>
      <c r="K574" t="s">
        <v>33</v>
      </c>
      <c r="L574" t="s">
        <v>30</v>
      </c>
      <c r="M574" t="s">
        <v>31</v>
      </c>
      <c r="N574" t="s">
        <v>32</v>
      </c>
      <c r="O574">
        <v>7</v>
      </c>
      <c r="P574">
        <v>12</v>
      </c>
      <c r="Q574" t="s">
        <v>29</v>
      </c>
      <c r="R574" t="s">
        <v>174</v>
      </c>
      <c r="S574" s="3">
        <v>0</v>
      </c>
      <c r="T574" t="s">
        <v>286</v>
      </c>
      <c r="U574" t="s">
        <v>63</v>
      </c>
      <c r="V574" t="str">
        <f t="shared" si="32"/>
        <v>2026-04</v>
      </c>
      <c r="W574" t="str">
        <f t="shared" si="33"/>
        <v>8-14 days</v>
      </c>
      <c r="X574" t="str">
        <f t="shared" si="34"/>
        <v>No Refund</v>
      </c>
      <c r="Y574" t="str">
        <f t="shared" si="35"/>
        <v>Medium</v>
      </c>
    </row>
    <row r="575" spans="1:25" ht="27.6">
      <c r="A575" t="s">
        <v>1934</v>
      </c>
      <c r="B575" t="s">
        <v>1935</v>
      </c>
      <c r="C575" t="s">
        <v>1936</v>
      </c>
      <c r="D575" s="2">
        <v>46146</v>
      </c>
      <c r="E575" t="s">
        <v>24</v>
      </c>
      <c r="F575" t="s">
        <v>118</v>
      </c>
      <c r="G575" s="3">
        <v>90.47</v>
      </c>
      <c r="H575" t="s">
        <v>74</v>
      </c>
      <c r="I575" t="s">
        <v>67</v>
      </c>
      <c r="J575" s="4" t="s">
        <v>1937</v>
      </c>
      <c r="K575" t="s">
        <v>33</v>
      </c>
      <c r="L575" t="s">
        <v>30</v>
      </c>
      <c r="M575" t="s">
        <v>31</v>
      </c>
      <c r="N575" t="s">
        <v>126</v>
      </c>
      <c r="O575">
        <v>5</v>
      </c>
      <c r="P575">
        <v>7</v>
      </c>
      <c r="Q575" t="s">
        <v>29</v>
      </c>
      <c r="R575" t="s">
        <v>85</v>
      </c>
      <c r="S575" s="3">
        <v>0</v>
      </c>
      <c r="T575" t="s">
        <v>121</v>
      </c>
      <c r="U575" t="s">
        <v>63</v>
      </c>
      <c r="V575" t="str">
        <f t="shared" si="32"/>
        <v>2026-05</v>
      </c>
      <c r="W575" t="str">
        <f t="shared" si="33"/>
        <v>4-7 days</v>
      </c>
      <c r="X575" t="str">
        <f t="shared" si="34"/>
        <v>No Refund</v>
      </c>
      <c r="Y575" t="str">
        <f t="shared" si="35"/>
        <v>High</v>
      </c>
    </row>
    <row r="576" spans="1:25" ht="27.6">
      <c r="A576" t="s">
        <v>1938</v>
      </c>
      <c r="B576" t="s">
        <v>1939</v>
      </c>
      <c r="C576" t="s">
        <v>1940</v>
      </c>
      <c r="D576" s="2">
        <v>46147</v>
      </c>
      <c r="E576" t="s">
        <v>24</v>
      </c>
      <c r="F576" t="s">
        <v>25</v>
      </c>
      <c r="G576" s="3">
        <v>37.25</v>
      </c>
      <c r="H576" t="s">
        <v>26</v>
      </c>
      <c r="I576" t="s">
        <v>27</v>
      </c>
      <c r="J576" s="4" t="s">
        <v>1941</v>
      </c>
      <c r="K576" t="s">
        <v>33</v>
      </c>
      <c r="L576" t="s">
        <v>30</v>
      </c>
      <c r="M576" t="s">
        <v>31</v>
      </c>
      <c r="N576" t="s">
        <v>32</v>
      </c>
      <c r="O576">
        <v>5</v>
      </c>
      <c r="P576">
        <v>8</v>
      </c>
      <c r="Q576" t="s">
        <v>29</v>
      </c>
      <c r="R576" t="s">
        <v>34</v>
      </c>
      <c r="S576" s="3">
        <v>37.25</v>
      </c>
      <c r="T576" t="s">
        <v>110</v>
      </c>
      <c r="U576" t="s">
        <v>63</v>
      </c>
      <c r="V576" t="str">
        <f t="shared" si="32"/>
        <v>2026-05</v>
      </c>
      <c r="W576" t="str">
        <f t="shared" si="33"/>
        <v>8-14 days</v>
      </c>
      <c r="X576" t="str">
        <f t="shared" si="34"/>
        <v>Refund Issued</v>
      </c>
      <c r="Y576" t="str">
        <f t="shared" si="35"/>
        <v>High</v>
      </c>
    </row>
    <row r="577" spans="1:25" ht="27.6">
      <c r="A577" t="s">
        <v>1942</v>
      </c>
      <c r="B577" t="s">
        <v>1943</v>
      </c>
      <c r="C577" t="s">
        <v>1944</v>
      </c>
      <c r="D577" s="2">
        <v>46147</v>
      </c>
      <c r="E577" t="s">
        <v>24</v>
      </c>
      <c r="F577" t="s">
        <v>57</v>
      </c>
      <c r="G577" s="3">
        <v>20.32</v>
      </c>
      <c r="H577" t="s">
        <v>41</v>
      </c>
      <c r="I577" t="s">
        <v>27</v>
      </c>
      <c r="J577" s="4" t="s">
        <v>155</v>
      </c>
      <c r="K577" t="s">
        <v>29</v>
      </c>
      <c r="L577" t="s">
        <v>60</v>
      </c>
      <c r="M577" t="s">
        <v>31</v>
      </c>
      <c r="N577" t="s">
        <v>32</v>
      </c>
      <c r="O577">
        <v>10</v>
      </c>
      <c r="P577">
        <v>11</v>
      </c>
      <c r="Q577" t="s">
        <v>29</v>
      </c>
      <c r="R577" t="s">
        <v>61</v>
      </c>
      <c r="S577" s="3">
        <v>15.24</v>
      </c>
      <c r="T577" t="s">
        <v>156</v>
      </c>
      <c r="U577" t="s">
        <v>63</v>
      </c>
      <c r="V577" t="str">
        <f t="shared" si="32"/>
        <v>2026-05</v>
      </c>
      <c r="W577" t="str">
        <f t="shared" si="33"/>
        <v>8-14 days</v>
      </c>
      <c r="X577" t="str">
        <f t="shared" si="34"/>
        <v>Refund Issued</v>
      </c>
      <c r="Y577" t="str">
        <f t="shared" si="35"/>
        <v>Low</v>
      </c>
    </row>
    <row r="578" spans="1:25" ht="27.6">
      <c r="A578" t="s">
        <v>1945</v>
      </c>
      <c r="B578" t="s">
        <v>1946</v>
      </c>
      <c r="C578" t="s">
        <v>1947</v>
      </c>
      <c r="D578" s="2">
        <v>46113</v>
      </c>
      <c r="E578" t="s">
        <v>40</v>
      </c>
      <c r="F578" t="s">
        <v>25</v>
      </c>
      <c r="G578" s="3">
        <v>18.29</v>
      </c>
      <c r="H578" t="s">
        <v>74</v>
      </c>
      <c r="I578" t="s">
        <v>27</v>
      </c>
      <c r="J578" s="4" t="s">
        <v>42</v>
      </c>
      <c r="K578" t="s">
        <v>33</v>
      </c>
      <c r="L578" t="s">
        <v>30</v>
      </c>
      <c r="M578" t="s">
        <v>31</v>
      </c>
      <c r="N578" t="s">
        <v>32</v>
      </c>
      <c r="O578">
        <v>5</v>
      </c>
      <c r="P578">
        <v>10</v>
      </c>
      <c r="Q578" t="s">
        <v>29</v>
      </c>
      <c r="R578" t="s">
        <v>34</v>
      </c>
      <c r="S578" s="3">
        <v>0</v>
      </c>
      <c r="T578" t="s">
        <v>110</v>
      </c>
      <c r="U578" t="s">
        <v>63</v>
      </c>
      <c r="V578" t="str">
        <f t="shared" ref="V578:V641" si="36">TEXT(D578,"yyyy-mm")</f>
        <v>2026-04</v>
      </c>
      <c r="W578" t="str">
        <f t="shared" ref="W578:W641" si="37">IF(P578&lt;=3,"0-3 days",IF(P578&lt;=7,"4-7 days",IF(P578&lt;=14,"8-14 days","15+ days")))</f>
        <v>8-14 days</v>
      </c>
      <c r="X578" t="str">
        <f t="shared" ref="X578:X641" si="38">IF(S578&gt;0,"Refund Issued","No Refund")</f>
        <v>No Refund</v>
      </c>
      <c r="Y578" t="str">
        <f t="shared" ref="Y578:Y641" si="39">IF(OR(F578="Failed Payment",F578="Duplicate Debit",F578="Refund Delay"),"High",IF(OR(F578="Merchant Not Credited",F578="Wrong Amount Debited"),"Medium","Low"))</f>
        <v>High</v>
      </c>
    </row>
    <row r="579" spans="1:25" ht="27.6">
      <c r="A579" t="s">
        <v>1948</v>
      </c>
      <c r="B579" t="s">
        <v>1949</v>
      </c>
      <c r="C579" t="s">
        <v>1950</v>
      </c>
      <c r="D579" s="2">
        <v>46148</v>
      </c>
      <c r="E579" t="s">
        <v>47</v>
      </c>
      <c r="F579" t="s">
        <v>57</v>
      </c>
      <c r="G579" s="3">
        <v>64.260000000000005</v>
      </c>
      <c r="H579" t="s">
        <v>49</v>
      </c>
      <c r="I579" t="s">
        <v>67</v>
      </c>
      <c r="J579" s="4" t="s">
        <v>59</v>
      </c>
      <c r="K579" t="s">
        <v>29</v>
      </c>
      <c r="L579" t="s">
        <v>60</v>
      </c>
      <c r="M579" t="s">
        <v>31</v>
      </c>
      <c r="N579" t="s">
        <v>90</v>
      </c>
      <c r="O579">
        <v>10</v>
      </c>
      <c r="P579">
        <v>12</v>
      </c>
      <c r="Q579" t="s">
        <v>29</v>
      </c>
      <c r="R579" t="s">
        <v>61</v>
      </c>
      <c r="S579" s="3">
        <v>0</v>
      </c>
      <c r="T579" t="s">
        <v>62</v>
      </c>
      <c r="U579" t="s">
        <v>63</v>
      </c>
      <c r="V579" t="str">
        <f t="shared" si="36"/>
        <v>2026-05</v>
      </c>
      <c r="W579" t="str">
        <f t="shared" si="37"/>
        <v>8-14 days</v>
      </c>
      <c r="X579" t="str">
        <f t="shared" si="38"/>
        <v>No Refund</v>
      </c>
      <c r="Y579" t="str">
        <f t="shared" si="39"/>
        <v>Low</v>
      </c>
    </row>
    <row r="580" spans="1:25" ht="27.6">
      <c r="A580" t="s">
        <v>1951</v>
      </c>
      <c r="B580" t="s">
        <v>1952</v>
      </c>
      <c r="C580" t="s">
        <v>1953</v>
      </c>
      <c r="D580" s="2">
        <v>46028</v>
      </c>
      <c r="E580" t="s">
        <v>24</v>
      </c>
      <c r="F580" t="s">
        <v>82</v>
      </c>
      <c r="G580" s="3">
        <v>31.36</v>
      </c>
      <c r="H580" t="s">
        <v>26</v>
      </c>
      <c r="I580" t="s">
        <v>27</v>
      </c>
      <c r="J580" s="4" t="s">
        <v>114</v>
      </c>
      <c r="K580" t="s">
        <v>29</v>
      </c>
      <c r="L580" t="s">
        <v>30</v>
      </c>
      <c r="M580" t="s">
        <v>31</v>
      </c>
      <c r="N580" t="s">
        <v>32</v>
      </c>
      <c r="O580">
        <v>7</v>
      </c>
      <c r="P580">
        <v>8</v>
      </c>
      <c r="Q580" t="s">
        <v>29</v>
      </c>
      <c r="R580" t="s">
        <v>85</v>
      </c>
      <c r="S580" s="3">
        <v>0</v>
      </c>
      <c r="T580" t="s">
        <v>69</v>
      </c>
      <c r="U580" t="s">
        <v>63</v>
      </c>
      <c r="V580" t="str">
        <f t="shared" si="36"/>
        <v>2026-01</v>
      </c>
      <c r="W580" t="str">
        <f t="shared" si="37"/>
        <v>8-14 days</v>
      </c>
      <c r="X580" t="str">
        <f t="shared" si="38"/>
        <v>No Refund</v>
      </c>
      <c r="Y580" t="str">
        <f t="shared" si="39"/>
        <v>High</v>
      </c>
    </row>
    <row r="581" spans="1:25" ht="27.6">
      <c r="A581" t="s">
        <v>1954</v>
      </c>
      <c r="B581" t="s">
        <v>788</v>
      </c>
      <c r="C581" t="s">
        <v>1955</v>
      </c>
      <c r="D581" s="2">
        <v>46052</v>
      </c>
      <c r="E581" t="s">
        <v>94</v>
      </c>
      <c r="F581" t="s">
        <v>48</v>
      </c>
      <c r="G581" s="3">
        <v>5.19</v>
      </c>
      <c r="H581" t="s">
        <v>74</v>
      </c>
      <c r="I581" t="s">
        <v>27</v>
      </c>
      <c r="J581" s="4" t="s">
        <v>51</v>
      </c>
      <c r="K581" t="s">
        <v>33</v>
      </c>
      <c r="L581" t="s">
        <v>30</v>
      </c>
      <c r="M581" t="s">
        <v>31</v>
      </c>
      <c r="N581" t="s">
        <v>32</v>
      </c>
      <c r="O581">
        <v>10</v>
      </c>
      <c r="P581">
        <v>10</v>
      </c>
      <c r="Q581" t="s">
        <v>33</v>
      </c>
      <c r="R581" t="s">
        <v>34</v>
      </c>
      <c r="S581" s="3">
        <v>2.6</v>
      </c>
      <c r="T581" t="s">
        <v>69</v>
      </c>
      <c r="U581" t="s">
        <v>63</v>
      </c>
      <c r="V581" t="str">
        <f t="shared" si="36"/>
        <v>2026-01</v>
      </c>
      <c r="W581" t="str">
        <f t="shared" si="37"/>
        <v>8-14 days</v>
      </c>
      <c r="X581" t="str">
        <f t="shared" si="38"/>
        <v>Refund Issued</v>
      </c>
      <c r="Y581" t="str">
        <f t="shared" si="39"/>
        <v>Low</v>
      </c>
    </row>
    <row r="582" spans="1:25" ht="27.6">
      <c r="A582" t="s">
        <v>1956</v>
      </c>
      <c r="B582" t="s">
        <v>1957</v>
      </c>
      <c r="C582" t="s">
        <v>1958</v>
      </c>
      <c r="D582" s="2">
        <v>46053</v>
      </c>
      <c r="E582" t="s">
        <v>24</v>
      </c>
      <c r="F582" t="s">
        <v>25</v>
      </c>
      <c r="G582" s="3">
        <v>30.56</v>
      </c>
      <c r="H582" t="s">
        <v>26</v>
      </c>
      <c r="I582" t="s">
        <v>67</v>
      </c>
      <c r="J582" s="4" t="s">
        <v>42</v>
      </c>
      <c r="K582" t="s">
        <v>29</v>
      </c>
      <c r="L582" t="s">
        <v>30</v>
      </c>
      <c r="M582" t="s">
        <v>31</v>
      </c>
      <c r="N582" t="s">
        <v>32</v>
      </c>
      <c r="O582">
        <v>5</v>
      </c>
      <c r="P582">
        <v>4</v>
      </c>
      <c r="Q582" t="s">
        <v>33</v>
      </c>
      <c r="R582" t="s">
        <v>34</v>
      </c>
      <c r="S582" s="3">
        <v>22.92</v>
      </c>
      <c r="T582" t="s">
        <v>35</v>
      </c>
      <c r="U582" t="s">
        <v>53</v>
      </c>
      <c r="V582" t="str">
        <f t="shared" si="36"/>
        <v>2026-01</v>
      </c>
      <c r="W582" t="str">
        <f t="shared" si="37"/>
        <v>4-7 days</v>
      </c>
      <c r="X582" t="str">
        <f t="shared" si="38"/>
        <v>Refund Issued</v>
      </c>
      <c r="Y582" t="str">
        <f t="shared" si="39"/>
        <v>High</v>
      </c>
    </row>
    <row r="583" spans="1:25" ht="27.6">
      <c r="A583" t="s">
        <v>1959</v>
      </c>
      <c r="B583" t="s">
        <v>1960</v>
      </c>
      <c r="C583" t="s">
        <v>1961</v>
      </c>
      <c r="D583" s="2">
        <v>46051</v>
      </c>
      <c r="E583" t="s">
        <v>24</v>
      </c>
      <c r="F583" t="s">
        <v>118</v>
      </c>
      <c r="G583" s="3">
        <v>27.85</v>
      </c>
      <c r="H583" t="s">
        <v>41</v>
      </c>
      <c r="I583" t="s">
        <v>67</v>
      </c>
      <c r="J583" s="4" t="s">
        <v>119</v>
      </c>
      <c r="K583" t="s">
        <v>29</v>
      </c>
      <c r="L583" t="s">
        <v>120</v>
      </c>
      <c r="M583" t="s">
        <v>96</v>
      </c>
      <c r="N583" t="s">
        <v>32</v>
      </c>
      <c r="O583">
        <v>5</v>
      </c>
      <c r="P583">
        <v>6</v>
      </c>
      <c r="Q583" t="s">
        <v>29</v>
      </c>
      <c r="R583" t="s">
        <v>85</v>
      </c>
      <c r="S583" s="3">
        <v>27.85</v>
      </c>
      <c r="T583" t="s">
        <v>121</v>
      </c>
      <c r="U583" t="s">
        <v>63</v>
      </c>
      <c r="V583" t="str">
        <f t="shared" si="36"/>
        <v>2026-01</v>
      </c>
      <c r="W583" t="str">
        <f t="shared" si="37"/>
        <v>4-7 days</v>
      </c>
      <c r="X583" t="str">
        <f t="shared" si="38"/>
        <v>Refund Issued</v>
      </c>
      <c r="Y583" t="str">
        <f t="shared" si="39"/>
        <v>High</v>
      </c>
    </row>
    <row r="584" spans="1:25" ht="27.6">
      <c r="A584" t="s">
        <v>1962</v>
      </c>
      <c r="B584" t="s">
        <v>1963</v>
      </c>
      <c r="C584" t="s">
        <v>1964</v>
      </c>
      <c r="D584" s="2">
        <v>46143</v>
      </c>
      <c r="E584" t="s">
        <v>24</v>
      </c>
      <c r="F584" t="s">
        <v>172</v>
      </c>
      <c r="G584" s="3">
        <v>35.35</v>
      </c>
      <c r="H584" t="s">
        <v>108</v>
      </c>
      <c r="I584" t="s">
        <v>27</v>
      </c>
      <c r="J584" s="4" t="s">
        <v>285</v>
      </c>
      <c r="K584" t="s">
        <v>29</v>
      </c>
      <c r="L584" t="s">
        <v>30</v>
      </c>
      <c r="M584" t="s">
        <v>31</v>
      </c>
      <c r="N584" t="s">
        <v>32</v>
      </c>
      <c r="O584">
        <v>7</v>
      </c>
      <c r="P584">
        <v>5</v>
      </c>
      <c r="Q584" t="s">
        <v>33</v>
      </c>
      <c r="R584" t="s">
        <v>174</v>
      </c>
      <c r="S584" s="3">
        <v>26.51</v>
      </c>
      <c r="T584" t="s">
        <v>69</v>
      </c>
      <c r="U584" t="s">
        <v>36</v>
      </c>
      <c r="V584" t="str">
        <f t="shared" si="36"/>
        <v>2026-05</v>
      </c>
      <c r="W584" t="str">
        <f t="shared" si="37"/>
        <v>4-7 days</v>
      </c>
      <c r="X584" t="str">
        <f t="shared" si="38"/>
        <v>Refund Issued</v>
      </c>
      <c r="Y584" t="str">
        <f t="shared" si="39"/>
        <v>Medium</v>
      </c>
    </row>
    <row r="585" spans="1:25" ht="27.6">
      <c r="A585" t="s">
        <v>1965</v>
      </c>
      <c r="B585" t="s">
        <v>1966</v>
      </c>
      <c r="C585" t="s">
        <v>1967</v>
      </c>
      <c r="D585" s="2">
        <v>46093</v>
      </c>
      <c r="E585" t="s">
        <v>24</v>
      </c>
      <c r="F585" t="s">
        <v>82</v>
      </c>
      <c r="G585" s="3">
        <v>60.47</v>
      </c>
      <c r="H585" t="s">
        <v>89</v>
      </c>
      <c r="I585" t="s">
        <v>67</v>
      </c>
      <c r="J585" s="4" t="s">
        <v>1968</v>
      </c>
      <c r="K585" t="s">
        <v>33</v>
      </c>
      <c r="L585" t="s">
        <v>30</v>
      </c>
      <c r="M585" t="s">
        <v>31</v>
      </c>
      <c r="N585" t="s">
        <v>32</v>
      </c>
      <c r="O585">
        <v>7</v>
      </c>
      <c r="P585">
        <v>5</v>
      </c>
      <c r="Q585" t="s">
        <v>33</v>
      </c>
      <c r="R585" t="s">
        <v>85</v>
      </c>
      <c r="S585" s="3">
        <v>30.23</v>
      </c>
      <c r="T585" t="s">
        <v>43</v>
      </c>
      <c r="U585" t="s">
        <v>53</v>
      </c>
      <c r="V585" t="str">
        <f t="shared" si="36"/>
        <v>2026-03</v>
      </c>
      <c r="W585" t="str">
        <f t="shared" si="37"/>
        <v>4-7 days</v>
      </c>
      <c r="X585" t="str">
        <f t="shared" si="38"/>
        <v>Refund Issued</v>
      </c>
      <c r="Y585" t="str">
        <f t="shared" si="39"/>
        <v>High</v>
      </c>
    </row>
    <row r="586" spans="1:25" ht="27.6">
      <c r="A586" t="s">
        <v>1969</v>
      </c>
      <c r="B586" t="s">
        <v>1691</v>
      </c>
      <c r="C586" t="s">
        <v>1970</v>
      </c>
      <c r="D586" s="2">
        <v>46144</v>
      </c>
      <c r="E586" t="s">
        <v>94</v>
      </c>
      <c r="F586" t="s">
        <v>118</v>
      </c>
      <c r="G586" s="3">
        <v>56.64</v>
      </c>
      <c r="H586" t="s">
        <v>74</v>
      </c>
      <c r="I586" t="s">
        <v>27</v>
      </c>
      <c r="J586" s="4" t="s">
        <v>119</v>
      </c>
      <c r="K586" t="s">
        <v>33</v>
      </c>
      <c r="L586" t="s">
        <v>120</v>
      </c>
      <c r="M586" t="s">
        <v>96</v>
      </c>
      <c r="N586" t="s">
        <v>126</v>
      </c>
      <c r="O586">
        <v>5</v>
      </c>
      <c r="P586">
        <v>6</v>
      </c>
      <c r="Q586" t="s">
        <v>29</v>
      </c>
      <c r="R586" t="s">
        <v>85</v>
      </c>
      <c r="S586" s="3">
        <v>0</v>
      </c>
      <c r="T586" t="s">
        <v>121</v>
      </c>
      <c r="U586" t="s">
        <v>63</v>
      </c>
      <c r="V586" t="str">
        <f t="shared" si="36"/>
        <v>2026-05</v>
      </c>
      <c r="W586" t="str">
        <f t="shared" si="37"/>
        <v>4-7 days</v>
      </c>
      <c r="X586" t="str">
        <f t="shared" si="38"/>
        <v>No Refund</v>
      </c>
      <c r="Y586" t="str">
        <f t="shared" si="39"/>
        <v>High</v>
      </c>
    </row>
    <row r="587" spans="1:25" ht="27.6">
      <c r="A587" t="s">
        <v>1971</v>
      </c>
      <c r="B587" t="s">
        <v>1972</v>
      </c>
      <c r="C587" t="s">
        <v>1973</v>
      </c>
      <c r="D587" s="2">
        <v>46053</v>
      </c>
      <c r="E587" t="s">
        <v>94</v>
      </c>
      <c r="F587" t="s">
        <v>25</v>
      </c>
      <c r="G587" s="3">
        <v>7.24</v>
      </c>
      <c r="H587" t="s">
        <v>89</v>
      </c>
      <c r="I587" t="s">
        <v>67</v>
      </c>
      <c r="J587" s="4" t="s">
        <v>1974</v>
      </c>
      <c r="K587" t="s">
        <v>29</v>
      </c>
      <c r="L587" t="s">
        <v>30</v>
      </c>
      <c r="M587" t="s">
        <v>31</v>
      </c>
      <c r="N587" t="s">
        <v>32</v>
      </c>
      <c r="O587">
        <v>5</v>
      </c>
      <c r="P587">
        <v>2</v>
      </c>
      <c r="Q587" t="s">
        <v>33</v>
      </c>
      <c r="R587" t="s">
        <v>34</v>
      </c>
      <c r="S587" s="3">
        <v>3.62</v>
      </c>
      <c r="T587" t="s">
        <v>43</v>
      </c>
      <c r="U587" t="s">
        <v>53</v>
      </c>
      <c r="V587" t="str">
        <f t="shared" si="36"/>
        <v>2026-01</v>
      </c>
      <c r="W587" t="str">
        <f t="shared" si="37"/>
        <v>0-3 days</v>
      </c>
      <c r="X587" t="str">
        <f t="shared" si="38"/>
        <v>Refund Issued</v>
      </c>
      <c r="Y587" t="str">
        <f t="shared" si="39"/>
        <v>High</v>
      </c>
    </row>
    <row r="588" spans="1:25" ht="27.6">
      <c r="A588" t="s">
        <v>1975</v>
      </c>
      <c r="B588" t="s">
        <v>1976</v>
      </c>
      <c r="C588" t="s">
        <v>1977</v>
      </c>
      <c r="D588" s="2">
        <v>46159</v>
      </c>
      <c r="E588" t="s">
        <v>94</v>
      </c>
      <c r="F588" t="s">
        <v>48</v>
      </c>
      <c r="G588" s="3">
        <v>5.72</v>
      </c>
      <c r="H588" t="s">
        <v>108</v>
      </c>
      <c r="I588" t="s">
        <v>50</v>
      </c>
      <c r="J588" s="4" t="s">
        <v>68</v>
      </c>
      <c r="K588" t="s">
        <v>29</v>
      </c>
      <c r="L588" t="s">
        <v>30</v>
      </c>
      <c r="M588" t="s">
        <v>31</v>
      </c>
      <c r="N588" t="s">
        <v>32</v>
      </c>
      <c r="O588">
        <v>10</v>
      </c>
      <c r="P588">
        <v>5</v>
      </c>
      <c r="Q588" t="s">
        <v>33</v>
      </c>
      <c r="R588" t="s">
        <v>34</v>
      </c>
      <c r="S588" s="3">
        <v>5.72</v>
      </c>
      <c r="T588" t="s">
        <v>62</v>
      </c>
      <c r="U588" t="s">
        <v>53</v>
      </c>
      <c r="V588" t="str">
        <f t="shared" si="36"/>
        <v>2026-05</v>
      </c>
      <c r="W588" t="str">
        <f t="shared" si="37"/>
        <v>4-7 days</v>
      </c>
      <c r="X588" t="str">
        <f t="shared" si="38"/>
        <v>Refund Issued</v>
      </c>
      <c r="Y588" t="str">
        <f t="shared" si="39"/>
        <v>Low</v>
      </c>
    </row>
    <row r="589" spans="1:25" ht="27.6">
      <c r="A589" t="s">
        <v>1978</v>
      </c>
      <c r="B589" t="s">
        <v>1979</v>
      </c>
      <c r="C589" t="s">
        <v>1980</v>
      </c>
      <c r="D589" s="2">
        <v>46157</v>
      </c>
      <c r="E589" t="s">
        <v>24</v>
      </c>
      <c r="F589" t="s">
        <v>73</v>
      </c>
      <c r="G589" s="3">
        <v>26.95</v>
      </c>
      <c r="H589" t="s">
        <v>26</v>
      </c>
      <c r="I589" t="s">
        <v>27</v>
      </c>
      <c r="J589" s="4" t="s">
        <v>389</v>
      </c>
      <c r="K589" t="s">
        <v>29</v>
      </c>
      <c r="L589" t="s">
        <v>60</v>
      </c>
      <c r="M589" t="s">
        <v>31</v>
      </c>
      <c r="N589" t="s">
        <v>32</v>
      </c>
      <c r="O589">
        <v>10</v>
      </c>
      <c r="P589">
        <v>12</v>
      </c>
      <c r="Q589" t="s">
        <v>29</v>
      </c>
      <c r="R589" t="s">
        <v>61</v>
      </c>
      <c r="S589" s="3">
        <v>0</v>
      </c>
      <c r="T589" t="s">
        <v>156</v>
      </c>
      <c r="U589" t="s">
        <v>63</v>
      </c>
      <c r="V589" t="str">
        <f t="shared" si="36"/>
        <v>2026-05</v>
      </c>
      <c r="W589" t="str">
        <f t="shared" si="37"/>
        <v>8-14 days</v>
      </c>
      <c r="X589" t="str">
        <f t="shared" si="38"/>
        <v>No Refund</v>
      </c>
      <c r="Y589" t="str">
        <f t="shared" si="39"/>
        <v>Low</v>
      </c>
    </row>
    <row r="590" spans="1:25" ht="27.6">
      <c r="A590" t="s">
        <v>1981</v>
      </c>
      <c r="B590" t="s">
        <v>1982</v>
      </c>
      <c r="C590" t="s">
        <v>1983</v>
      </c>
      <c r="D590" s="2">
        <v>46036</v>
      </c>
      <c r="E590" t="s">
        <v>40</v>
      </c>
      <c r="F590" t="s">
        <v>118</v>
      </c>
      <c r="G590" s="3">
        <v>111.42</v>
      </c>
      <c r="H590" t="s">
        <v>26</v>
      </c>
      <c r="I590" t="s">
        <v>50</v>
      </c>
      <c r="J590" s="4" t="s">
        <v>1984</v>
      </c>
      <c r="K590" t="s">
        <v>33</v>
      </c>
      <c r="L590" t="s">
        <v>120</v>
      </c>
      <c r="M590" t="s">
        <v>96</v>
      </c>
      <c r="N590" t="s">
        <v>126</v>
      </c>
      <c r="O590">
        <v>5</v>
      </c>
      <c r="P590">
        <v>5</v>
      </c>
      <c r="Q590" t="s">
        <v>33</v>
      </c>
      <c r="R590" t="s">
        <v>85</v>
      </c>
      <c r="S590" s="3">
        <v>0</v>
      </c>
      <c r="T590" t="s">
        <v>121</v>
      </c>
      <c r="U590" t="s">
        <v>36</v>
      </c>
      <c r="V590" t="str">
        <f t="shared" si="36"/>
        <v>2026-01</v>
      </c>
      <c r="W590" t="str">
        <f t="shared" si="37"/>
        <v>4-7 days</v>
      </c>
      <c r="X590" t="str">
        <f t="shared" si="38"/>
        <v>No Refund</v>
      </c>
      <c r="Y590" t="str">
        <f t="shared" si="39"/>
        <v>High</v>
      </c>
    </row>
    <row r="591" spans="1:25" ht="27.6">
      <c r="A591" t="s">
        <v>1985</v>
      </c>
      <c r="B591" t="s">
        <v>1986</v>
      </c>
      <c r="C591" t="s">
        <v>1987</v>
      </c>
      <c r="D591" s="2">
        <v>46098</v>
      </c>
      <c r="E591" t="s">
        <v>24</v>
      </c>
      <c r="F591" t="s">
        <v>25</v>
      </c>
      <c r="G591" s="3">
        <v>526.97</v>
      </c>
      <c r="H591" t="s">
        <v>49</v>
      </c>
      <c r="I591" t="s">
        <v>67</v>
      </c>
      <c r="J591" s="4" t="s">
        <v>42</v>
      </c>
      <c r="K591" t="s">
        <v>29</v>
      </c>
      <c r="L591" t="s">
        <v>60</v>
      </c>
      <c r="M591" t="s">
        <v>31</v>
      </c>
      <c r="N591" t="s">
        <v>32</v>
      </c>
      <c r="O591">
        <v>5</v>
      </c>
      <c r="P591">
        <v>8</v>
      </c>
      <c r="Q591" t="s">
        <v>29</v>
      </c>
      <c r="R591" t="s">
        <v>34</v>
      </c>
      <c r="S591" s="3">
        <v>526.97</v>
      </c>
      <c r="T591" t="s">
        <v>35</v>
      </c>
      <c r="U591" t="s">
        <v>63</v>
      </c>
      <c r="V591" t="str">
        <f t="shared" si="36"/>
        <v>2026-03</v>
      </c>
      <c r="W591" t="str">
        <f t="shared" si="37"/>
        <v>8-14 days</v>
      </c>
      <c r="X591" t="str">
        <f t="shared" si="38"/>
        <v>Refund Issued</v>
      </c>
      <c r="Y591" t="str">
        <f t="shared" si="39"/>
        <v>High</v>
      </c>
    </row>
    <row r="592" spans="1:25" ht="27.6">
      <c r="A592" t="s">
        <v>1988</v>
      </c>
      <c r="B592" t="s">
        <v>1989</v>
      </c>
      <c r="C592" t="s">
        <v>1990</v>
      </c>
      <c r="D592" s="2">
        <v>46136</v>
      </c>
      <c r="E592" t="s">
        <v>24</v>
      </c>
      <c r="F592" t="s">
        <v>118</v>
      </c>
      <c r="G592" s="3">
        <v>75.14</v>
      </c>
      <c r="H592" t="s">
        <v>49</v>
      </c>
      <c r="I592" t="s">
        <v>27</v>
      </c>
      <c r="J592" s="4" t="s">
        <v>1991</v>
      </c>
      <c r="K592" t="s">
        <v>29</v>
      </c>
      <c r="L592" t="s">
        <v>120</v>
      </c>
      <c r="M592" t="s">
        <v>96</v>
      </c>
      <c r="N592" t="s">
        <v>32</v>
      </c>
      <c r="O592">
        <v>5</v>
      </c>
      <c r="P592">
        <v>2</v>
      </c>
      <c r="Q592" t="s">
        <v>33</v>
      </c>
      <c r="R592" t="s">
        <v>85</v>
      </c>
      <c r="S592" s="3">
        <v>75.14</v>
      </c>
      <c r="T592" t="s">
        <v>121</v>
      </c>
      <c r="U592" t="s">
        <v>36</v>
      </c>
      <c r="V592" t="str">
        <f t="shared" si="36"/>
        <v>2026-04</v>
      </c>
      <c r="W592" t="str">
        <f t="shared" si="37"/>
        <v>0-3 days</v>
      </c>
      <c r="X592" t="str">
        <f t="shared" si="38"/>
        <v>Refund Issued</v>
      </c>
      <c r="Y592" t="str">
        <f t="shared" si="39"/>
        <v>High</v>
      </c>
    </row>
    <row r="593" spans="1:25" ht="27.6">
      <c r="A593" t="s">
        <v>1992</v>
      </c>
      <c r="B593" t="s">
        <v>1993</v>
      </c>
      <c r="C593" t="s">
        <v>1994</v>
      </c>
      <c r="D593" s="2">
        <v>46140</v>
      </c>
      <c r="E593" t="s">
        <v>24</v>
      </c>
      <c r="F593" t="s">
        <v>73</v>
      </c>
      <c r="G593" s="3">
        <v>16.600000000000001</v>
      </c>
      <c r="H593" t="s">
        <v>58</v>
      </c>
      <c r="I593" t="s">
        <v>27</v>
      </c>
      <c r="J593" s="4" t="s">
        <v>75</v>
      </c>
      <c r="K593" t="s">
        <v>29</v>
      </c>
      <c r="L593" t="s">
        <v>60</v>
      </c>
      <c r="M593" t="s">
        <v>31</v>
      </c>
      <c r="N593" t="s">
        <v>32</v>
      </c>
      <c r="O593">
        <v>10</v>
      </c>
      <c r="P593">
        <v>7</v>
      </c>
      <c r="Q593" t="s">
        <v>33</v>
      </c>
      <c r="R593" t="s">
        <v>61</v>
      </c>
      <c r="S593" s="3">
        <v>12.45</v>
      </c>
      <c r="T593" t="s">
        <v>52</v>
      </c>
      <c r="U593" t="s">
        <v>63</v>
      </c>
      <c r="V593" t="str">
        <f t="shared" si="36"/>
        <v>2026-04</v>
      </c>
      <c r="W593" t="str">
        <f t="shared" si="37"/>
        <v>4-7 days</v>
      </c>
      <c r="X593" t="str">
        <f t="shared" si="38"/>
        <v>Refund Issued</v>
      </c>
      <c r="Y593" t="str">
        <f t="shared" si="39"/>
        <v>Low</v>
      </c>
    </row>
    <row r="594" spans="1:25" ht="27.6">
      <c r="A594" t="s">
        <v>1995</v>
      </c>
      <c r="B594" t="s">
        <v>1996</v>
      </c>
      <c r="C594" t="s">
        <v>1997</v>
      </c>
      <c r="D594" s="2">
        <v>46041</v>
      </c>
      <c r="E594" t="s">
        <v>47</v>
      </c>
      <c r="F594" t="s">
        <v>82</v>
      </c>
      <c r="G594" s="3">
        <v>57.64</v>
      </c>
      <c r="H594" t="s">
        <v>58</v>
      </c>
      <c r="I594" t="s">
        <v>50</v>
      </c>
      <c r="J594" s="4" t="s">
        <v>114</v>
      </c>
      <c r="K594" t="s">
        <v>33</v>
      </c>
      <c r="L594" t="s">
        <v>30</v>
      </c>
      <c r="M594" t="s">
        <v>31</v>
      </c>
      <c r="N594" t="s">
        <v>32</v>
      </c>
      <c r="O594">
        <v>7</v>
      </c>
      <c r="P594">
        <v>6</v>
      </c>
      <c r="Q594" t="s">
        <v>33</v>
      </c>
      <c r="R594" t="s">
        <v>85</v>
      </c>
      <c r="S594" s="3">
        <v>0</v>
      </c>
      <c r="T594" t="s">
        <v>43</v>
      </c>
      <c r="U594" t="s">
        <v>53</v>
      </c>
      <c r="V594" t="str">
        <f t="shared" si="36"/>
        <v>2026-01</v>
      </c>
      <c r="W594" t="str">
        <f t="shared" si="37"/>
        <v>4-7 days</v>
      </c>
      <c r="X594" t="str">
        <f t="shared" si="38"/>
        <v>No Refund</v>
      </c>
      <c r="Y594" t="str">
        <f t="shared" si="39"/>
        <v>High</v>
      </c>
    </row>
    <row r="595" spans="1:25" ht="27.6">
      <c r="A595" t="s">
        <v>1998</v>
      </c>
      <c r="B595" t="s">
        <v>1999</v>
      </c>
      <c r="C595" t="s">
        <v>2000</v>
      </c>
      <c r="D595" s="2">
        <v>46044</v>
      </c>
      <c r="E595" t="s">
        <v>24</v>
      </c>
      <c r="F595" t="s">
        <v>48</v>
      </c>
      <c r="G595" s="3">
        <v>81.44</v>
      </c>
      <c r="H595" t="s">
        <v>26</v>
      </c>
      <c r="I595" t="s">
        <v>67</v>
      </c>
      <c r="J595" s="4" t="s">
        <v>51</v>
      </c>
      <c r="K595" t="s">
        <v>33</v>
      </c>
      <c r="L595" t="s">
        <v>30</v>
      </c>
      <c r="M595" t="s">
        <v>31</v>
      </c>
      <c r="N595" t="s">
        <v>126</v>
      </c>
      <c r="O595">
        <v>10</v>
      </c>
      <c r="P595">
        <v>4</v>
      </c>
      <c r="Q595" t="s">
        <v>33</v>
      </c>
      <c r="R595" t="s">
        <v>34</v>
      </c>
      <c r="S595" s="3">
        <v>0</v>
      </c>
      <c r="T595" t="s">
        <v>62</v>
      </c>
      <c r="U595" t="s">
        <v>53</v>
      </c>
      <c r="V595" t="str">
        <f t="shared" si="36"/>
        <v>2026-01</v>
      </c>
      <c r="W595" t="str">
        <f t="shared" si="37"/>
        <v>4-7 days</v>
      </c>
      <c r="X595" t="str">
        <f t="shared" si="38"/>
        <v>No Refund</v>
      </c>
      <c r="Y595" t="str">
        <f t="shared" si="39"/>
        <v>Low</v>
      </c>
    </row>
    <row r="596" spans="1:25" ht="27.6">
      <c r="A596" t="s">
        <v>2001</v>
      </c>
      <c r="B596" t="s">
        <v>2002</v>
      </c>
      <c r="C596" t="s">
        <v>2003</v>
      </c>
      <c r="D596" s="2">
        <v>46167</v>
      </c>
      <c r="E596" t="s">
        <v>94</v>
      </c>
      <c r="F596" t="s">
        <v>57</v>
      </c>
      <c r="G596" s="3">
        <v>23.59</v>
      </c>
      <c r="H596" t="s">
        <v>74</v>
      </c>
      <c r="I596" t="s">
        <v>27</v>
      </c>
      <c r="J596" s="4" t="s">
        <v>155</v>
      </c>
      <c r="K596" t="s">
        <v>29</v>
      </c>
      <c r="L596" t="s">
        <v>60</v>
      </c>
      <c r="M596" t="s">
        <v>31</v>
      </c>
      <c r="N596" t="s">
        <v>32</v>
      </c>
      <c r="O596">
        <v>10</v>
      </c>
      <c r="P596">
        <v>10</v>
      </c>
      <c r="Q596" t="s">
        <v>33</v>
      </c>
      <c r="R596" t="s">
        <v>61</v>
      </c>
      <c r="S596" s="3">
        <v>11.79</v>
      </c>
      <c r="T596" t="s">
        <v>62</v>
      </c>
      <c r="U596" t="s">
        <v>63</v>
      </c>
      <c r="V596" t="str">
        <f t="shared" si="36"/>
        <v>2026-05</v>
      </c>
      <c r="W596" t="str">
        <f t="shared" si="37"/>
        <v>8-14 days</v>
      </c>
      <c r="X596" t="str">
        <f t="shared" si="38"/>
        <v>Refund Issued</v>
      </c>
      <c r="Y596" t="str">
        <f t="shared" si="39"/>
        <v>Low</v>
      </c>
    </row>
    <row r="597" spans="1:25" ht="27.6">
      <c r="A597" t="s">
        <v>2004</v>
      </c>
      <c r="B597" t="s">
        <v>2005</v>
      </c>
      <c r="C597" t="s">
        <v>2006</v>
      </c>
      <c r="D597" s="2">
        <v>46080</v>
      </c>
      <c r="E597" t="s">
        <v>24</v>
      </c>
      <c r="F597" t="s">
        <v>82</v>
      </c>
      <c r="G597" s="3">
        <v>9.1</v>
      </c>
      <c r="H597" t="s">
        <v>74</v>
      </c>
      <c r="I597" t="s">
        <v>67</v>
      </c>
      <c r="J597" s="4" t="s">
        <v>114</v>
      </c>
      <c r="K597" t="s">
        <v>29</v>
      </c>
      <c r="L597" t="s">
        <v>30</v>
      </c>
      <c r="M597" t="s">
        <v>31</v>
      </c>
      <c r="N597" t="s">
        <v>84</v>
      </c>
      <c r="O597">
        <v>7</v>
      </c>
      <c r="P597">
        <v>5</v>
      </c>
      <c r="Q597" t="s">
        <v>33</v>
      </c>
      <c r="R597" t="s">
        <v>85</v>
      </c>
      <c r="S597" s="3">
        <v>0</v>
      </c>
      <c r="T597" t="s">
        <v>62</v>
      </c>
      <c r="U597" t="s">
        <v>36</v>
      </c>
      <c r="V597" t="str">
        <f t="shared" si="36"/>
        <v>2026-02</v>
      </c>
      <c r="W597" t="str">
        <f t="shared" si="37"/>
        <v>4-7 days</v>
      </c>
      <c r="X597" t="str">
        <f t="shared" si="38"/>
        <v>No Refund</v>
      </c>
      <c r="Y597" t="str">
        <f t="shared" si="39"/>
        <v>High</v>
      </c>
    </row>
    <row r="598" spans="1:25" ht="27.6">
      <c r="A598" t="s">
        <v>2007</v>
      </c>
      <c r="B598" t="s">
        <v>2008</v>
      </c>
      <c r="C598" t="s">
        <v>2009</v>
      </c>
      <c r="D598" s="2">
        <v>46049</v>
      </c>
      <c r="E598" t="s">
        <v>94</v>
      </c>
      <c r="F598" t="s">
        <v>118</v>
      </c>
      <c r="G598" s="3">
        <v>16</v>
      </c>
      <c r="H598" t="s">
        <v>41</v>
      </c>
      <c r="I598" t="s">
        <v>67</v>
      </c>
      <c r="J598" s="4" t="s">
        <v>290</v>
      </c>
      <c r="K598" t="s">
        <v>33</v>
      </c>
      <c r="L598" t="s">
        <v>30</v>
      </c>
      <c r="M598" t="s">
        <v>31</v>
      </c>
      <c r="N598" t="s">
        <v>32</v>
      </c>
      <c r="O598">
        <v>5</v>
      </c>
      <c r="P598">
        <v>12</v>
      </c>
      <c r="Q598" t="s">
        <v>29</v>
      </c>
      <c r="R598" t="s">
        <v>85</v>
      </c>
      <c r="S598" s="3">
        <v>16</v>
      </c>
      <c r="T598" t="s">
        <v>121</v>
      </c>
      <c r="U598" t="s">
        <v>63</v>
      </c>
      <c r="V598" t="str">
        <f t="shared" si="36"/>
        <v>2026-01</v>
      </c>
      <c r="W598" t="str">
        <f t="shared" si="37"/>
        <v>8-14 days</v>
      </c>
      <c r="X598" t="str">
        <f t="shared" si="38"/>
        <v>Refund Issued</v>
      </c>
      <c r="Y598" t="str">
        <f t="shared" si="39"/>
        <v>High</v>
      </c>
    </row>
    <row r="599" spans="1:25" ht="27.6">
      <c r="A599" t="s">
        <v>2010</v>
      </c>
      <c r="B599" t="s">
        <v>2011</v>
      </c>
      <c r="C599" t="s">
        <v>2012</v>
      </c>
      <c r="D599" s="2">
        <v>46100</v>
      </c>
      <c r="E599" t="s">
        <v>47</v>
      </c>
      <c r="F599" t="s">
        <v>118</v>
      </c>
      <c r="G599" s="3">
        <v>85.71</v>
      </c>
      <c r="H599" t="s">
        <v>108</v>
      </c>
      <c r="I599" t="s">
        <v>50</v>
      </c>
      <c r="J599" s="4" t="s">
        <v>2013</v>
      </c>
      <c r="K599" t="s">
        <v>33</v>
      </c>
      <c r="L599" t="s">
        <v>30</v>
      </c>
      <c r="M599" t="s">
        <v>31</v>
      </c>
      <c r="N599" t="s">
        <v>126</v>
      </c>
      <c r="O599">
        <v>5</v>
      </c>
      <c r="P599">
        <v>6</v>
      </c>
      <c r="Q599" t="s">
        <v>29</v>
      </c>
      <c r="R599" t="s">
        <v>85</v>
      </c>
      <c r="S599" s="3">
        <v>0</v>
      </c>
      <c r="T599" t="s">
        <v>121</v>
      </c>
      <c r="U599" t="s">
        <v>63</v>
      </c>
      <c r="V599" t="str">
        <f t="shared" si="36"/>
        <v>2026-03</v>
      </c>
      <c r="W599" t="str">
        <f t="shared" si="37"/>
        <v>4-7 days</v>
      </c>
      <c r="X599" t="str">
        <f t="shared" si="38"/>
        <v>No Refund</v>
      </c>
      <c r="Y599" t="str">
        <f t="shared" si="39"/>
        <v>High</v>
      </c>
    </row>
    <row r="600" spans="1:25" ht="27.6">
      <c r="A600" t="s">
        <v>2014</v>
      </c>
      <c r="B600" t="s">
        <v>2015</v>
      </c>
      <c r="C600" t="s">
        <v>2016</v>
      </c>
      <c r="D600" s="2">
        <v>46060</v>
      </c>
      <c r="E600" t="s">
        <v>24</v>
      </c>
      <c r="F600" t="s">
        <v>82</v>
      </c>
      <c r="G600" s="3">
        <v>182.19</v>
      </c>
      <c r="H600" t="s">
        <v>108</v>
      </c>
      <c r="I600" t="s">
        <v>67</v>
      </c>
      <c r="J600" s="4" t="s">
        <v>114</v>
      </c>
      <c r="K600" t="s">
        <v>29</v>
      </c>
      <c r="L600" t="s">
        <v>30</v>
      </c>
      <c r="M600" t="s">
        <v>31</v>
      </c>
      <c r="N600" t="s">
        <v>32</v>
      </c>
      <c r="O600">
        <v>7</v>
      </c>
      <c r="P600">
        <v>8</v>
      </c>
      <c r="Q600" t="s">
        <v>29</v>
      </c>
      <c r="R600" t="s">
        <v>85</v>
      </c>
      <c r="S600" s="3">
        <v>0</v>
      </c>
      <c r="T600" t="s">
        <v>69</v>
      </c>
      <c r="U600" t="s">
        <v>63</v>
      </c>
      <c r="V600" t="str">
        <f t="shared" si="36"/>
        <v>2026-02</v>
      </c>
      <c r="W600" t="str">
        <f t="shared" si="37"/>
        <v>8-14 days</v>
      </c>
      <c r="X600" t="str">
        <f t="shared" si="38"/>
        <v>No Refund</v>
      </c>
      <c r="Y600" t="str">
        <f t="shared" si="39"/>
        <v>High</v>
      </c>
    </row>
    <row r="601" spans="1:25" ht="27.6">
      <c r="A601" t="s">
        <v>2017</v>
      </c>
      <c r="B601" t="s">
        <v>2018</v>
      </c>
      <c r="C601" t="s">
        <v>2019</v>
      </c>
      <c r="D601" s="2">
        <v>46104</v>
      </c>
      <c r="E601" t="s">
        <v>47</v>
      </c>
      <c r="F601" t="s">
        <v>82</v>
      </c>
      <c r="G601" s="3">
        <v>50.97</v>
      </c>
      <c r="H601" t="s">
        <v>58</v>
      </c>
      <c r="I601" t="s">
        <v>67</v>
      </c>
      <c r="J601" s="4" t="s">
        <v>2020</v>
      </c>
      <c r="K601" t="s">
        <v>29</v>
      </c>
      <c r="L601" t="s">
        <v>30</v>
      </c>
      <c r="M601" t="s">
        <v>31</v>
      </c>
      <c r="N601" t="s">
        <v>32</v>
      </c>
      <c r="O601">
        <v>7</v>
      </c>
      <c r="P601">
        <v>5</v>
      </c>
      <c r="Q601" t="s">
        <v>33</v>
      </c>
      <c r="R601" t="s">
        <v>85</v>
      </c>
      <c r="S601" s="3">
        <v>50.97</v>
      </c>
      <c r="T601" t="s">
        <v>62</v>
      </c>
      <c r="U601" t="s">
        <v>53</v>
      </c>
      <c r="V601" t="str">
        <f t="shared" si="36"/>
        <v>2026-03</v>
      </c>
      <c r="W601" t="str">
        <f t="shared" si="37"/>
        <v>4-7 days</v>
      </c>
      <c r="X601" t="str">
        <f t="shared" si="38"/>
        <v>Refund Issued</v>
      </c>
      <c r="Y601" t="str">
        <f t="shared" si="39"/>
        <v>High</v>
      </c>
    </row>
    <row r="602" spans="1:25" ht="27.6">
      <c r="A602" t="s">
        <v>2021</v>
      </c>
      <c r="B602" t="s">
        <v>2022</v>
      </c>
      <c r="C602" t="s">
        <v>2023</v>
      </c>
      <c r="D602" s="2">
        <v>46130</v>
      </c>
      <c r="E602" t="s">
        <v>47</v>
      </c>
      <c r="F602" t="s">
        <v>57</v>
      </c>
      <c r="G602" s="3">
        <v>72.349999999999994</v>
      </c>
      <c r="H602" t="s">
        <v>26</v>
      </c>
      <c r="I602" t="s">
        <v>27</v>
      </c>
      <c r="J602" s="4" t="s">
        <v>155</v>
      </c>
      <c r="K602" t="s">
        <v>29</v>
      </c>
      <c r="L602" t="s">
        <v>60</v>
      </c>
      <c r="M602" t="s">
        <v>31</v>
      </c>
      <c r="N602" t="s">
        <v>32</v>
      </c>
      <c r="O602">
        <v>10</v>
      </c>
      <c r="P602">
        <v>8</v>
      </c>
      <c r="Q602" t="s">
        <v>33</v>
      </c>
      <c r="R602" t="s">
        <v>61</v>
      </c>
      <c r="S602" s="3">
        <v>54.26</v>
      </c>
      <c r="T602" t="s">
        <v>156</v>
      </c>
      <c r="U602" t="s">
        <v>63</v>
      </c>
      <c r="V602" t="str">
        <f t="shared" si="36"/>
        <v>2026-04</v>
      </c>
      <c r="W602" t="str">
        <f t="shared" si="37"/>
        <v>8-14 days</v>
      </c>
      <c r="X602" t="str">
        <f t="shared" si="38"/>
        <v>Refund Issued</v>
      </c>
      <c r="Y602" t="str">
        <f t="shared" si="39"/>
        <v>Low</v>
      </c>
    </row>
    <row r="603" spans="1:25" ht="27.6">
      <c r="A603" t="s">
        <v>2024</v>
      </c>
      <c r="B603" t="s">
        <v>2025</v>
      </c>
      <c r="C603" t="s">
        <v>2026</v>
      </c>
      <c r="D603" s="2">
        <v>46140</v>
      </c>
      <c r="E603" t="s">
        <v>24</v>
      </c>
      <c r="F603" t="s">
        <v>73</v>
      </c>
      <c r="G603" s="3">
        <v>5</v>
      </c>
      <c r="H603" t="s">
        <v>26</v>
      </c>
      <c r="I603" t="s">
        <v>50</v>
      </c>
      <c r="J603" s="4" t="s">
        <v>389</v>
      </c>
      <c r="K603" t="s">
        <v>29</v>
      </c>
      <c r="L603" t="s">
        <v>60</v>
      </c>
      <c r="M603" t="s">
        <v>31</v>
      </c>
      <c r="N603" t="s">
        <v>32</v>
      </c>
      <c r="O603">
        <v>10</v>
      </c>
      <c r="P603">
        <v>13</v>
      </c>
      <c r="Q603" t="s">
        <v>29</v>
      </c>
      <c r="R603" t="s">
        <v>61</v>
      </c>
      <c r="S603" s="3">
        <v>2.5</v>
      </c>
      <c r="T603" t="s">
        <v>62</v>
      </c>
      <c r="U603" t="s">
        <v>63</v>
      </c>
      <c r="V603" t="str">
        <f t="shared" si="36"/>
        <v>2026-04</v>
      </c>
      <c r="W603" t="str">
        <f t="shared" si="37"/>
        <v>8-14 days</v>
      </c>
      <c r="X603" t="str">
        <f t="shared" si="38"/>
        <v>Refund Issued</v>
      </c>
      <c r="Y603" t="str">
        <f t="shared" si="39"/>
        <v>Low</v>
      </c>
    </row>
    <row r="604" spans="1:25" ht="27.6">
      <c r="A604" t="s">
        <v>2027</v>
      </c>
      <c r="B604" t="s">
        <v>2028</v>
      </c>
      <c r="C604" t="s">
        <v>2029</v>
      </c>
      <c r="D604" s="2">
        <v>46050</v>
      </c>
      <c r="E604" t="s">
        <v>40</v>
      </c>
      <c r="F604" t="s">
        <v>25</v>
      </c>
      <c r="G604" s="3">
        <v>13.75</v>
      </c>
      <c r="H604" t="s">
        <v>26</v>
      </c>
      <c r="I604" t="s">
        <v>27</v>
      </c>
      <c r="J604" s="4" t="s">
        <v>42</v>
      </c>
      <c r="K604" t="s">
        <v>29</v>
      </c>
      <c r="L604" t="s">
        <v>30</v>
      </c>
      <c r="M604" t="s">
        <v>31</v>
      </c>
      <c r="N604" t="s">
        <v>32</v>
      </c>
      <c r="O604">
        <v>5</v>
      </c>
      <c r="P604">
        <v>7</v>
      </c>
      <c r="Q604" t="s">
        <v>29</v>
      </c>
      <c r="R604" t="s">
        <v>34</v>
      </c>
      <c r="S604" s="3">
        <v>0</v>
      </c>
      <c r="T604" t="s">
        <v>43</v>
      </c>
      <c r="U604" t="s">
        <v>63</v>
      </c>
      <c r="V604" t="str">
        <f t="shared" si="36"/>
        <v>2026-01</v>
      </c>
      <c r="W604" t="str">
        <f t="shared" si="37"/>
        <v>4-7 days</v>
      </c>
      <c r="X604" t="str">
        <f t="shared" si="38"/>
        <v>No Refund</v>
      </c>
      <c r="Y604" t="str">
        <f t="shared" si="39"/>
        <v>High</v>
      </c>
    </row>
    <row r="605" spans="1:25" ht="27.6">
      <c r="A605" t="s">
        <v>2030</v>
      </c>
      <c r="B605" t="s">
        <v>2031</v>
      </c>
      <c r="C605" t="s">
        <v>2032</v>
      </c>
      <c r="D605" s="2">
        <v>46109</v>
      </c>
      <c r="E605" t="s">
        <v>47</v>
      </c>
      <c r="F605" t="s">
        <v>172</v>
      </c>
      <c r="G605" s="3">
        <v>48.61</v>
      </c>
      <c r="H605" t="s">
        <v>74</v>
      </c>
      <c r="I605" t="s">
        <v>27</v>
      </c>
      <c r="J605" s="4" t="s">
        <v>285</v>
      </c>
      <c r="K605" t="s">
        <v>33</v>
      </c>
      <c r="L605" t="s">
        <v>30</v>
      </c>
      <c r="M605" t="s">
        <v>31</v>
      </c>
      <c r="N605" t="s">
        <v>90</v>
      </c>
      <c r="O605">
        <v>7</v>
      </c>
      <c r="P605">
        <v>12</v>
      </c>
      <c r="Q605" t="s">
        <v>29</v>
      </c>
      <c r="R605" t="s">
        <v>174</v>
      </c>
      <c r="S605" s="3">
        <v>0</v>
      </c>
      <c r="T605" t="s">
        <v>110</v>
      </c>
      <c r="U605" t="s">
        <v>63</v>
      </c>
      <c r="V605" t="str">
        <f t="shared" si="36"/>
        <v>2026-03</v>
      </c>
      <c r="W605" t="str">
        <f t="shared" si="37"/>
        <v>8-14 days</v>
      </c>
      <c r="X605" t="str">
        <f t="shared" si="38"/>
        <v>No Refund</v>
      </c>
      <c r="Y605" t="str">
        <f t="shared" si="39"/>
        <v>Medium</v>
      </c>
    </row>
    <row r="606" spans="1:25" ht="27.6">
      <c r="A606" t="s">
        <v>2033</v>
      </c>
      <c r="B606" t="s">
        <v>2034</v>
      </c>
      <c r="C606" t="s">
        <v>2035</v>
      </c>
      <c r="D606" s="2">
        <v>46081</v>
      </c>
      <c r="E606" t="s">
        <v>47</v>
      </c>
      <c r="F606" t="s">
        <v>25</v>
      </c>
      <c r="G606" s="3">
        <v>171.03</v>
      </c>
      <c r="H606" t="s">
        <v>74</v>
      </c>
      <c r="I606" t="s">
        <v>50</v>
      </c>
      <c r="J606" s="4" t="s">
        <v>2036</v>
      </c>
      <c r="K606" t="s">
        <v>29</v>
      </c>
      <c r="L606" t="s">
        <v>30</v>
      </c>
      <c r="M606" t="s">
        <v>96</v>
      </c>
      <c r="N606" t="s">
        <v>32</v>
      </c>
      <c r="O606">
        <v>5</v>
      </c>
      <c r="P606">
        <v>6</v>
      </c>
      <c r="Q606" t="s">
        <v>29</v>
      </c>
      <c r="R606" t="s">
        <v>34</v>
      </c>
      <c r="S606" s="3">
        <v>171.03</v>
      </c>
      <c r="T606" t="s">
        <v>110</v>
      </c>
      <c r="U606" t="s">
        <v>63</v>
      </c>
      <c r="V606" t="str">
        <f t="shared" si="36"/>
        <v>2026-02</v>
      </c>
      <c r="W606" t="str">
        <f t="shared" si="37"/>
        <v>4-7 days</v>
      </c>
      <c r="X606" t="str">
        <f t="shared" si="38"/>
        <v>Refund Issued</v>
      </c>
      <c r="Y606" t="str">
        <f t="shared" si="39"/>
        <v>High</v>
      </c>
    </row>
    <row r="607" spans="1:25" ht="27.6">
      <c r="A607" t="s">
        <v>2037</v>
      </c>
      <c r="B607" t="s">
        <v>2038</v>
      </c>
      <c r="C607" t="s">
        <v>2039</v>
      </c>
      <c r="D607" s="2">
        <v>46103</v>
      </c>
      <c r="E607" t="s">
        <v>40</v>
      </c>
      <c r="F607" t="s">
        <v>82</v>
      </c>
      <c r="G607" s="3">
        <v>33.64</v>
      </c>
      <c r="H607" t="s">
        <v>41</v>
      </c>
      <c r="I607" t="s">
        <v>50</v>
      </c>
      <c r="J607" s="4" t="s">
        <v>114</v>
      </c>
      <c r="K607" t="s">
        <v>29</v>
      </c>
      <c r="L607" t="s">
        <v>30</v>
      </c>
      <c r="M607" t="s">
        <v>31</v>
      </c>
      <c r="N607" t="s">
        <v>32</v>
      </c>
      <c r="O607">
        <v>7</v>
      </c>
      <c r="P607">
        <v>7</v>
      </c>
      <c r="Q607" t="s">
        <v>33</v>
      </c>
      <c r="R607" t="s">
        <v>85</v>
      </c>
      <c r="S607" s="3">
        <v>25.23</v>
      </c>
      <c r="T607" t="s">
        <v>43</v>
      </c>
      <c r="U607" t="s">
        <v>53</v>
      </c>
      <c r="V607" t="str">
        <f t="shared" si="36"/>
        <v>2026-03</v>
      </c>
      <c r="W607" t="str">
        <f t="shared" si="37"/>
        <v>4-7 days</v>
      </c>
      <c r="X607" t="str">
        <f t="shared" si="38"/>
        <v>Refund Issued</v>
      </c>
      <c r="Y607" t="str">
        <f t="shared" si="39"/>
        <v>High</v>
      </c>
    </row>
    <row r="608" spans="1:25" ht="27.6">
      <c r="A608" t="s">
        <v>2040</v>
      </c>
      <c r="B608" t="s">
        <v>2041</v>
      </c>
      <c r="C608" t="s">
        <v>2042</v>
      </c>
      <c r="D608" s="2">
        <v>46161</v>
      </c>
      <c r="E608" t="s">
        <v>24</v>
      </c>
      <c r="F608" t="s">
        <v>118</v>
      </c>
      <c r="G608" s="3">
        <v>22.86</v>
      </c>
      <c r="H608" t="s">
        <v>26</v>
      </c>
      <c r="I608" t="s">
        <v>27</v>
      </c>
      <c r="J608" s="4" t="s">
        <v>2043</v>
      </c>
      <c r="K608" t="s">
        <v>29</v>
      </c>
      <c r="L608" t="s">
        <v>120</v>
      </c>
      <c r="M608" t="s">
        <v>96</v>
      </c>
      <c r="N608" t="s">
        <v>90</v>
      </c>
      <c r="O608">
        <v>5</v>
      </c>
      <c r="P608">
        <v>2</v>
      </c>
      <c r="Q608" t="s">
        <v>33</v>
      </c>
      <c r="R608" t="s">
        <v>85</v>
      </c>
      <c r="S608" s="3">
        <v>0</v>
      </c>
      <c r="T608" t="s">
        <v>121</v>
      </c>
      <c r="U608" t="s">
        <v>53</v>
      </c>
      <c r="V608" t="str">
        <f t="shared" si="36"/>
        <v>2026-05</v>
      </c>
      <c r="W608" t="str">
        <f t="shared" si="37"/>
        <v>0-3 days</v>
      </c>
      <c r="X608" t="str">
        <f t="shared" si="38"/>
        <v>No Refund</v>
      </c>
      <c r="Y608" t="str">
        <f t="shared" si="39"/>
        <v>High</v>
      </c>
    </row>
    <row r="609" spans="1:25" ht="27.6">
      <c r="A609" t="s">
        <v>2044</v>
      </c>
      <c r="B609" t="s">
        <v>2045</v>
      </c>
      <c r="C609" t="s">
        <v>2046</v>
      </c>
      <c r="D609" s="2">
        <v>46102</v>
      </c>
      <c r="E609" t="s">
        <v>24</v>
      </c>
      <c r="F609" t="s">
        <v>82</v>
      </c>
      <c r="G609" s="3">
        <v>23.87</v>
      </c>
      <c r="H609" t="s">
        <v>74</v>
      </c>
      <c r="I609" t="s">
        <v>27</v>
      </c>
      <c r="J609" s="4" t="s">
        <v>2047</v>
      </c>
      <c r="K609" t="s">
        <v>33</v>
      </c>
      <c r="L609" t="s">
        <v>30</v>
      </c>
      <c r="M609" t="s">
        <v>31</v>
      </c>
      <c r="N609" t="s">
        <v>126</v>
      </c>
      <c r="O609">
        <v>7</v>
      </c>
      <c r="P609">
        <v>5</v>
      </c>
      <c r="Q609" t="s">
        <v>33</v>
      </c>
      <c r="R609" t="s">
        <v>85</v>
      </c>
      <c r="S609" s="3">
        <v>0</v>
      </c>
      <c r="T609" t="s">
        <v>69</v>
      </c>
      <c r="U609" t="s">
        <v>53</v>
      </c>
      <c r="V609" t="str">
        <f t="shared" si="36"/>
        <v>2026-03</v>
      </c>
      <c r="W609" t="str">
        <f t="shared" si="37"/>
        <v>4-7 days</v>
      </c>
      <c r="X609" t="str">
        <f t="shared" si="38"/>
        <v>No Refund</v>
      </c>
      <c r="Y609" t="str">
        <f t="shared" si="39"/>
        <v>High</v>
      </c>
    </row>
    <row r="610" spans="1:25" ht="27.6">
      <c r="A610" t="s">
        <v>2048</v>
      </c>
      <c r="B610" t="s">
        <v>2049</v>
      </c>
      <c r="C610" t="s">
        <v>2050</v>
      </c>
      <c r="D610" s="2">
        <v>46151</v>
      </c>
      <c r="E610" t="s">
        <v>24</v>
      </c>
      <c r="F610" t="s">
        <v>57</v>
      </c>
      <c r="G610" s="3">
        <v>11.76</v>
      </c>
      <c r="H610" t="s">
        <v>108</v>
      </c>
      <c r="I610" t="s">
        <v>27</v>
      </c>
      <c r="J610" s="4" t="s">
        <v>59</v>
      </c>
      <c r="K610" t="s">
        <v>33</v>
      </c>
      <c r="L610" t="s">
        <v>60</v>
      </c>
      <c r="M610" t="s">
        <v>31</v>
      </c>
      <c r="N610" t="s">
        <v>32</v>
      </c>
      <c r="O610">
        <v>10</v>
      </c>
      <c r="P610">
        <v>13</v>
      </c>
      <c r="Q610" t="s">
        <v>29</v>
      </c>
      <c r="R610" t="s">
        <v>61</v>
      </c>
      <c r="S610" s="3">
        <v>5.88</v>
      </c>
      <c r="T610" t="s">
        <v>156</v>
      </c>
      <c r="U610" t="s">
        <v>63</v>
      </c>
      <c r="V610" t="str">
        <f t="shared" si="36"/>
        <v>2026-05</v>
      </c>
      <c r="W610" t="str">
        <f t="shared" si="37"/>
        <v>8-14 days</v>
      </c>
      <c r="X610" t="str">
        <f t="shared" si="38"/>
        <v>Refund Issued</v>
      </c>
      <c r="Y610" t="str">
        <f t="shared" si="39"/>
        <v>Low</v>
      </c>
    </row>
    <row r="611" spans="1:25" ht="27.6">
      <c r="A611" t="s">
        <v>2051</v>
      </c>
      <c r="B611" t="s">
        <v>2052</v>
      </c>
      <c r="C611" t="s">
        <v>2053</v>
      </c>
      <c r="D611" s="2">
        <v>46064</v>
      </c>
      <c r="E611" t="s">
        <v>94</v>
      </c>
      <c r="F611" t="s">
        <v>82</v>
      </c>
      <c r="G611" s="3">
        <v>46.84</v>
      </c>
      <c r="H611" t="s">
        <v>108</v>
      </c>
      <c r="I611" t="s">
        <v>67</v>
      </c>
      <c r="J611" s="4" t="s">
        <v>2054</v>
      </c>
      <c r="K611" t="s">
        <v>29</v>
      </c>
      <c r="L611" t="s">
        <v>30</v>
      </c>
      <c r="M611" t="s">
        <v>31</v>
      </c>
      <c r="N611" t="s">
        <v>32</v>
      </c>
      <c r="O611">
        <v>7</v>
      </c>
      <c r="P611">
        <v>7</v>
      </c>
      <c r="Q611" t="s">
        <v>33</v>
      </c>
      <c r="R611" t="s">
        <v>85</v>
      </c>
      <c r="S611" s="3">
        <v>0</v>
      </c>
      <c r="T611" t="s">
        <v>69</v>
      </c>
      <c r="U611" t="s">
        <v>53</v>
      </c>
      <c r="V611" t="str">
        <f t="shared" si="36"/>
        <v>2026-02</v>
      </c>
      <c r="W611" t="str">
        <f t="shared" si="37"/>
        <v>4-7 days</v>
      </c>
      <c r="X611" t="str">
        <f t="shared" si="38"/>
        <v>No Refund</v>
      </c>
      <c r="Y611" t="str">
        <f t="shared" si="39"/>
        <v>High</v>
      </c>
    </row>
    <row r="612" spans="1:25" ht="27.6">
      <c r="A612" t="s">
        <v>2055</v>
      </c>
      <c r="B612" t="s">
        <v>2056</v>
      </c>
      <c r="C612" t="s">
        <v>2057</v>
      </c>
      <c r="D612" s="2">
        <v>46042</v>
      </c>
      <c r="E612" t="s">
        <v>94</v>
      </c>
      <c r="F612" t="s">
        <v>172</v>
      </c>
      <c r="G612" s="3">
        <v>5</v>
      </c>
      <c r="H612" t="s">
        <v>49</v>
      </c>
      <c r="I612" t="s">
        <v>67</v>
      </c>
      <c r="J612" s="4" t="s">
        <v>285</v>
      </c>
      <c r="K612" t="s">
        <v>29</v>
      </c>
      <c r="L612" t="s">
        <v>30</v>
      </c>
      <c r="M612" t="s">
        <v>31</v>
      </c>
      <c r="N612" t="s">
        <v>32</v>
      </c>
      <c r="O612">
        <v>7</v>
      </c>
      <c r="P612">
        <v>6</v>
      </c>
      <c r="Q612" t="s">
        <v>33</v>
      </c>
      <c r="R612" t="s">
        <v>174</v>
      </c>
      <c r="S612" s="3">
        <v>5</v>
      </c>
      <c r="T612" t="s">
        <v>69</v>
      </c>
      <c r="U612" t="s">
        <v>36</v>
      </c>
      <c r="V612" t="str">
        <f t="shared" si="36"/>
        <v>2026-01</v>
      </c>
      <c r="W612" t="str">
        <f t="shared" si="37"/>
        <v>4-7 days</v>
      </c>
      <c r="X612" t="str">
        <f t="shared" si="38"/>
        <v>Refund Issued</v>
      </c>
      <c r="Y612" t="str">
        <f t="shared" si="39"/>
        <v>Medium</v>
      </c>
    </row>
    <row r="613" spans="1:25" ht="27.6">
      <c r="A613" t="s">
        <v>2058</v>
      </c>
      <c r="B613" t="s">
        <v>2059</v>
      </c>
      <c r="C613" t="s">
        <v>2060</v>
      </c>
      <c r="D613" s="2">
        <v>46068</v>
      </c>
      <c r="E613" t="s">
        <v>40</v>
      </c>
      <c r="F613" t="s">
        <v>82</v>
      </c>
      <c r="G613" s="3">
        <v>80.459999999999994</v>
      </c>
      <c r="H613" t="s">
        <v>74</v>
      </c>
      <c r="I613" t="s">
        <v>67</v>
      </c>
      <c r="J613" s="4" t="s">
        <v>2061</v>
      </c>
      <c r="K613" t="s">
        <v>33</v>
      </c>
      <c r="L613" t="s">
        <v>30</v>
      </c>
      <c r="M613" t="s">
        <v>31</v>
      </c>
      <c r="N613" t="s">
        <v>32</v>
      </c>
      <c r="O613">
        <v>7</v>
      </c>
      <c r="P613">
        <v>9</v>
      </c>
      <c r="Q613" t="s">
        <v>29</v>
      </c>
      <c r="R613" t="s">
        <v>85</v>
      </c>
      <c r="S613" s="3">
        <v>0</v>
      </c>
      <c r="T613" t="s">
        <v>69</v>
      </c>
      <c r="U613" t="s">
        <v>63</v>
      </c>
      <c r="V613" t="str">
        <f t="shared" si="36"/>
        <v>2026-02</v>
      </c>
      <c r="W613" t="str">
        <f t="shared" si="37"/>
        <v>8-14 days</v>
      </c>
      <c r="X613" t="str">
        <f t="shared" si="38"/>
        <v>No Refund</v>
      </c>
      <c r="Y613" t="str">
        <f t="shared" si="39"/>
        <v>High</v>
      </c>
    </row>
    <row r="614" spans="1:25" ht="27.6">
      <c r="A614" t="s">
        <v>2062</v>
      </c>
      <c r="B614" t="s">
        <v>2063</v>
      </c>
      <c r="C614" t="s">
        <v>2064</v>
      </c>
      <c r="D614" s="2">
        <v>46056</v>
      </c>
      <c r="E614" t="s">
        <v>47</v>
      </c>
      <c r="F614" t="s">
        <v>172</v>
      </c>
      <c r="G614" s="3">
        <v>52.71</v>
      </c>
      <c r="H614" t="s">
        <v>26</v>
      </c>
      <c r="I614" t="s">
        <v>50</v>
      </c>
      <c r="J614" s="4" t="s">
        <v>173</v>
      </c>
      <c r="K614" t="s">
        <v>29</v>
      </c>
      <c r="L614" t="s">
        <v>30</v>
      </c>
      <c r="M614" t="s">
        <v>31</v>
      </c>
      <c r="N614" t="s">
        <v>32</v>
      </c>
      <c r="O614">
        <v>7</v>
      </c>
      <c r="P614">
        <v>14</v>
      </c>
      <c r="Q614" t="s">
        <v>29</v>
      </c>
      <c r="R614" t="s">
        <v>174</v>
      </c>
      <c r="S614" s="3">
        <v>0</v>
      </c>
      <c r="T614" t="s">
        <v>286</v>
      </c>
      <c r="U614" t="s">
        <v>63</v>
      </c>
      <c r="V614" t="str">
        <f t="shared" si="36"/>
        <v>2026-02</v>
      </c>
      <c r="W614" t="str">
        <f t="shared" si="37"/>
        <v>8-14 days</v>
      </c>
      <c r="X614" t="str">
        <f t="shared" si="38"/>
        <v>No Refund</v>
      </c>
      <c r="Y614" t="str">
        <f t="shared" si="39"/>
        <v>Medium</v>
      </c>
    </row>
    <row r="615" spans="1:25" ht="27.6">
      <c r="A615" t="s">
        <v>2065</v>
      </c>
      <c r="B615" t="s">
        <v>2066</v>
      </c>
      <c r="C615" t="s">
        <v>2067</v>
      </c>
      <c r="D615" s="2">
        <v>46166</v>
      </c>
      <c r="E615" t="s">
        <v>24</v>
      </c>
      <c r="F615" t="s">
        <v>73</v>
      </c>
      <c r="G615" s="3">
        <v>28.15</v>
      </c>
      <c r="H615" t="s">
        <v>108</v>
      </c>
      <c r="I615" t="s">
        <v>67</v>
      </c>
      <c r="J615" s="4" t="s">
        <v>389</v>
      </c>
      <c r="K615" t="s">
        <v>29</v>
      </c>
      <c r="L615" t="s">
        <v>60</v>
      </c>
      <c r="M615" t="s">
        <v>31</v>
      </c>
      <c r="N615" t="s">
        <v>32</v>
      </c>
      <c r="O615">
        <v>10</v>
      </c>
      <c r="P615">
        <v>4</v>
      </c>
      <c r="Q615" t="s">
        <v>33</v>
      </c>
      <c r="R615" t="s">
        <v>61</v>
      </c>
      <c r="S615" s="3">
        <v>21.11</v>
      </c>
      <c r="T615" t="s">
        <v>52</v>
      </c>
      <c r="U615" t="s">
        <v>63</v>
      </c>
      <c r="V615" t="str">
        <f t="shared" si="36"/>
        <v>2026-05</v>
      </c>
      <c r="W615" t="str">
        <f t="shared" si="37"/>
        <v>4-7 days</v>
      </c>
      <c r="X615" t="str">
        <f t="shared" si="38"/>
        <v>Refund Issued</v>
      </c>
      <c r="Y615" t="str">
        <f t="shared" si="39"/>
        <v>Low</v>
      </c>
    </row>
    <row r="616" spans="1:25" ht="27.6">
      <c r="A616" t="s">
        <v>2068</v>
      </c>
      <c r="B616" t="s">
        <v>2069</v>
      </c>
      <c r="C616" t="s">
        <v>2070</v>
      </c>
      <c r="D616" s="2">
        <v>46069</v>
      </c>
      <c r="E616" t="s">
        <v>40</v>
      </c>
      <c r="F616" t="s">
        <v>73</v>
      </c>
      <c r="G616" s="3">
        <v>21.06</v>
      </c>
      <c r="H616" t="s">
        <v>41</v>
      </c>
      <c r="I616" t="s">
        <v>27</v>
      </c>
      <c r="J616" s="4" t="s">
        <v>389</v>
      </c>
      <c r="K616" t="s">
        <v>29</v>
      </c>
      <c r="L616" t="s">
        <v>60</v>
      </c>
      <c r="M616" t="s">
        <v>31</v>
      </c>
      <c r="N616" t="s">
        <v>32</v>
      </c>
      <c r="O616">
        <v>10</v>
      </c>
      <c r="P616">
        <v>9</v>
      </c>
      <c r="Q616" t="s">
        <v>33</v>
      </c>
      <c r="R616" t="s">
        <v>61</v>
      </c>
      <c r="S616" s="3">
        <v>10.53</v>
      </c>
      <c r="T616" t="s">
        <v>156</v>
      </c>
      <c r="U616" t="s">
        <v>63</v>
      </c>
      <c r="V616" t="str">
        <f t="shared" si="36"/>
        <v>2026-02</v>
      </c>
      <c r="W616" t="str">
        <f t="shared" si="37"/>
        <v>8-14 days</v>
      </c>
      <c r="X616" t="str">
        <f t="shared" si="38"/>
        <v>Refund Issued</v>
      </c>
      <c r="Y616" t="str">
        <f t="shared" si="39"/>
        <v>Low</v>
      </c>
    </row>
    <row r="617" spans="1:25" ht="27.6">
      <c r="A617" t="s">
        <v>2071</v>
      </c>
      <c r="B617" t="s">
        <v>2072</v>
      </c>
      <c r="C617" t="s">
        <v>2073</v>
      </c>
      <c r="D617" s="2">
        <v>46077</v>
      </c>
      <c r="E617" t="s">
        <v>24</v>
      </c>
      <c r="F617" t="s">
        <v>25</v>
      </c>
      <c r="G617" s="3">
        <v>51.31</v>
      </c>
      <c r="H617" t="s">
        <v>49</v>
      </c>
      <c r="I617" t="s">
        <v>27</v>
      </c>
      <c r="J617" s="4" t="s">
        <v>42</v>
      </c>
      <c r="K617" t="s">
        <v>29</v>
      </c>
      <c r="L617" t="s">
        <v>30</v>
      </c>
      <c r="M617" t="s">
        <v>31</v>
      </c>
      <c r="N617" t="s">
        <v>32</v>
      </c>
      <c r="O617">
        <v>5</v>
      </c>
      <c r="P617">
        <v>2</v>
      </c>
      <c r="Q617" t="s">
        <v>33</v>
      </c>
      <c r="R617" t="s">
        <v>34</v>
      </c>
      <c r="S617" s="3">
        <v>25.66</v>
      </c>
      <c r="T617" t="s">
        <v>43</v>
      </c>
      <c r="U617" t="s">
        <v>36</v>
      </c>
      <c r="V617" t="str">
        <f t="shared" si="36"/>
        <v>2026-02</v>
      </c>
      <c r="W617" t="str">
        <f t="shared" si="37"/>
        <v>0-3 days</v>
      </c>
      <c r="X617" t="str">
        <f t="shared" si="38"/>
        <v>Refund Issued</v>
      </c>
      <c r="Y617" t="str">
        <f t="shared" si="39"/>
        <v>High</v>
      </c>
    </row>
    <row r="618" spans="1:25" ht="27.6">
      <c r="A618" t="s">
        <v>2074</v>
      </c>
      <c r="B618" t="s">
        <v>2075</v>
      </c>
      <c r="C618" t="s">
        <v>2076</v>
      </c>
      <c r="D618" s="2">
        <v>46068</v>
      </c>
      <c r="E618" t="s">
        <v>24</v>
      </c>
      <c r="F618" t="s">
        <v>25</v>
      </c>
      <c r="G618" s="3">
        <v>33.21</v>
      </c>
      <c r="H618" t="s">
        <v>58</v>
      </c>
      <c r="I618" t="s">
        <v>27</v>
      </c>
      <c r="J618" s="4" t="s">
        <v>42</v>
      </c>
      <c r="K618" t="s">
        <v>29</v>
      </c>
      <c r="L618" t="s">
        <v>30</v>
      </c>
      <c r="M618" t="s">
        <v>31</v>
      </c>
      <c r="N618" t="s">
        <v>84</v>
      </c>
      <c r="O618">
        <v>5</v>
      </c>
      <c r="P618">
        <v>4</v>
      </c>
      <c r="Q618" t="s">
        <v>33</v>
      </c>
      <c r="R618" t="s">
        <v>34</v>
      </c>
      <c r="S618" s="3">
        <v>0</v>
      </c>
      <c r="T618" t="s">
        <v>110</v>
      </c>
      <c r="U618" t="s">
        <v>36</v>
      </c>
      <c r="V618" t="str">
        <f t="shared" si="36"/>
        <v>2026-02</v>
      </c>
      <c r="W618" t="str">
        <f t="shared" si="37"/>
        <v>4-7 days</v>
      </c>
      <c r="X618" t="str">
        <f t="shared" si="38"/>
        <v>No Refund</v>
      </c>
      <c r="Y618" t="str">
        <f t="shared" si="39"/>
        <v>High</v>
      </c>
    </row>
    <row r="619" spans="1:25" ht="27.6">
      <c r="A619" t="s">
        <v>2077</v>
      </c>
      <c r="B619" t="s">
        <v>2078</v>
      </c>
      <c r="C619" t="s">
        <v>2079</v>
      </c>
      <c r="D619" s="2">
        <v>46073</v>
      </c>
      <c r="E619" t="s">
        <v>24</v>
      </c>
      <c r="F619" t="s">
        <v>82</v>
      </c>
      <c r="G619" s="3">
        <v>36.06</v>
      </c>
      <c r="H619" t="s">
        <v>74</v>
      </c>
      <c r="I619" t="s">
        <v>67</v>
      </c>
      <c r="J619" s="4" t="s">
        <v>114</v>
      </c>
      <c r="K619" t="s">
        <v>29</v>
      </c>
      <c r="L619" t="s">
        <v>30</v>
      </c>
      <c r="M619" t="s">
        <v>31</v>
      </c>
      <c r="N619" t="s">
        <v>32</v>
      </c>
      <c r="O619">
        <v>7</v>
      </c>
      <c r="P619">
        <v>3</v>
      </c>
      <c r="Q619" t="s">
        <v>33</v>
      </c>
      <c r="R619" t="s">
        <v>85</v>
      </c>
      <c r="S619" s="3">
        <v>0</v>
      </c>
      <c r="T619" t="s">
        <v>62</v>
      </c>
      <c r="U619" t="s">
        <v>53</v>
      </c>
      <c r="V619" t="str">
        <f t="shared" si="36"/>
        <v>2026-02</v>
      </c>
      <c r="W619" t="str">
        <f t="shared" si="37"/>
        <v>0-3 days</v>
      </c>
      <c r="X619" t="str">
        <f t="shared" si="38"/>
        <v>No Refund</v>
      </c>
      <c r="Y619" t="str">
        <f t="shared" si="39"/>
        <v>High</v>
      </c>
    </row>
    <row r="620" spans="1:25" ht="27.6">
      <c r="A620" t="s">
        <v>2080</v>
      </c>
      <c r="B620" t="s">
        <v>264</v>
      </c>
      <c r="C620" t="s">
        <v>2081</v>
      </c>
      <c r="D620" s="2">
        <v>46104</v>
      </c>
      <c r="E620" t="s">
        <v>24</v>
      </c>
      <c r="F620" t="s">
        <v>73</v>
      </c>
      <c r="G620" s="3">
        <v>143.13999999999999</v>
      </c>
      <c r="H620" t="s">
        <v>41</v>
      </c>
      <c r="I620" t="s">
        <v>27</v>
      </c>
      <c r="J620" s="4" t="s">
        <v>389</v>
      </c>
      <c r="K620" t="s">
        <v>33</v>
      </c>
      <c r="L620" t="s">
        <v>60</v>
      </c>
      <c r="M620" t="s">
        <v>31</v>
      </c>
      <c r="N620" t="s">
        <v>84</v>
      </c>
      <c r="O620">
        <v>10</v>
      </c>
      <c r="P620">
        <v>13</v>
      </c>
      <c r="Q620" t="s">
        <v>29</v>
      </c>
      <c r="R620" t="s">
        <v>61</v>
      </c>
      <c r="S620" s="3">
        <v>0</v>
      </c>
      <c r="T620" t="s">
        <v>52</v>
      </c>
      <c r="U620" t="s">
        <v>63</v>
      </c>
      <c r="V620" t="str">
        <f t="shared" si="36"/>
        <v>2026-03</v>
      </c>
      <c r="W620" t="str">
        <f t="shared" si="37"/>
        <v>8-14 days</v>
      </c>
      <c r="X620" t="str">
        <f t="shared" si="38"/>
        <v>No Refund</v>
      </c>
      <c r="Y620" t="str">
        <f t="shared" si="39"/>
        <v>Low</v>
      </c>
    </row>
    <row r="621" spans="1:25" ht="27.6">
      <c r="A621" t="s">
        <v>2082</v>
      </c>
      <c r="B621" t="s">
        <v>2083</v>
      </c>
      <c r="C621" t="s">
        <v>2084</v>
      </c>
      <c r="D621" s="2">
        <v>46078</v>
      </c>
      <c r="E621" t="s">
        <v>40</v>
      </c>
      <c r="F621" t="s">
        <v>25</v>
      </c>
      <c r="G621" s="3">
        <v>143.97999999999999</v>
      </c>
      <c r="H621" t="s">
        <v>89</v>
      </c>
      <c r="I621" t="s">
        <v>27</v>
      </c>
      <c r="J621" s="4" t="s">
        <v>2085</v>
      </c>
      <c r="K621" t="s">
        <v>33</v>
      </c>
      <c r="L621" t="s">
        <v>30</v>
      </c>
      <c r="M621" t="s">
        <v>31</v>
      </c>
      <c r="N621" t="s">
        <v>126</v>
      </c>
      <c r="O621">
        <v>5</v>
      </c>
      <c r="P621">
        <v>10</v>
      </c>
      <c r="Q621" t="s">
        <v>29</v>
      </c>
      <c r="R621" t="s">
        <v>34</v>
      </c>
      <c r="S621" s="3">
        <v>0</v>
      </c>
      <c r="T621" t="s">
        <v>110</v>
      </c>
      <c r="U621" t="s">
        <v>63</v>
      </c>
      <c r="V621" t="str">
        <f t="shared" si="36"/>
        <v>2026-02</v>
      </c>
      <c r="W621" t="str">
        <f t="shared" si="37"/>
        <v>8-14 days</v>
      </c>
      <c r="X621" t="str">
        <f t="shared" si="38"/>
        <v>No Refund</v>
      </c>
      <c r="Y621" t="str">
        <f t="shared" si="39"/>
        <v>High</v>
      </c>
    </row>
    <row r="622" spans="1:25" ht="27.6">
      <c r="A622" t="s">
        <v>2086</v>
      </c>
      <c r="B622" t="s">
        <v>2087</v>
      </c>
      <c r="C622" t="s">
        <v>2088</v>
      </c>
      <c r="D622" s="2">
        <v>46116</v>
      </c>
      <c r="E622" t="s">
        <v>24</v>
      </c>
      <c r="F622" t="s">
        <v>73</v>
      </c>
      <c r="G622" s="3">
        <v>41.39</v>
      </c>
      <c r="H622" t="s">
        <v>58</v>
      </c>
      <c r="I622" t="s">
        <v>50</v>
      </c>
      <c r="J622" s="4" t="s">
        <v>75</v>
      </c>
      <c r="K622" t="s">
        <v>33</v>
      </c>
      <c r="L622" t="s">
        <v>60</v>
      </c>
      <c r="M622" t="s">
        <v>31</v>
      </c>
      <c r="N622" t="s">
        <v>32</v>
      </c>
      <c r="O622">
        <v>10</v>
      </c>
      <c r="P622">
        <v>11</v>
      </c>
      <c r="Q622" t="s">
        <v>29</v>
      </c>
      <c r="R622" t="s">
        <v>61</v>
      </c>
      <c r="S622" s="3">
        <v>31.04</v>
      </c>
      <c r="T622" t="s">
        <v>52</v>
      </c>
      <c r="U622" t="s">
        <v>63</v>
      </c>
      <c r="V622" t="str">
        <f t="shared" si="36"/>
        <v>2026-04</v>
      </c>
      <c r="W622" t="str">
        <f t="shared" si="37"/>
        <v>8-14 days</v>
      </c>
      <c r="X622" t="str">
        <f t="shared" si="38"/>
        <v>Refund Issued</v>
      </c>
      <c r="Y622" t="str">
        <f t="shared" si="39"/>
        <v>Low</v>
      </c>
    </row>
    <row r="623" spans="1:25" ht="27.6">
      <c r="A623" t="s">
        <v>2089</v>
      </c>
      <c r="B623" t="s">
        <v>2090</v>
      </c>
      <c r="C623" t="s">
        <v>2091</v>
      </c>
      <c r="D623" s="2">
        <v>46132</v>
      </c>
      <c r="E623" t="s">
        <v>24</v>
      </c>
      <c r="F623" t="s">
        <v>172</v>
      </c>
      <c r="G623" s="3">
        <v>16.91</v>
      </c>
      <c r="H623" t="s">
        <v>41</v>
      </c>
      <c r="I623" t="s">
        <v>67</v>
      </c>
      <c r="J623" s="4" t="s">
        <v>173</v>
      </c>
      <c r="K623" t="s">
        <v>29</v>
      </c>
      <c r="L623" t="s">
        <v>30</v>
      </c>
      <c r="M623" t="s">
        <v>31</v>
      </c>
      <c r="N623" t="s">
        <v>32</v>
      </c>
      <c r="O623">
        <v>7</v>
      </c>
      <c r="P623">
        <v>9</v>
      </c>
      <c r="Q623" t="s">
        <v>29</v>
      </c>
      <c r="R623" t="s">
        <v>174</v>
      </c>
      <c r="S623" s="3">
        <v>0</v>
      </c>
      <c r="T623" t="s">
        <v>286</v>
      </c>
      <c r="U623" t="s">
        <v>63</v>
      </c>
      <c r="V623" t="str">
        <f t="shared" si="36"/>
        <v>2026-04</v>
      </c>
      <c r="W623" t="str">
        <f t="shared" si="37"/>
        <v>8-14 days</v>
      </c>
      <c r="X623" t="str">
        <f t="shared" si="38"/>
        <v>No Refund</v>
      </c>
      <c r="Y623" t="str">
        <f t="shared" si="39"/>
        <v>Medium</v>
      </c>
    </row>
    <row r="624" spans="1:25" ht="27.6">
      <c r="A624" t="s">
        <v>2092</v>
      </c>
      <c r="B624" t="s">
        <v>1560</v>
      </c>
      <c r="C624" t="s">
        <v>2093</v>
      </c>
      <c r="D624" s="2">
        <v>46049</v>
      </c>
      <c r="E624" t="s">
        <v>24</v>
      </c>
      <c r="F624" t="s">
        <v>25</v>
      </c>
      <c r="G624" s="3">
        <v>106.58</v>
      </c>
      <c r="H624" t="s">
        <v>89</v>
      </c>
      <c r="I624" t="s">
        <v>27</v>
      </c>
      <c r="J624" s="4" t="s">
        <v>2094</v>
      </c>
      <c r="K624" t="s">
        <v>29</v>
      </c>
      <c r="L624" t="s">
        <v>30</v>
      </c>
      <c r="M624" t="s">
        <v>31</v>
      </c>
      <c r="N624" t="s">
        <v>84</v>
      </c>
      <c r="O624">
        <v>5</v>
      </c>
      <c r="P624">
        <v>7</v>
      </c>
      <c r="Q624" t="s">
        <v>29</v>
      </c>
      <c r="R624" t="s">
        <v>34</v>
      </c>
      <c r="S624" s="3">
        <v>0</v>
      </c>
      <c r="T624" t="s">
        <v>35</v>
      </c>
      <c r="U624" t="s">
        <v>63</v>
      </c>
      <c r="V624" t="str">
        <f t="shared" si="36"/>
        <v>2026-01</v>
      </c>
      <c r="W624" t="str">
        <f t="shared" si="37"/>
        <v>4-7 days</v>
      </c>
      <c r="X624" t="str">
        <f t="shared" si="38"/>
        <v>No Refund</v>
      </c>
      <c r="Y624" t="str">
        <f t="shared" si="39"/>
        <v>High</v>
      </c>
    </row>
    <row r="625" spans="1:25" ht="27.6">
      <c r="A625" t="s">
        <v>2095</v>
      </c>
      <c r="B625" t="s">
        <v>2096</v>
      </c>
      <c r="C625" t="s">
        <v>2097</v>
      </c>
      <c r="D625" s="2">
        <v>46120</v>
      </c>
      <c r="E625" t="s">
        <v>24</v>
      </c>
      <c r="F625" t="s">
        <v>73</v>
      </c>
      <c r="G625" s="3">
        <v>111.24</v>
      </c>
      <c r="H625" t="s">
        <v>49</v>
      </c>
      <c r="I625" t="s">
        <v>67</v>
      </c>
      <c r="J625" s="4" t="s">
        <v>75</v>
      </c>
      <c r="K625" t="s">
        <v>29</v>
      </c>
      <c r="L625" t="s">
        <v>60</v>
      </c>
      <c r="M625" t="s">
        <v>31</v>
      </c>
      <c r="N625" t="s">
        <v>32</v>
      </c>
      <c r="O625">
        <v>10</v>
      </c>
      <c r="P625">
        <v>6</v>
      </c>
      <c r="Q625" t="s">
        <v>33</v>
      </c>
      <c r="R625" t="s">
        <v>61</v>
      </c>
      <c r="S625" s="3">
        <v>111.24</v>
      </c>
      <c r="T625" t="s">
        <v>62</v>
      </c>
      <c r="U625" t="s">
        <v>63</v>
      </c>
      <c r="V625" t="str">
        <f t="shared" si="36"/>
        <v>2026-04</v>
      </c>
      <c r="W625" t="str">
        <f t="shared" si="37"/>
        <v>4-7 days</v>
      </c>
      <c r="X625" t="str">
        <f t="shared" si="38"/>
        <v>Refund Issued</v>
      </c>
      <c r="Y625" t="str">
        <f t="shared" si="39"/>
        <v>Low</v>
      </c>
    </row>
    <row r="626" spans="1:25" ht="27.6">
      <c r="A626" t="s">
        <v>2098</v>
      </c>
      <c r="B626" t="s">
        <v>2099</v>
      </c>
      <c r="C626" t="s">
        <v>2100</v>
      </c>
      <c r="D626" s="2">
        <v>46091</v>
      </c>
      <c r="E626" t="s">
        <v>94</v>
      </c>
      <c r="F626" t="s">
        <v>118</v>
      </c>
      <c r="G626" s="3">
        <v>34.33</v>
      </c>
      <c r="H626" t="s">
        <v>108</v>
      </c>
      <c r="I626" t="s">
        <v>27</v>
      </c>
      <c r="J626" s="4" t="s">
        <v>119</v>
      </c>
      <c r="K626" t="s">
        <v>29</v>
      </c>
      <c r="L626" t="s">
        <v>120</v>
      </c>
      <c r="M626" t="s">
        <v>96</v>
      </c>
      <c r="N626" t="s">
        <v>32</v>
      </c>
      <c r="O626">
        <v>5</v>
      </c>
      <c r="P626">
        <v>4</v>
      </c>
      <c r="Q626" t="s">
        <v>33</v>
      </c>
      <c r="R626" t="s">
        <v>85</v>
      </c>
      <c r="S626" s="3">
        <v>34.33</v>
      </c>
      <c r="T626" t="s">
        <v>121</v>
      </c>
      <c r="U626" t="s">
        <v>36</v>
      </c>
      <c r="V626" t="str">
        <f t="shared" si="36"/>
        <v>2026-03</v>
      </c>
      <c r="W626" t="str">
        <f t="shared" si="37"/>
        <v>4-7 days</v>
      </c>
      <c r="X626" t="str">
        <f t="shared" si="38"/>
        <v>Refund Issued</v>
      </c>
      <c r="Y626" t="str">
        <f t="shared" si="39"/>
        <v>High</v>
      </c>
    </row>
    <row r="627" spans="1:25" ht="27.6">
      <c r="A627" t="s">
        <v>2101</v>
      </c>
      <c r="B627" t="s">
        <v>2102</v>
      </c>
      <c r="C627" t="s">
        <v>2103</v>
      </c>
      <c r="D627" s="2">
        <v>46133</v>
      </c>
      <c r="E627" t="s">
        <v>24</v>
      </c>
      <c r="F627" t="s">
        <v>48</v>
      </c>
      <c r="G627" s="3">
        <v>11.47</v>
      </c>
      <c r="H627" t="s">
        <v>49</v>
      </c>
      <c r="I627" t="s">
        <v>27</v>
      </c>
      <c r="J627" s="4" t="s">
        <v>68</v>
      </c>
      <c r="K627" t="s">
        <v>33</v>
      </c>
      <c r="L627" t="s">
        <v>30</v>
      </c>
      <c r="M627" t="s">
        <v>31</v>
      </c>
      <c r="N627" t="s">
        <v>32</v>
      </c>
      <c r="O627">
        <v>10</v>
      </c>
      <c r="P627">
        <v>3</v>
      </c>
      <c r="Q627" t="s">
        <v>33</v>
      </c>
      <c r="R627" t="s">
        <v>34</v>
      </c>
      <c r="S627" s="3">
        <v>0</v>
      </c>
      <c r="T627" t="s">
        <v>52</v>
      </c>
      <c r="U627" t="s">
        <v>53</v>
      </c>
      <c r="V627" t="str">
        <f t="shared" si="36"/>
        <v>2026-04</v>
      </c>
      <c r="W627" t="str">
        <f t="shared" si="37"/>
        <v>0-3 days</v>
      </c>
      <c r="X627" t="str">
        <f t="shared" si="38"/>
        <v>No Refund</v>
      </c>
      <c r="Y627" t="str">
        <f t="shared" si="39"/>
        <v>Low</v>
      </c>
    </row>
    <row r="628" spans="1:25" ht="27.6">
      <c r="A628" t="s">
        <v>2104</v>
      </c>
      <c r="B628" t="s">
        <v>2105</v>
      </c>
      <c r="C628" t="s">
        <v>2106</v>
      </c>
      <c r="D628" s="2">
        <v>46063</v>
      </c>
      <c r="E628" t="s">
        <v>47</v>
      </c>
      <c r="F628" t="s">
        <v>25</v>
      </c>
      <c r="G628" s="3">
        <v>98.09</v>
      </c>
      <c r="H628" t="s">
        <v>58</v>
      </c>
      <c r="I628" t="s">
        <v>50</v>
      </c>
      <c r="J628" s="4" t="s">
        <v>42</v>
      </c>
      <c r="K628" t="s">
        <v>29</v>
      </c>
      <c r="L628" t="s">
        <v>30</v>
      </c>
      <c r="M628" t="s">
        <v>96</v>
      </c>
      <c r="N628" t="s">
        <v>32</v>
      </c>
      <c r="O628">
        <v>5</v>
      </c>
      <c r="P628">
        <v>10</v>
      </c>
      <c r="Q628" t="s">
        <v>29</v>
      </c>
      <c r="R628" t="s">
        <v>34</v>
      </c>
      <c r="S628" s="3">
        <v>98.09</v>
      </c>
      <c r="T628" t="s">
        <v>35</v>
      </c>
      <c r="U628" t="s">
        <v>63</v>
      </c>
      <c r="V628" t="str">
        <f t="shared" si="36"/>
        <v>2026-02</v>
      </c>
      <c r="W628" t="str">
        <f t="shared" si="37"/>
        <v>8-14 days</v>
      </c>
      <c r="X628" t="str">
        <f t="shared" si="38"/>
        <v>Refund Issued</v>
      </c>
      <c r="Y628" t="str">
        <f t="shared" si="39"/>
        <v>High</v>
      </c>
    </row>
    <row r="629" spans="1:25" ht="27.6">
      <c r="A629" t="s">
        <v>2107</v>
      </c>
      <c r="B629" t="s">
        <v>2108</v>
      </c>
      <c r="C629" t="s">
        <v>2109</v>
      </c>
      <c r="D629" s="2">
        <v>46046</v>
      </c>
      <c r="E629" t="s">
        <v>24</v>
      </c>
      <c r="F629" t="s">
        <v>25</v>
      </c>
      <c r="G629" s="3">
        <v>64.39</v>
      </c>
      <c r="H629" t="s">
        <v>89</v>
      </c>
      <c r="I629" t="s">
        <v>50</v>
      </c>
      <c r="J629" s="4" t="s">
        <v>2110</v>
      </c>
      <c r="K629" t="s">
        <v>33</v>
      </c>
      <c r="L629" t="s">
        <v>30</v>
      </c>
      <c r="M629" t="s">
        <v>31</v>
      </c>
      <c r="N629" t="s">
        <v>32</v>
      </c>
      <c r="O629">
        <v>5</v>
      </c>
      <c r="P629">
        <v>6</v>
      </c>
      <c r="Q629" t="s">
        <v>29</v>
      </c>
      <c r="R629" t="s">
        <v>34</v>
      </c>
      <c r="S629" s="3">
        <v>64.39</v>
      </c>
      <c r="T629" t="s">
        <v>110</v>
      </c>
      <c r="U629" t="s">
        <v>63</v>
      </c>
      <c r="V629" t="str">
        <f t="shared" si="36"/>
        <v>2026-01</v>
      </c>
      <c r="W629" t="str">
        <f t="shared" si="37"/>
        <v>4-7 days</v>
      </c>
      <c r="X629" t="str">
        <f t="shared" si="38"/>
        <v>Refund Issued</v>
      </c>
      <c r="Y629" t="str">
        <f t="shared" si="39"/>
        <v>High</v>
      </c>
    </row>
    <row r="630" spans="1:25" ht="27.6">
      <c r="A630" t="s">
        <v>2111</v>
      </c>
      <c r="B630" t="s">
        <v>2112</v>
      </c>
      <c r="C630" t="s">
        <v>2113</v>
      </c>
      <c r="D630" s="2">
        <v>46114</v>
      </c>
      <c r="E630" t="s">
        <v>24</v>
      </c>
      <c r="F630" t="s">
        <v>172</v>
      </c>
      <c r="G630" s="3">
        <v>24.45</v>
      </c>
      <c r="H630" t="s">
        <v>49</v>
      </c>
      <c r="I630" t="s">
        <v>27</v>
      </c>
      <c r="J630" s="4" t="s">
        <v>173</v>
      </c>
      <c r="K630" t="s">
        <v>33</v>
      </c>
      <c r="L630" t="s">
        <v>30</v>
      </c>
      <c r="M630" t="s">
        <v>31</v>
      </c>
      <c r="N630" t="s">
        <v>32</v>
      </c>
      <c r="O630">
        <v>7</v>
      </c>
      <c r="P630">
        <v>11</v>
      </c>
      <c r="Q630" t="s">
        <v>29</v>
      </c>
      <c r="R630" t="s">
        <v>174</v>
      </c>
      <c r="S630" s="3">
        <v>0</v>
      </c>
      <c r="T630" t="s">
        <v>286</v>
      </c>
      <c r="U630" t="s">
        <v>63</v>
      </c>
      <c r="V630" t="str">
        <f t="shared" si="36"/>
        <v>2026-04</v>
      </c>
      <c r="W630" t="str">
        <f t="shared" si="37"/>
        <v>8-14 days</v>
      </c>
      <c r="X630" t="str">
        <f t="shared" si="38"/>
        <v>No Refund</v>
      </c>
      <c r="Y630" t="str">
        <f t="shared" si="39"/>
        <v>Medium</v>
      </c>
    </row>
    <row r="631" spans="1:25" ht="27.6">
      <c r="A631" t="s">
        <v>2114</v>
      </c>
      <c r="B631" t="s">
        <v>2115</v>
      </c>
      <c r="C631" t="s">
        <v>2116</v>
      </c>
      <c r="D631" s="2">
        <v>46140</v>
      </c>
      <c r="E631" t="s">
        <v>94</v>
      </c>
      <c r="F631" t="s">
        <v>25</v>
      </c>
      <c r="G631" s="3">
        <v>19.93</v>
      </c>
      <c r="H631" t="s">
        <v>74</v>
      </c>
      <c r="I631" t="s">
        <v>27</v>
      </c>
      <c r="J631" s="4" t="s">
        <v>2117</v>
      </c>
      <c r="K631" t="s">
        <v>29</v>
      </c>
      <c r="L631" t="s">
        <v>30</v>
      </c>
      <c r="M631" t="s">
        <v>31</v>
      </c>
      <c r="N631" t="s">
        <v>84</v>
      </c>
      <c r="O631">
        <v>5</v>
      </c>
      <c r="P631">
        <v>1</v>
      </c>
      <c r="Q631" t="s">
        <v>33</v>
      </c>
      <c r="R631" t="s">
        <v>34</v>
      </c>
      <c r="S631" s="3">
        <v>0</v>
      </c>
      <c r="T631" t="s">
        <v>43</v>
      </c>
      <c r="U631" t="s">
        <v>36</v>
      </c>
      <c r="V631" t="str">
        <f t="shared" si="36"/>
        <v>2026-04</v>
      </c>
      <c r="W631" t="str">
        <f t="shared" si="37"/>
        <v>0-3 days</v>
      </c>
      <c r="X631" t="str">
        <f t="shared" si="38"/>
        <v>No Refund</v>
      </c>
      <c r="Y631" t="str">
        <f t="shared" si="39"/>
        <v>High</v>
      </c>
    </row>
    <row r="632" spans="1:25" ht="27.6">
      <c r="A632" t="s">
        <v>2118</v>
      </c>
      <c r="B632" t="s">
        <v>2119</v>
      </c>
      <c r="C632" t="s">
        <v>2120</v>
      </c>
      <c r="D632" s="2">
        <v>46028</v>
      </c>
      <c r="E632" t="s">
        <v>24</v>
      </c>
      <c r="F632" t="s">
        <v>82</v>
      </c>
      <c r="G632" s="3">
        <v>51.01</v>
      </c>
      <c r="H632" t="s">
        <v>108</v>
      </c>
      <c r="I632" t="s">
        <v>27</v>
      </c>
      <c r="J632" s="4" t="s">
        <v>114</v>
      </c>
      <c r="K632" t="s">
        <v>29</v>
      </c>
      <c r="L632" t="s">
        <v>30</v>
      </c>
      <c r="M632" t="s">
        <v>31</v>
      </c>
      <c r="N632" t="s">
        <v>32</v>
      </c>
      <c r="O632">
        <v>7</v>
      </c>
      <c r="P632">
        <v>6</v>
      </c>
      <c r="Q632" t="s">
        <v>33</v>
      </c>
      <c r="R632" t="s">
        <v>85</v>
      </c>
      <c r="S632" s="3">
        <v>51.01</v>
      </c>
      <c r="T632" t="s">
        <v>69</v>
      </c>
      <c r="U632" t="s">
        <v>53</v>
      </c>
      <c r="V632" t="str">
        <f t="shared" si="36"/>
        <v>2026-01</v>
      </c>
      <c r="W632" t="str">
        <f t="shared" si="37"/>
        <v>4-7 days</v>
      </c>
      <c r="X632" t="str">
        <f t="shared" si="38"/>
        <v>Refund Issued</v>
      </c>
      <c r="Y632" t="str">
        <f t="shared" si="39"/>
        <v>High</v>
      </c>
    </row>
    <row r="633" spans="1:25" ht="27.6">
      <c r="A633" t="s">
        <v>2121</v>
      </c>
      <c r="B633" t="s">
        <v>2122</v>
      </c>
      <c r="C633" t="s">
        <v>2123</v>
      </c>
      <c r="D633" s="2">
        <v>46146</v>
      </c>
      <c r="E633" t="s">
        <v>94</v>
      </c>
      <c r="F633" t="s">
        <v>172</v>
      </c>
      <c r="G633" s="3">
        <v>26.91</v>
      </c>
      <c r="H633" t="s">
        <v>89</v>
      </c>
      <c r="I633" t="s">
        <v>27</v>
      </c>
      <c r="J633" s="4" t="s">
        <v>173</v>
      </c>
      <c r="K633" t="s">
        <v>29</v>
      </c>
      <c r="L633" t="s">
        <v>30</v>
      </c>
      <c r="M633" t="s">
        <v>31</v>
      </c>
      <c r="N633" t="s">
        <v>32</v>
      </c>
      <c r="O633">
        <v>7</v>
      </c>
      <c r="P633">
        <v>6</v>
      </c>
      <c r="Q633" t="s">
        <v>33</v>
      </c>
      <c r="R633" t="s">
        <v>174</v>
      </c>
      <c r="S633" s="3">
        <v>20.18</v>
      </c>
      <c r="T633" t="s">
        <v>110</v>
      </c>
      <c r="U633" t="s">
        <v>53</v>
      </c>
      <c r="V633" t="str">
        <f t="shared" si="36"/>
        <v>2026-05</v>
      </c>
      <c r="W633" t="str">
        <f t="shared" si="37"/>
        <v>4-7 days</v>
      </c>
      <c r="X633" t="str">
        <f t="shared" si="38"/>
        <v>Refund Issued</v>
      </c>
      <c r="Y633" t="str">
        <f t="shared" si="39"/>
        <v>Medium</v>
      </c>
    </row>
    <row r="634" spans="1:25" ht="27.6">
      <c r="A634" t="s">
        <v>2124</v>
      </c>
      <c r="B634" t="s">
        <v>2125</v>
      </c>
      <c r="C634" t="s">
        <v>2126</v>
      </c>
      <c r="D634" s="2">
        <v>46058</v>
      </c>
      <c r="E634" t="s">
        <v>24</v>
      </c>
      <c r="F634" t="s">
        <v>103</v>
      </c>
      <c r="G634" s="3">
        <v>97.1</v>
      </c>
      <c r="H634" t="s">
        <v>108</v>
      </c>
      <c r="I634" t="s">
        <v>27</v>
      </c>
      <c r="J634" s="4" t="s">
        <v>104</v>
      </c>
      <c r="K634" t="s">
        <v>29</v>
      </c>
      <c r="L634" t="s">
        <v>30</v>
      </c>
      <c r="M634" t="s">
        <v>31</v>
      </c>
      <c r="N634" t="s">
        <v>32</v>
      </c>
      <c r="O634">
        <v>5</v>
      </c>
      <c r="P634">
        <v>1</v>
      </c>
      <c r="Q634" t="s">
        <v>33</v>
      </c>
      <c r="R634" t="s">
        <v>34</v>
      </c>
      <c r="S634" s="3">
        <v>0</v>
      </c>
      <c r="T634" t="s">
        <v>247</v>
      </c>
      <c r="U634" t="s">
        <v>53</v>
      </c>
      <c r="V634" t="str">
        <f t="shared" si="36"/>
        <v>2026-02</v>
      </c>
      <c r="W634" t="str">
        <f t="shared" si="37"/>
        <v>0-3 days</v>
      </c>
      <c r="X634" t="str">
        <f t="shared" si="38"/>
        <v>No Refund</v>
      </c>
      <c r="Y634" t="str">
        <f t="shared" si="39"/>
        <v>Medium</v>
      </c>
    </row>
    <row r="635" spans="1:25" ht="27.6">
      <c r="A635" t="s">
        <v>2127</v>
      </c>
      <c r="B635" t="s">
        <v>2128</v>
      </c>
      <c r="C635" t="s">
        <v>2129</v>
      </c>
      <c r="D635" s="2">
        <v>46094</v>
      </c>
      <c r="E635" t="s">
        <v>94</v>
      </c>
      <c r="F635" t="s">
        <v>25</v>
      </c>
      <c r="G635" s="3">
        <v>114.03</v>
      </c>
      <c r="H635" t="s">
        <v>74</v>
      </c>
      <c r="I635" t="s">
        <v>67</v>
      </c>
      <c r="J635" s="4" t="s">
        <v>42</v>
      </c>
      <c r="K635" t="s">
        <v>33</v>
      </c>
      <c r="L635" t="s">
        <v>30</v>
      </c>
      <c r="M635" t="s">
        <v>31</v>
      </c>
      <c r="N635" t="s">
        <v>32</v>
      </c>
      <c r="O635">
        <v>5</v>
      </c>
      <c r="P635">
        <v>10</v>
      </c>
      <c r="Q635" t="s">
        <v>29</v>
      </c>
      <c r="R635" t="s">
        <v>34</v>
      </c>
      <c r="S635" s="3">
        <v>114.03</v>
      </c>
      <c r="T635" t="s">
        <v>43</v>
      </c>
      <c r="U635" t="s">
        <v>63</v>
      </c>
      <c r="V635" t="str">
        <f t="shared" si="36"/>
        <v>2026-03</v>
      </c>
      <c r="W635" t="str">
        <f t="shared" si="37"/>
        <v>8-14 days</v>
      </c>
      <c r="X635" t="str">
        <f t="shared" si="38"/>
        <v>Refund Issued</v>
      </c>
      <c r="Y635" t="str">
        <f t="shared" si="39"/>
        <v>High</v>
      </c>
    </row>
    <row r="636" spans="1:25" ht="27.6">
      <c r="A636" t="s">
        <v>2130</v>
      </c>
      <c r="B636" t="s">
        <v>2131</v>
      </c>
      <c r="C636" t="s">
        <v>2132</v>
      </c>
      <c r="D636" s="2">
        <v>46050</v>
      </c>
      <c r="E636" t="s">
        <v>47</v>
      </c>
      <c r="F636" t="s">
        <v>82</v>
      </c>
      <c r="G636" s="3">
        <v>47.29</v>
      </c>
      <c r="H636" t="s">
        <v>58</v>
      </c>
      <c r="I636" t="s">
        <v>67</v>
      </c>
      <c r="J636" s="4" t="s">
        <v>2133</v>
      </c>
      <c r="K636" t="s">
        <v>29</v>
      </c>
      <c r="L636" t="s">
        <v>30</v>
      </c>
      <c r="M636" t="s">
        <v>31</v>
      </c>
      <c r="N636" t="s">
        <v>32</v>
      </c>
      <c r="O636">
        <v>7</v>
      </c>
      <c r="P636">
        <v>8</v>
      </c>
      <c r="Q636" t="s">
        <v>29</v>
      </c>
      <c r="R636" t="s">
        <v>85</v>
      </c>
      <c r="S636" s="3">
        <v>0</v>
      </c>
      <c r="T636" t="s">
        <v>43</v>
      </c>
      <c r="U636" t="s">
        <v>63</v>
      </c>
      <c r="V636" t="str">
        <f t="shared" si="36"/>
        <v>2026-01</v>
      </c>
      <c r="W636" t="str">
        <f t="shared" si="37"/>
        <v>8-14 days</v>
      </c>
      <c r="X636" t="str">
        <f t="shared" si="38"/>
        <v>No Refund</v>
      </c>
      <c r="Y636" t="str">
        <f t="shared" si="39"/>
        <v>High</v>
      </c>
    </row>
    <row r="637" spans="1:25" ht="27.6">
      <c r="A637" t="s">
        <v>2134</v>
      </c>
      <c r="B637" t="s">
        <v>2135</v>
      </c>
      <c r="C637" t="s">
        <v>2136</v>
      </c>
      <c r="D637" s="2">
        <v>46052</v>
      </c>
      <c r="E637" t="s">
        <v>24</v>
      </c>
      <c r="F637" t="s">
        <v>118</v>
      </c>
      <c r="G637" s="3">
        <v>78.290000000000006</v>
      </c>
      <c r="H637" t="s">
        <v>26</v>
      </c>
      <c r="I637" t="s">
        <v>27</v>
      </c>
      <c r="J637" s="4" t="s">
        <v>2137</v>
      </c>
      <c r="K637" t="s">
        <v>29</v>
      </c>
      <c r="L637" t="s">
        <v>120</v>
      </c>
      <c r="M637" t="s">
        <v>96</v>
      </c>
      <c r="N637" t="s">
        <v>32</v>
      </c>
      <c r="O637">
        <v>5</v>
      </c>
      <c r="P637">
        <v>2</v>
      </c>
      <c r="Q637" t="s">
        <v>33</v>
      </c>
      <c r="R637" t="s">
        <v>85</v>
      </c>
      <c r="S637" s="3">
        <v>78.290000000000006</v>
      </c>
      <c r="T637" t="s">
        <v>121</v>
      </c>
      <c r="U637" t="s">
        <v>36</v>
      </c>
      <c r="V637" t="str">
        <f t="shared" si="36"/>
        <v>2026-01</v>
      </c>
      <c r="W637" t="str">
        <f t="shared" si="37"/>
        <v>0-3 days</v>
      </c>
      <c r="X637" t="str">
        <f t="shared" si="38"/>
        <v>Refund Issued</v>
      </c>
      <c r="Y637" t="str">
        <f t="shared" si="39"/>
        <v>High</v>
      </c>
    </row>
    <row r="638" spans="1:25" ht="27.6">
      <c r="A638" t="s">
        <v>2138</v>
      </c>
      <c r="B638" t="s">
        <v>2139</v>
      </c>
      <c r="C638" t="s">
        <v>2140</v>
      </c>
      <c r="D638" s="2">
        <v>46025</v>
      </c>
      <c r="E638" t="s">
        <v>40</v>
      </c>
      <c r="F638" t="s">
        <v>118</v>
      </c>
      <c r="G638" s="3">
        <v>46.76</v>
      </c>
      <c r="H638" t="s">
        <v>74</v>
      </c>
      <c r="I638" t="s">
        <v>50</v>
      </c>
      <c r="J638" s="4" t="s">
        <v>2141</v>
      </c>
      <c r="K638" t="s">
        <v>29</v>
      </c>
      <c r="L638" t="s">
        <v>120</v>
      </c>
      <c r="M638" t="s">
        <v>96</v>
      </c>
      <c r="N638" t="s">
        <v>32</v>
      </c>
      <c r="O638">
        <v>5</v>
      </c>
      <c r="P638">
        <v>1</v>
      </c>
      <c r="Q638" t="s">
        <v>33</v>
      </c>
      <c r="R638" t="s">
        <v>85</v>
      </c>
      <c r="S638" s="3">
        <v>46.76</v>
      </c>
      <c r="T638" t="s">
        <v>121</v>
      </c>
      <c r="U638" t="s">
        <v>36</v>
      </c>
      <c r="V638" t="str">
        <f t="shared" si="36"/>
        <v>2026-01</v>
      </c>
      <c r="W638" t="str">
        <f t="shared" si="37"/>
        <v>0-3 days</v>
      </c>
      <c r="X638" t="str">
        <f t="shared" si="38"/>
        <v>Refund Issued</v>
      </c>
      <c r="Y638" t="str">
        <f t="shared" si="39"/>
        <v>High</v>
      </c>
    </row>
    <row r="639" spans="1:25" ht="27.6">
      <c r="A639" t="s">
        <v>2142</v>
      </c>
      <c r="B639" t="s">
        <v>2143</v>
      </c>
      <c r="C639" t="s">
        <v>2144</v>
      </c>
      <c r="D639" s="2">
        <v>46134</v>
      </c>
      <c r="E639" t="s">
        <v>24</v>
      </c>
      <c r="F639" t="s">
        <v>118</v>
      </c>
      <c r="G639" s="3">
        <v>33.049999999999997</v>
      </c>
      <c r="H639" t="s">
        <v>108</v>
      </c>
      <c r="I639" t="s">
        <v>27</v>
      </c>
      <c r="J639" s="4" t="s">
        <v>2145</v>
      </c>
      <c r="K639" t="s">
        <v>29</v>
      </c>
      <c r="L639" t="s">
        <v>120</v>
      </c>
      <c r="M639" t="s">
        <v>96</v>
      </c>
      <c r="N639" t="s">
        <v>32</v>
      </c>
      <c r="O639">
        <v>5</v>
      </c>
      <c r="P639">
        <v>1</v>
      </c>
      <c r="Q639" t="s">
        <v>33</v>
      </c>
      <c r="R639" t="s">
        <v>85</v>
      </c>
      <c r="S639" s="3">
        <v>33.049999999999997</v>
      </c>
      <c r="T639" t="s">
        <v>121</v>
      </c>
      <c r="U639" t="s">
        <v>36</v>
      </c>
      <c r="V639" t="str">
        <f t="shared" si="36"/>
        <v>2026-04</v>
      </c>
      <c r="W639" t="str">
        <f t="shared" si="37"/>
        <v>0-3 days</v>
      </c>
      <c r="X639" t="str">
        <f t="shared" si="38"/>
        <v>Refund Issued</v>
      </c>
      <c r="Y639" t="str">
        <f t="shared" si="39"/>
        <v>High</v>
      </c>
    </row>
    <row r="640" spans="1:25" ht="27.6">
      <c r="A640" t="s">
        <v>2146</v>
      </c>
      <c r="B640" t="s">
        <v>2147</v>
      </c>
      <c r="C640" t="s">
        <v>2148</v>
      </c>
      <c r="D640" s="2">
        <v>46027</v>
      </c>
      <c r="E640" t="s">
        <v>40</v>
      </c>
      <c r="F640" t="s">
        <v>73</v>
      </c>
      <c r="G640" s="3">
        <v>5.55</v>
      </c>
      <c r="H640" t="s">
        <v>108</v>
      </c>
      <c r="I640" t="s">
        <v>27</v>
      </c>
      <c r="J640" s="4" t="s">
        <v>389</v>
      </c>
      <c r="K640" t="s">
        <v>29</v>
      </c>
      <c r="L640" t="s">
        <v>60</v>
      </c>
      <c r="M640" t="s">
        <v>31</v>
      </c>
      <c r="N640" t="s">
        <v>32</v>
      </c>
      <c r="O640">
        <v>10</v>
      </c>
      <c r="P640">
        <v>15</v>
      </c>
      <c r="Q640" t="s">
        <v>29</v>
      </c>
      <c r="R640" t="s">
        <v>61</v>
      </c>
      <c r="S640" s="3">
        <v>4.16</v>
      </c>
      <c r="T640" t="s">
        <v>62</v>
      </c>
      <c r="U640" t="s">
        <v>63</v>
      </c>
      <c r="V640" t="str">
        <f t="shared" si="36"/>
        <v>2026-01</v>
      </c>
      <c r="W640" t="str">
        <f t="shared" si="37"/>
        <v>15+ days</v>
      </c>
      <c r="X640" t="str">
        <f t="shared" si="38"/>
        <v>Refund Issued</v>
      </c>
      <c r="Y640" t="str">
        <f t="shared" si="39"/>
        <v>Low</v>
      </c>
    </row>
    <row r="641" spans="1:25" ht="27.6">
      <c r="A641" t="s">
        <v>2149</v>
      </c>
      <c r="B641" t="s">
        <v>2150</v>
      </c>
      <c r="C641" t="s">
        <v>2151</v>
      </c>
      <c r="D641" s="2">
        <v>46111</v>
      </c>
      <c r="E641" t="s">
        <v>24</v>
      </c>
      <c r="F641" t="s">
        <v>172</v>
      </c>
      <c r="G641" s="3">
        <v>20.03</v>
      </c>
      <c r="H641" t="s">
        <v>108</v>
      </c>
      <c r="I641" t="s">
        <v>27</v>
      </c>
      <c r="J641" s="4" t="s">
        <v>285</v>
      </c>
      <c r="K641" t="s">
        <v>33</v>
      </c>
      <c r="L641" t="s">
        <v>30</v>
      </c>
      <c r="M641" t="s">
        <v>31</v>
      </c>
      <c r="N641" t="s">
        <v>84</v>
      </c>
      <c r="O641">
        <v>7</v>
      </c>
      <c r="P641">
        <v>12</v>
      </c>
      <c r="Q641" t="s">
        <v>29</v>
      </c>
      <c r="R641" t="s">
        <v>174</v>
      </c>
      <c r="S641" s="3">
        <v>0</v>
      </c>
      <c r="T641" t="s">
        <v>286</v>
      </c>
      <c r="U641" t="s">
        <v>63</v>
      </c>
      <c r="V641" t="str">
        <f t="shared" si="36"/>
        <v>2026-03</v>
      </c>
      <c r="W641" t="str">
        <f t="shared" si="37"/>
        <v>8-14 days</v>
      </c>
      <c r="X641" t="str">
        <f t="shared" si="38"/>
        <v>No Refund</v>
      </c>
      <c r="Y641" t="str">
        <f t="shared" si="39"/>
        <v>Medium</v>
      </c>
    </row>
    <row r="642" spans="1:25" ht="27.6">
      <c r="A642" t="s">
        <v>2152</v>
      </c>
      <c r="B642" t="s">
        <v>2153</v>
      </c>
      <c r="C642" t="s">
        <v>2154</v>
      </c>
      <c r="D642" s="2">
        <v>46080</v>
      </c>
      <c r="E642" t="s">
        <v>24</v>
      </c>
      <c r="F642" t="s">
        <v>25</v>
      </c>
      <c r="G642" s="3">
        <v>17.28</v>
      </c>
      <c r="H642" t="s">
        <v>58</v>
      </c>
      <c r="I642" t="s">
        <v>50</v>
      </c>
      <c r="J642" s="4" t="s">
        <v>2155</v>
      </c>
      <c r="K642" t="s">
        <v>29</v>
      </c>
      <c r="L642" t="s">
        <v>30</v>
      </c>
      <c r="M642" t="s">
        <v>96</v>
      </c>
      <c r="N642" t="s">
        <v>32</v>
      </c>
      <c r="O642">
        <v>5</v>
      </c>
      <c r="P642">
        <v>8</v>
      </c>
      <c r="Q642" t="s">
        <v>29</v>
      </c>
      <c r="R642" t="s">
        <v>34</v>
      </c>
      <c r="S642" s="3">
        <v>17.28</v>
      </c>
      <c r="T642" t="s">
        <v>110</v>
      </c>
      <c r="U642" t="s">
        <v>63</v>
      </c>
      <c r="V642" t="str">
        <f t="shared" ref="V642:V705" si="40">TEXT(D642,"yyyy-mm")</f>
        <v>2026-02</v>
      </c>
      <c r="W642" t="str">
        <f t="shared" ref="W642:W705" si="41">IF(P642&lt;=3,"0-3 days",IF(P642&lt;=7,"4-7 days",IF(P642&lt;=14,"8-14 days","15+ days")))</f>
        <v>8-14 days</v>
      </c>
      <c r="X642" t="str">
        <f t="shared" ref="X642:X705" si="42">IF(S642&gt;0,"Refund Issued","No Refund")</f>
        <v>Refund Issued</v>
      </c>
      <c r="Y642" t="str">
        <f t="shared" ref="Y642:Y705" si="43">IF(OR(F642="Failed Payment",F642="Duplicate Debit",F642="Refund Delay"),"High",IF(OR(F642="Merchant Not Credited",F642="Wrong Amount Debited"),"Medium","Low"))</f>
        <v>High</v>
      </c>
    </row>
    <row r="643" spans="1:25" ht="27.6">
      <c r="A643" t="s">
        <v>2156</v>
      </c>
      <c r="B643" t="s">
        <v>494</v>
      </c>
      <c r="C643" t="s">
        <v>2157</v>
      </c>
      <c r="D643" s="2">
        <v>46034</v>
      </c>
      <c r="E643" t="s">
        <v>24</v>
      </c>
      <c r="F643" t="s">
        <v>48</v>
      </c>
      <c r="G643" s="3">
        <v>16.059999999999999</v>
      </c>
      <c r="H643" t="s">
        <v>89</v>
      </c>
      <c r="I643" t="s">
        <v>67</v>
      </c>
      <c r="J643" s="4" t="s">
        <v>51</v>
      </c>
      <c r="K643" t="s">
        <v>29</v>
      </c>
      <c r="L643" t="s">
        <v>30</v>
      </c>
      <c r="M643" t="s">
        <v>31</v>
      </c>
      <c r="N643" t="s">
        <v>32</v>
      </c>
      <c r="O643">
        <v>10</v>
      </c>
      <c r="P643">
        <v>12</v>
      </c>
      <c r="Q643" t="s">
        <v>29</v>
      </c>
      <c r="R643" t="s">
        <v>34</v>
      </c>
      <c r="S643" s="3">
        <v>12.04</v>
      </c>
      <c r="T643" t="s">
        <v>62</v>
      </c>
      <c r="U643" t="s">
        <v>63</v>
      </c>
      <c r="V643" t="str">
        <f t="shared" si="40"/>
        <v>2026-01</v>
      </c>
      <c r="W643" t="str">
        <f t="shared" si="41"/>
        <v>8-14 days</v>
      </c>
      <c r="X643" t="str">
        <f t="shared" si="42"/>
        <v>Refund Issued</v>
      </c>
      <c r="Y643" t="str">
        <f t="shared" si="43"/>
        <v>Low</v>
      </c>
    </row>
    <row r="644" spans="1:25" ht="27.6">
      <c r="A644" t="s">
        <v>2158</v>
      </c>
      <c r="B644" t="s">
        <v>2159</v>
      </c>
      <c r="C644" t="s">
        <v>2160</v>
      </c>
      <c r="D644" s="2">
        <v>46060</v>
      </c>
      <c r="E644" t="s">
        <v>40</v>
      </c>
      <c r="F644" t="s">
        <v>73</v>
      </c>
      <c r="G644" s="3">
        <v>128.74</v>
      </c>
      <c r="H644" t="s">
        <v>108</v>
      </c>
      <c r="I644" t="s">
        <v>50</v>
      </c>
      <c r="J644" s="4" t="s">
        <v>389</v>
      </c>
      <c r="K644" t="s">
        <v>29</v>
      </c>
      <c r="L644" t="s">
        <v>60</v>
      </c>
      <c r="M644" t="s">
        <v>31</v>
      </c>
      <c r="N644" t="s">
        <v>90</v>
      </c>
      <c r="O644">
        <v>10</v>
      </c>
      <c r="P644">
        <v>7</v>
      </c>
      <c r="Q644" t="s">
        <v>33</v>
      </c>
      <c r="R644" t="s">
        <v>61</v>
      </c>
      <c r="S644" s="3">
        <v>0</v>
      </c>
      <c r="T644" t="s">
        <v>156</v>
      </c>
      <c r="U644" t="s">
        <v>63</v>
      </c>
      <c r="V644" t="str">
        <f t="shared" si="40"/>
        <v>2026-02</v>
      </c>
      <c r="W644" t="str">
        <f t="shared" si="41"/>
        <v>4-7 days</v>
      </c>
      <c r="X644" t="str">
        <f t="shared" si="42"/>
        <v>No Refund</v>
      </c>
      <c r="Y644" t="str">
        <f t="shared" si="43"/>
        <v>Low</v>
      </c>
    </row>
    <row r="645" spans="1:25" ht="27.6">
      <c r="A645" t="s">
        <v>2161</v>
      </c>
      <c r="B645" t="s">
        <v>2162</v>
      </c>
      <c r="C645" t="s">
        <v>2163</v>
      </c>
      <c r="D645" s="2">
        <v>46090</v>
      </c>
      <c r="E645" t="s">
        <v>40</v>
      </c>
      <c r="F645" t="s">
        <v>103</v>
      </c>
      <c r="G645" s="3">
        <v>10.99</v>
      </c>
      <c r="H645" t="s">
        <v>74</v>
      </c>
      <c r="I645" t="s">
        <v>50</v>
      </c>
      <c r="J645" s="4" t="s">
        <v>134</v>
      </c>
      <c r="K645" t="s">
        <v>33</v>
      </c>
      <c r="L645" t="s">
        <v>30</v>
      </c>
      <c r="M645" t="s">
        <v>31</v>
      </c>
      <c r="N645" t="s">
        <v>32</v>
      </c>
      <c r="O645">
        <v>5</v>
      </c>
      <c r="P645">
        <v>6</v>
      </c>
      <c r="Q645" t="s">
        <v>29</v>
      </c>
      <c r="R645" t="s">
        <v>34</v>
      </c>
      <c r="S645" s="3">
        <v>8.24</v>
      </c>
      <c r="T645" t="s">
        <v>35</v>
      </c>
      <c r="U645" t="s">
        <v>63</v>
      </c>
      <c r="V645" t="str">
        <f t="shared" si="40"/>
        <v>2026-03</v>
      </c>
      <c r="W645" t="str">
        <f t="shared" si="41"/>
        <v>4-7 days</v>
      </c>
      <c r="X645" t="str">
        <f t="shared" si="42"/>
        <v>Refund Issued</v>
      </c>
      <c r="Y645" t="str">
        <f t="shared" si="43"/>
        <v>Medium</v>
      </c>
    </row>
    <row r="646" spans="1:25" ht="27.6">
      <c r="A646" t="s">
        <v>2164</v>
      </c>
      <c r="B646" t="s">
        <v>2165</v>
      </c>
      <c r="C646" t="s">
        <v>2166</v>
      </c>
      <c r="D646" s="2">
        <v>46078</v>
      </c>
      <c r="E646" t="s">
        <v>47</v>
      </c>
      <c r="F646" t="s">
        <v>82</v>
      </c>
      <c r="G646" s="3">
        <v>39.36</v>
      </c>
      <c r="H646" t="s">
        <v>49</v>
      </c>
      <c r="I646" t="s">
        <v>50</v>
      </c>
      <c r="J646" s="4" t="s">
        <v>114</v>
      </c>
      <c r="K646" t="s">
        <v>29</v>
      </c>
      <c r="L646" t="s">
        <v>30</v>
      </c>
      <c r="M646" t="s">
        <v>31</v>
      </c>
      <c r="N646" t="s">
        <v>32</v>
      </c>
      <c r="O646">
        <v>7</v>
      </c>
      <c r="P646">
        <v>6</v>
      </c>
      <c r="Q646" t="s">
        <v>33</v>
      </c>
      <c r="R646" t="s">
        <v>85</v>
      </c>
      <c r="S646" s="3">
        <v>39.36</v>
      </c>
      <c r="T646" t="s">
        <v>69</v>
      </c>
      <c r="U646" t="s">
        <v>53</v>
      </c>
      <c r="V646" t="str">
        <f t="shared" si="40"/>
        <v>2026-02</v>
      </c>
      <c r="W646" t="str">
        <f t="shared" si="41"/>
        <v>4-7 days</v>
      </c>
      <c r="X646" t="str">
        <f t="shared" si="42"/>
        <v>Refund Issued</v>
      </c>
      <c r="Y646" t="str">
        <f t="shared" si="43"/>
        <v>High</v>
      </c>
    </row>
    <row r="647" spans="1:25" ht="27.6">
      <c r="A647" t="s">
        <v>2167</v>
      </c>
      <c r="B647" t="s">
        <v>2168</v>
      </c>
      <c r="C647" t="s">
        <v>2169</v>
      </c>
      <c r="D647" s="2">
        <v>46121</v>
      </c>
      <c r="E647" t="s">
        <v>94</v>
      </c>
      <c r="F647" t="s">
        <v>73</v>
      </c>
      <c r="G647" s="3">
        <v>44.22</v>
      </c>
      <c r="H647" t="s">
        <v>74</v>
      </c>
      <c r="I647" t="s">
        <v>27</v>
      </c>
      <c r="J647" s="4" t="s">
        <v>75</v>
      </c>
      <c r="K647" t="s">
        <v>29</v>
      </c>
      <c r="L647" t="s">
        <v>60</v>
      </c>
      <c r="M647" t="s">
        <v>31</v>
      </c>
      <c r="N647" t="s">
        <v>32</v>
      </c>
      <c r="O647">
        <v>10</v>
      </c>
      <c r="P647">
        <v>8</v>
      </c>
      <c r="Q647" t="s">
        <v>33</v>
      </c>
      <c r="R647" t="s">
        <v>61</v>
      </c>
      <c r="S647" s="3">
        <v>0</v>
      </c>
      <c r="T647" t="s">
        <v>62</v>
      </c>
      <c r="U647" t="s">
        <v>63</v>
      </c>
      <c r="V647" t="str">
        <f t="shared" si="40"/>
        <v>2026-04</v>
      </c>
      <c r="W647" t="str">
        <f t="shared" si="41"/>
        <v>8-14 days</v>
      </c>
      <c r="X647" t="str">
        <f t="shared" si="42"/>
        <v>No Refund</v>
      </c>
      <c r="Y647" t="str">
        <f t="shared" si="43"/>
        <v>Low</v>
      </c>
    </row>
    <row r="648" spans="1:25" ht="27.6">
      <c r="A648" t="s">
        <v>2170</v>
      </c>
      <c r="B648" t="s">
        <v>2171</v>
      </c>
      <c r="C648" t="s">
        <v>2172</v>
      </c>
      <c r="D648" s="2">
        <v>46051</v>
      </c>
      <c r="E648" t="s">
        <v>24</v>
      </c>
      <c r="F648" t="s">
        <v>73</v>
      </c>
      <c r="G648" s="3">
        <v>62.26</v>
      </c>
      <c r="H648" t="s">
        <v>41</v>
      </c>
      <c r="I648" t="s">
        <v>27</v>
      </c>
      <c r="J648" s="4" t="s">
        <v>389</v>
      </c>
      <c r="K648" t="s">
        <v>29</v>
      </c>
      <c r="L648" t="s">
        <v>60</v>
      </c>
      <c r="M648" t="s">
        <v>31</v>
      </c>
      <c r="N648" t="s">
        <v>32</v>
      </c>
      <c r="O648">
        <v>10</v>
      </c>
      <c r="P648">
        <v>9</v>
      </c>
      <c r="Q648" t="s">
        <v>33</v>
      </c>
      <c r="R648" t="s">
        <v>61</v>
      </c>
      <c r="S648" s="3">
        <v>31.13</v>
      </c>
      <c r="T648" t="s">
        <v>52</v>
      </c>
      <c r="U648" t="s">
        <v>63</v>
      </c>
      <c r="V648" t="str">
        <f t="shared" si="40"/>
        <v>2026-01</v>
      </c>
      <c r="W648" t="str">
        <f t="shared" si="41"/>
        <v>8-14 days</v>
      </c>
      <c r="X648" t="str">
        <f t="shared" si="42"/>
        <v>Refund Issued</v>
      </c>
      <c r="Y648" t="str">
        <f t="shared" si="43"/>
        <v>Low</v>
      </c>
    </row>
    <row r="649" spans="1:25" ht="27.6">
      <c r="A649" t="s">
        <v>2173</v>
      </c>
      <c r="B649" t="s">
        <v>1265</v>
      </c>
      <c r="C649" t="s">
        <v>2174</v>
      </c>
      <c r="D649" s="2">
        <v>46048</v>
      </c>
      <c r="E649" t="s">
        <v>24</v>
      </c>
      <c r="F649" t="s">
        <v>82</v>
      </c>
      <c r="G649" s="3">
        <v>87.73</v>
      </c>
      <c r="H649" t="s">
        <v>74</v>
      </c>
      <c r="I649" t="s">
        <v>27</v>
      </c>
      <c r="J649" s="4" t="s">
        <v>114</v>
      </c>
      <c r="K649" t="s">
        <v>29</v>
      </c>
      <c r="L649" t="s">
        <v>30</v>
      </c>
      <c r="M649" t="s">
        <v>31</v>
      </c>
      <c r="N649" t="s">
        <v>32</v>
      </c>
      <c r="O649">
        <v>7</v>
      </c>
      <c r="P649">
        <v>6</v>
      </c>
      <c r="Q649" t="s">
        <v>33</v>
      </c>
      <c r="R649" t="s">
        <v>85</v>
      </c>
      <c r="S649" s="3">
        <v>43.87</v>
      </c>
      <c r="T649" t="s">
        <v>62</v>
      </c>
      <c r="U649" t="s">
        <v>53</v>
      </c>
      <c r="V649" t="str">
        <f t="shared" si="40"/>
        <v>2026-01</v>
      </c>
      <c r="W649" t="str">
        <f t="shared" si="41"/>
        <v>4-7 days</v>
      </c>
      <c r="X649" t="str">
        <f t="shared" si="42"/>
        <v>Refund Issued</v>
      </c>
      <c r="Y649" t="str">
        <f t="shared" si="43"/>
        <v>High</v>
      </c>
    </row>
    <row r="650" spans="1:25" ht="27.6">
      <c r="A650" t="s">
        <v>2175</v>
      </c>
      <c r="B650" t="s">
        <v>2176</v>
      </c>
      <c r="C650" t="s">
        <v>2177</v>
      </c>
      <c r="D650" s="2">
        <v>46052</v>
      </c>
      <c r="E650" t="s">
        <v>24</v>
      </c>
      <c r="F650" t="s">
        <v>25</v>
      </c>
      <c r="G650" s="3">
        <v>28.08</v>
      </c>
      <c r="H650" t="s">
        <v>26</v>
      </c>
      <c r="I650" t="s">
        <v>27</v>
      </c>
      <c r="J650" s="4" t="s">
        <v>42</v>
      </c>
      <c r="K650" t="s">
        <v>33</v>
      </c>
      <c r="L650" t="s">
        <v>30</v>
      </c>
      <c r="M650" t="s">
        <v>31</v>
      </c>
      <c r="N650" t="s">
        <v>32</v>
      </c>
      <c r="O650">
        <v>5</v>
      </c>
      <c r="P650">
        <v>8</v>
      </c>
      <c r="Q650" t="s">
        <v>29</v>
      </c>
      <c r="R650" t="s">
        <v>34</v>
      </c>
      <c r="S650" s="3">
        <v>0</v>
      </c>
      <c r="T650" t="s">
        <v>35</v>
      </c>
      <c r="U650" t="s">
        <v>63</v>
      </c>
      <c r="V650" t="str">
        <f t="shared" si="40"/>
        <v>2026-01</v>
      </c>
      <c r="W650" t="str">
        <f t="shared" si="41"/>
        <v>8-14 days</v>
      </c>
      <c r="X650" t="str">
        <f t="shared" si="42"/>
        <v>No Refund</v>
      </c>
      <c r="Y650" t="str">
        <f t="shared" si="43"/>
        <v>High</v>
      </c>
    </row>
    <row r="651" spans="1:25" ht="27.6">
      <c r="A651" t="s">
        <v>2178</v>
      </c>
      <c r="B651" t="s">
        <v>2179</v>
      </c>
      <c r="C651" t="s">
        <v>2180</v>
      </c>
      <c r="D651" s="2">
        <v>46066</v>
      </c>
      <c r="E651" t="s">
        <v>40</v>
      </c>
      <c r="F651" t="s">
        <v>82</v>
      </c>
      <c r="G651" s="3">
        <v>18.809999999999999</v>
      </c>
      <c r="H651" t="s">
        <v>58</v>
      </c>
      <c r="I651" t="s">
        <v>27</v>
      </c>
      <c r="J651" s="4" t="s">
        <v>114</v>
      </c>
      <c r="K651" t="s">
        <v>29</v>
      </c>
      <c r="L651" t="s">
        <v>30</v>
      </c>
      <c r="M651" t="s">
        <v>31</v>
      </c>
      <c r="N651" t="s">
        <v>32</v>
      </c>
      <c r="O651">
        <v>7</v>
      </c>
      <c r="P651">
        <v>3</v>
      </c>
      <c r="Q651" t="s">
        <v>33</v>
      </c>
      <c r="R651" t="s">
        <v>85</v>
      </c>
      <c r="S651" s="3">
        <v>0</v>
      </c>
      <c r="T651" t="s">
        <v>62</v>
      </c>
      <c r="U651" t="s">
        <v>53</v>
      </c>
      <c r="V651" t="str">
        <f t="shared" si="40"/>
        <v>2026-02</v>
      </c>
      <c r="W651" t="str">
        <f t="shared" si="41"/>
        <v>0-3 days</v>
      </c>
      <c r="X651" t="str">
        <f t="shared" si="42"/>
        <v>No Refund</v>
      </c>
      <c r="Y651" t="str">
        <f t="shared" si="43"/>
        <v>High</v>
      </c>
    </row>
    <row r="652" spans="1:25" ht="27.6">
      <c r="A652" t="s">
        <v>2181</v>
      </c>
      <c r="B652" t="s">
        <v>2182</v>
      </c>
      <c r="C652" t="s">
        <v>2183</v>
      </c>
      <c r="D652" s="2">
        <v>46040</v>
      </c>
      <c r="E652" t="s">
        <v>24</v>
      </c>
      <c r="F652" t="s">
        <v>82</v>
      </c>
      <c r="G652" s="3">
        <v>7.17</v>
      </c>
      <c r="H652" t="s">
        <v>58</v>
      </c>
      <c r="I652" t="s">
        <v>27</v>
      </c>
      <c r="J652" s="4" t="s">
        <v>114</v>
      </c>
      <c r="K652" t="s">
        <v>29</v>
      </c>
      <c r="L652" t="s">
        <v>30</v>
      </c>
      <c r="M652" t="s">
        <v>31</v>
      </c>
      <c r="N652" t="s">
        <v>32</v>
      </c>
      <c r="O652">
        <v>7</v>
      </c>
      <c r="P652">
        <v>12</v>
      </c>
      <c r="Q652" t="s">
        <v>29</v>
      </c>
      <c r="R652" t="s">
        <v>85</v>
      </c>
      <c r="S652" s="3">
        <v>0</v>
      </c>
      <c r="T652" t="s">
        <v>43</v>
      </c>
      <c r="U652" t="s">
        <v>63</v>
      </c>
      <c r="V652" t="str">
        <f t="shared" si="40"/>
        <v>2026-01</v>
      </c>
      <c r="W652" t="str">
        <f t="shared" si="41"/>
        <v>8-14 days</v>
      </c>
      <c r="X652" t="str">
        <f t="shared" si="42"/>
        <v>No Refund</v>
      </c>
      <c r="Y652" t="str">
        <f t="shared" si="43"/>
        <v>High</v>
      </c>
    </row>
    <row r="653" spans="1:25" ht="27.6">
      <c r="A653" t="s">
        <v>2184</v>
      </c>
      <c r="B653" t="s">
        <v>2185</v>
      </c>
      <c r="C653" t="s">
        <v>2186</v>
      </c>
      <c r="D653" s="2">
        <v>46172</v>
      </c>
      <c r="E653" t="s">
        <v>24</v>
      </c>
      <c r="F653" t="s">
        <v>73</v>
      </c>
      <c r="G653" s="3">
        <v>38.79</v>
      </c>
      <c r="H653" t="s">
        <v>26</v>
      </c>
      <c r="I653" t="s">
        <v>50</v>
      </c>
      <c r="J653" s="4" t="s">
        <v>75</v>
      </c>
      <c r="K653" t="s">
        <v>33</v>
      </c>
      <c r="L653" t="s">
        <v>60</v>
      </c>
      <c r="M653" t="s">
        <v>31</v>
      </c>
      <c r="N653" t="s">
        <v>32</v>
      </c>
      <c r="O653">
        <v>10</v>
      </c>
      <c r="P653">
        <v>13</v>
      </c>
      <c r="Q653" t="s">
        <v>29</v>
      </c>
      <c r="R653" t="s">
        <v>61</v>
      </c>
      <c r="S653" s="3">
        <v>19.39</v>
      </c>
      <c r="T653" t="s">
        <v>156</v>
      </c>
      <c r="U653" t="s">
        <v>63</v>
      </c>
      <c r="V653" t="str">
        <f t="shared" si="40"/>
        <v>2026-05</v>
      </c>
      <c r="W653" t="str">
        <f t="shared" si="41"/>
        <v>8-14 days</v>
      </c>
      <c r="X653" t="str">
        <f t="shared" si="42"/>
        <v>Refund Issued</v>
      </c>
      <c r="Y653" t="str">
        <f t="shared" si="43"/>
        <v>Low</v>
      </c>
    </row>
    <row r="654" spans="1:25" ht="27.6">
      <c r="A654" t="s">
        <v>2187</v>
      </c>
      <c r="B654" t="s">
        <v>2188</v>
      </c>
      <c r="C654" t="s">
        <v>2189</v>
      </c>
      <c r="D654" s="2">
        <v>46108</v>
      </c>
      <c r="E654" t="s">
        <v>47</v>
      </c>
      <c r="F654" t="s">
        <v>103</v>
      </c>
      <c r="G654" s="3">
        <v>39.21</v>
      </c>
      <c r="H654" t="s">
        <v>26</v>
      </c>
      <c r="I654" t="s">
        <v>67</v>
      </c>
      <c r="J654" s="4" t="s">
        <v>104</v>
      </c>
      <c r="K654" t="s">
        <v>33</v>
      </c>
      <c r="L654" t="s">
        <v>30</v>
      </c>
      <c r="M654" t="s">
        <v>31</v>
      </c>
      <c r="N654" t="s">
        <v>126</v>
      </c>
      <c r="O654">
        <v>5</v>
      </c>
      <c r="P654">
        <v>10</v>
      </c>
      <c r="Q654" t="s">
        <v>29</v>
      </c>
      <c r="R654" t="s">
        <v>34</v>
      </c>
      <c r="S654" s="3">
        <v>0</v>
      </c>
      <c r="T654" t="s">
        <v>247</v>
      </c>
      <c r="U654" t="s">
        <v>63</v>
      </c>
      <c r="V654" t="str">
        <f t="shared" si="40"/>
        <v>2026-03</v>
      </c>
      <c r="W654" t="str">
        <f t="shared" si="41"/>
        <v>8-14 days</v>
      </c>
      <c r="X654" t="str">
        <f t="shared" si="42"/>
        <v>No Refund</v>
      </c>
      <c r="Y654" t="str">
        <f t="shared" si="43"/>
        <v>Medium</v>
      </c>
    </row>
    <row r="655" spans="1:25" ht="27.6">
      <c r="A655" t="s">
        <v>2190</v>
      </c>
      <c r="B655" t="s">
        <v>2191</v>
      </c>
      <c r="C655" t="s">
        <v>2192</v>
      </c>
      <c r="D655" s="2">
        <v>46155</v>
      </c>
      <c r="E655" t="s">
        <v>40</v>
      </c>
      <c r="F655" t="s">
        <v>25</v>
      </c>
      <c r="G655" s="3">
        <v>53.02</v>
      </c>
      <c r="H655" t="s">
        <v>108</v>
      </c>
      <c r="I655" t="s">
        <v>27</v>
      </c>
      <c r="J655" s="4" t="s">
        <v>2193</v>
      </c>
      <c r="K655" t="s">
        <v>29</v>
      </c>
      <c r="L655" t="s">
        <v>30</v>
      </c>
      <c r="M655" t="s">
        <v>31</v>
      </c>
      <c r="N655" t="s">
        <v>90</v>
      </c>
      <c r="O655">
        <v>5</v>
      </c>
      <c r="P655">
        <v>2</v>
      </c>
      <c r="Q655" t="s">
        <v>33</v>
      </c>
      <c r="R655" t="s">
        <v>34</v>
      </c>
      <c r="S655" s="3">
        <v>0</v>
      </c>
      <c r="T655" t="s">
        <v>35</v>
      </c>
      <c r="U655" t="s">
        <v>53</v>
      </c>
      <c r="V655" t="str">
        <f t="shared" si="40"/>
        <v>2026-05</v>
      </c>
      <c r="W655" t="str">
        <f t="shared" si="41"/>
        <v>0-3 days</v>
      </c>
      <c r="X655" t="str">
        <f t="shared" si="42"/>
        <v>No Refund</v>
      </c>
      <c r="Y655" t="str">
        <f t="shared" si="43"/>
        <v>High</v>
      </c>
    </row>
    <row r="656" spans="1:25" ht="27.6">
      <c r="A656" t="s">
        <v>2194</v>
      </c>
      <c r="B656" t="s">
        <v>2195</v>
      </c>
      <c r="C656" t="s">
        <v>2196</v>
      </c>
      <c r="D656" s="2">
        <v>46050</v>
      </c>
      <c r="E656" t="s">
        <v>94</v>
      </c>
      <c r="F656" t="s">
        <v>73</v>
      </c>
      <c r="G656" s="3">
        <v>6.86</v>
      </c>
      <c r="H656" t="s">
        <v>89</v>
      </c>
      <c r="I656" t="s">
        <v>27</v>
      </c>
      <c r="J656" s="4" t="s">
        <v>389</v>
      </c>
      <c r="K656" t="s">
        <v>33</v>
      </c>
      <c r="L656" t="s">
        <v>60</v>
      </c>
      <c r="M656" t="s">
        <v>31</v>
      </c>
      <c r="N656" t="s">
        <v>32</v>
      </c>
      <c r="O656">
        <v>10</v>
      </c>
      <c r="P656">
        <v>16</v>
      </c>
      <c r="Q656" t="s">
        <v>29</v>
      </c>
      <c r="R656" t="s">
        <v>61</v>
      </c>
      <c r="S656" s="3">
        <v>3.43</v>
      </c>
      <c r="T656" t="s">
        <v>52</v>
      </c>
      <c r="U656" t="s">
        <v>63</v>
      </c>
      <c r="V656" t="str">
        <f t="shared" si="40"/>
        <v>2026-01</v>
      </c>
      <c r="W656" t="str">
        <f t="shared" si="41"/>
        <v>15+ days</v>
      </c>
      <c r="X656" t="str">
        <f t="shared" si="42"/>
        <v>Refund Issued</v>
      </c>
      <c r="Y656" t="str">
        <f t="shared" si="43"/>
        <v>Low</v>
      </c>
    </row>
    <row r="657" spans="1:25" ht="27.6">
      <c r="A657" t="s">
        <v>2197</v>
      </c>
      <c r="B657" t="s">
        <v>2198</v>
      </c>
      <c r="C657" t="s">
        <v>2199</v>
      </c>
      <c r="D657" s="2">
        <v>46139</v>
      </c>
      <c r="E657" t="s">
        <v>47</v>
      </c>
      <c r="F657" t="s">
        <v>57</v>
      </c>
      <c r="G657" s="3">
        <v>31.48</v>
      </c>
      <c r="H657" t="s">
        <v>26</v>
      </c>
      <c r="I657" t="s">
        <v>50</v>
      </c>
      <c r="J657" s="4" t="s">
        <v>59</v>
      </c>
      <c r="K657" t="s">
        <v>29</v>
      </c>
      <c r="L657" t="s">
        <v>60</v>
      </c>
      <c r="M657" t="s">
        <v>31</v>
      </c>
      <c r="N657" t="s">
        <v>32</v>
      </c>
      <c r="O657">
        <v>10</v>
      </c>
      <c r="P657">
        <v>9</v>
      </c>
      <c r="Q657" t="s">
        <v>33</v>
      </c>
      <c r="R657" t="s">
        <v>61</v>
      </c>
      <c r="S657" s="3">
        <v>23.61</v>
      </c>
      <c r="T657" t="s">
        <v>52</v>
      </c>
      <c r="U657" t="s">
        <v>63</v>
      </c>
      <c r="V657" t="str">
        <f t="shared" si="40"/>
        <v>2026-04</v>
      </c>
      <c r="W657" t="str">
        <f t="shared" si="41"/>
        <v>8-14 days</v>
      </c>
      <c r="X657" t="str">
        <f t="shared" si="42"/>
        <v>Refund Issued</v>
      </c>
      <c r="Y657" t="str">
        <f t="shared" si="43"/>
        <v>Low</v>
      </c>
    </row>
    <row r="658" spans="1:25" ht="27.6">
      <c r="A658" t="s">
        <v>2200</v>
      </c>
      <c r="B658" t="s">
        <v>2201</v>
      </c>
      <c r="C658" t="s">
        <v>2202</v>
      </c>
      <c r="D658" s="2">
        <v>46096</v>
      </c>
      <c r="E658" t="s">
        <v>24</v>
      </c>
      <c r="F658" t="s">
        <v>118</v>
      </c>
      <c r="G658" s="3">
        <v>37.119999999999997</v>
      </c>
      <c r="H658" t="s">
        <v>49</v>
      </c>
      <c r="I658" t="s">
        <v>50</v>
      </c>
      <c r="J658" s="4" t="s">
        <v>2203</v>
      </c>
      <c r="K658" t="s">
        <v>29</v>
      </c>
      <c r="L658" t="s">
        <v>120</v>
      </c>
      <c r="M658" t="s">
        <v>96</v>
      </c>
      <c r="N658" t="s">
        <v>32</v>
      </c>
      <c r="O658">
        <v>5</v>
      </c>
      <c r="P658">
        <v>1</v>
      </c>
      <c r="Q658" t="s">
        <v>33</v>
      </c>
      <c r="R658" t="s">
        <v>85</v>
      </c>
      <c r="S658" s="3">
        <v>37.119999999999997</v>
      </c>
      <c r="T658" t="s">
        <v>121</v>
      </c>
      <c r="U658" t="s">
        <v>53</v>
      </c>
      <c r="V658" t="str">
        <f t="shared" si="40"/>
        <v>2026-03</v>
      </c>
      <c r="W658" t="str">
        <f t="shared" si="41"/>
        <v>0-3 days</v>
      </c>
      <c r="X658" t="str">
        <f t="shared" si="42"/>
        <v>Refund Issued</v>
      </c>
      <c r="Y658" t="str">
        <f t="shared" si="43"/>
        <v>High</v>
      </c>
    </row>
    <row r="659" spans="1:25" ht="27.6">
      <c r="A659" t="s">
        <v>2204</v>
      </c>
      <c r="B659" t="s">
        <v>2205</v>
      </c>
      <c r="C659" t="s">
        <v>2206</v>
      </c>
      <c r="D659" s="2">
        <v>46112</v>
      </c>
      <c r="E659" t="s">
        <v>94</v>
      </c>
      <c r="F659" t="s">
        <v>57</v>
      </c>
      <c r="G659" s="3">
        <v>43.38</v>
      </c>
      <c r="H659" t="s">
        <v>89</v>
      </c>
      <c r="I659" t="s">
        <v>27</v>
      </c>
      <c r="J659" s="4" t="s">
        <v>155</v>
      </c>
      <c r="K659" t="s">
        <v>29</v>
      </c>
      <c r="L659" t="s">
        <v>60</v>
      </c>
      <c r="M659" t="s">
        <v>31</v>
      </c>
      <c r="N659" t="s">
        <v>32</v>
      </c>
      <c r="O659">
        <v>10</v>
      </c>
      <c r="P659">
        <v>13</v>
      </c>
      <c r="Q659" t="s">
        <v>29</v>
      </c>
      <c r="R659" t="s">
        <v>61</v>
      </c>
      <c r="S659" s="3">
        <v>21.69</v>
      </c>
      <c r="T659" t="s">
        <v>52</v>
      </c>
      <c r="U659" t="s">
        <v>63</v>
      </c>
      <c r="V659" t="str">
        <f t="shared" si="40"/>
        <v>2026-03</v>
      </c>
      <c r="W659" t="str">
        <f t="shared" si="41"/>
        <v>8-14 days</v>
      </c>
      <c r="X659" t="str">
        <f t="shared" si="42"/>
        <v>Refund Issued</v>
      </c>
      <c r="Y659" t="str">
        <f t="shared" si="43"/>
        <v>Low</v>
      </c>
    </row>
    <row r="660" spans="1:25" ht="27.6">
      <c r="A660" t="s">
        <v>2207</v>
      </c>
      <c r="B660" t="s">
        <v>2208</v>
      </c>
      <c r="C660" t="s">
        <v>2209</v>
      </c>
      <c r="D660" s="2">
        <v>46144</v>
      </c>
      <c r="E660" t="s">
        <v>94</v>
      </c>
      <c r="F660" t="s">
        <v>118</v>
      </c>
      <c r="G660" s="3">
        <v>61.81</v>
      </c>
      <c r="H660" t="s">
        <v>108</v>
      </c>
      <c r="I660" t="s">
        <v>67</v>
      </c>
      <c r="J660" s="4" t="s">
        <v>119</v>
      </c>
      <c r="K660" t="s">
        <v>29</v>
      </c>
      <c r="L660" t="s">
        <v>120</v>
      </c>
      <c r="M660" t="s">
        <v>96</v>
      </c>
      <c r="N660" t="s">
        <v>32</v>
      </c>
      <c r="O660">
        <v>5</v>
      </c>
      <c r="P660">
        <v>2</v>
      </c>
      <c r="Q660" t="s">
        <v>33</v>
      </c>
      <c r="R660" t="s">
        <v>85</v>
      </c>
      <c r="S660" s="3">
        <v>61.81</v>
      </c>
      <c r="T660" t="s">
        <v>121</v>
      </c>
      <c r="U660" t="s">
        <v>36</v>
      </c>
      <c r="V660" t="str">
        <f t="shared" si="40"/>
        <v>2026-05</v>
      </c>
      <c r="W660" t="str">
        <f t="shared" si="41"/>
        <v>0-3 days</v>
      </c>
      <c r="X660" t="str">
        <f t="shared" si="42"/>
        <v>Refund Issued</v>
      </c>
      <c r="Y660" t="str">
        <f t="shared" si="43"/>
        <v>High</v>
      </c>
    </row>
    <row r="661" spans="1:25" ht="27.6">
      <c r="A661" t="s">
        <v>2210</v>
      </c>
      <c r="B661" t="s">
        <v>2211</v>
      </c>
      <c r="C661" t="s">
        <v>2212</v>
      </c>
      <c r="D661" s="2">
        <v>46074</v>
      </c>
      <c r="E661" t="s">
        <v>24</v>
      </c>
      <c r="F661" t="s">
        <v>82</v>
      </c>
      <c r="G661" s="3">
        <v>21.53</v>
      </c>
      <c r="H661" t="s">
        <v>41</v>
      </c>
      <c r="I661" t="s">
        <v>50</v>
      </c>
      <c r="J661" s="4" t="s">
        <v>2213</v>
      </c>
      <c r="K661" t="s">
        <v>29</v>
      </c>
      <c r="L661" t="s">
        <v>30</v>
      </c>
      <c r="M661" t="s">
        <v>31</v>
      </c>
      <c r="N661" t="s">
        <v>32</v>
      </c>
      <c r="O661">
        <v>7</v>
      </c>
      <c r="P661">
        <v>8</v>
      </c>
      <c r="Q661" t="s">
        <v>29</v>
      </c>
      <c r="R661" t="s">
        <v>85</v>
      </c>
      <c r="S661" s="3">
        <v>0</v>
      </c>
      <c r="T661" t="s">
        <v>62</v>
      </c>
      <c r="U661" t="s">
        <v>63</v>
      </c>
      <c r="V661" t="str">
        <f t="shared" si="40"/>
        <v>2026-02</v>
      </c>
      <c r="W661" t="str">
        <f t="shared" si="41"/>
        <v>8-14 days</v>
      </c>
      <c r="X661" t="str">
        <f t="shared" si="42"/>
        <v>No Refund</v>
      </c>
      <c r="Y661" t="str">
        <f t="shared" si="43"/>
        <v>High</v>
      </c>
    </row>
    <row r="662" spans="1:25" ht="27.6">
      <c r="A662" t="s">
        <v>2214</v>
      </c>
      <c r="B662" t="s">
        <v>2215</v>
      </c>
      <c r="C662" t="s">
        <v>2216</v>
      </c>
      <c r="D662" s="2">
        <v>46157</v>
      </c>
      <c r="E662" t="s">
        <v>47</v>
      </c>
      <c r="F662" t="s">
        <v>118</v>
      </c>
      <c r="G662" s="3">
        <v>37.32</v>
      </c>
      <c r="H662" t="s">
        <v>108</v>
      </c>
      <c r="I662" t="s">
        <v>67</v>
      </c>
      <c r="J662" s="4" t="s">
        <v>2217</v>
      </c>
      <c r="K662" t="s">
        <v>29</v>
      </c>
      <c r="L662" t="s">
        <v>120</v>
      </c>
      <c r="M662" t="s">
        <v>96</v>
      </c>
      <c r="N662" t="s">
        <v>32</v>
      </c>
      <c r="O662">
        <v>5</v>
      </c>
      <c r="P662">
        <v>3</v>
      </c>
      <c r="Q662" t="s">
        <v>33</v>
      </c>
      <c r="R662" t="s">
        <v>85</v>
      </c>
      <c r="S662" s="3">
        <v>37.32</v>
      </c>
      <c r="T662" t="s">
        <v>121</v>
      </c>
      <c r="U662" t="s">
        <v>53</v>
      </c>
      <c r="V662" t="str">
        <f t="shared" si="40"/>
        <v>2026-05</v>
      </c>
      <c r="W662" t="str">
        <f t="shared" si="41"/>
        <v>0-3 days</v>
      </c>
      <c r="X662" t="str">
        <f t="shared" si="42"/>
        <v>Refund Issued</v>
      </c>
      <c r="Y662" t="str">
        <f t="shared" si="43"/>
        <v>High</v>
      </c>
    </row>
    <row r="663" spans="1:25" ht="27.6">
      <c r="A663" t="s">
        <v>2218</v>
      </c>
      <c r="B663" t="s">
        <v>2219</v>
      </c>
      <c r="C663" t="s">
        <v>2220</v>
      </c>
      <c r="D663" s="2">
        <v>46085</v>
      </c>
      <c r="E663" t="s">
        <v>47</v>
      </c>
      <c r="F663" t="s">
        <v>82</v>
      </c>
      <c r="G663" s="3">
        <v>235.4</v>
      </c>
      <c r="H663" t="s">
        <v>41</v>
      </c>
      <c r="I663" t="s">
        <v>27</v>
      </c>
      <c r="J663" s="4" t="s">
        <v>2221</v>
      </c>
      <c r="K663" t="s">
        <v>33</v>
      </c>
      <c r="L663" t="s">
        <v>30</v>
      </c>
      <c r="M663" t="s">
        <v>31</v>
      </c>
      <c r="N663" t="s">
        <v>32</v>
      </c>
      <c r="O663">
        <v>7</v>
      </c>
      <c r="P663">
        <v>8</v>
      </c>
      <c r="Q663" t="s">
        <v>29</v>
      </c>
      <c r="R663" t="s">
        <v>85</v>
      </c>
      <c r="S663" s="3">
        <v>235.4</v>
      </c>
      <c r="T663" t="s">
        <v>43</v>
      </c>
      <c r="U663" t="s">
        <v>63</v>
      </c>
      <c r="V663" t="str">
        <f t="shared" si="40"/>
        <v>2026-03</v>
      </c>
      <c r="W663" t="str">
        <f t="shared" si="41"/>
        <v>8-14 days</v>
      </c>
      <c r="X663" t="str">
        <f t="shared" si="42"/>
        <v>Refund Issued</v>
      </c>
      <c r="Y663" t="str">
        <f t="shared" si="43"/>
        <v>High</v>
      </c>
    </row>
    <row r="664" spans="1:25" ht="27.6">
      <c r="A664" t="s">
        <v>2222</v>
      </c>
      <c r="B664" t="s">
        <v>2223</v>
      </c>
      <c r="C664" t="s">
        <v>2224</v>
      </c>
      <c r="D664" s="2">
        <v>46037</v>
      </c>
      <c r="E664" t="s">
        <v>24</v>
      </c>
      <c r="F664" t="s">
        <v>48</v>
      </c>
      <c r="G664" s="3">
        <v>9.85</v>
      </c>
      <c r="H664" t="s">
        <v>49</v>
      </c>
      <c r="I664" t="s">
        <v>27</v>
      </c>
      <c r="J664" s="4" t="s">
        <v>51</v>
      </c>
      <c r="K664" t="s">
        <v>29</v>
      </c>
      <c r="L664" t="s">
        <v>30</v>
      </c>
      <c r="M664" t="s">
        <v>31</v>
      </c>
      <c r="N664" t="s">
        <v>32</v>
      </c>
      <c r="O664">
        <v>10</v>
      </c>
      <c r="P664">
        <v>7</v>
      </c>
      <c r="Q664" t="s">
        <v>33</v>
      </c>
      <c r="R664" t="s">
        <v>34</v>
      </c>
      <c r="S664" s="3">
        <v>9.85</v>
      </c>
      <c r="T664" t="s">
        <v>52</v>
      </c>
      <c r="U664" t="s">
        <v>53</v>
      </c>
      <c r="V664" t="str">
        <f t="shared" si="40"/>
        <v>2026-01</v>
      </c>
      <c r="W664" t="str">
        <f t="shared" si="41"/>
        <v>4-7 days</v>
      </c>
      <c r="X664" t="str">
        <f t="shared" si="42"/>
        <v>Refund Issued</v>
      </c>
      <c r="Y664" t="str">
        <f t="shared" si="43"/>
        <v>Low</v>
      </c>
    </row>
    <row r="665" spans="1:25" ht="27.6">
      <c r="A665" t="s">
        <v>2225</v>
      </c>
      <c r="B665" t="s">
        <v>2226</v>
      </c>
      <c r="C665" t="s">
        <v>2227</v>
      </c>
      <c r="D665" s="2">
        <v>46166</v>
      </c>
      <c r="E665" t="s">
        <v>40</v>
      </c>
      <c r="F665" t="s">
        <v>82</v>
      </c>
      <c r="G665" s="3">
        <v>11.67</v>
      </c>
      <c r="H665" t="s">
        <v>49</v>
      </c>
      <c r="I665" t="s">
        <v>27</v>
      </c>
      <c r="J665" s="4" t="s">
        <v>114</v>
      </c>
      <c r="K665" t="s">
        <v>29</v>
      </c>
      <c r="L665" t="s">
        <v>30</v>
      </c>
      <c r="M665" t="s">
        <v>31</v>
      </c>
      <c r="N665" t="s">
        <v>84</v>
      </c>
      <c r="O665">
        <v>7</v>
      </c>
      <c r="P665">
        <v>4</v>
      </c>
      <c r="Q665" t="s">
        <v>33</v>
      </c>
      <c r="R665" t="s">
        <v>85</v>
      </c>
      <c r="S665" s="3">
        <v>0</v>
      </c>
      <c r="T665" t="s">
        <v>62</v>
      </c>
      <c r="U665" t="s">
        <v>36</v>
      </c>
      <c r="V665" t="str">
        <f t="shared" si="40"/>
        <v>2026-05</v>
      </c>
      <c r="W665" t="str">
        <f t="shared" si="41"/>
        <v>4-7 days</v>
      </c>
      <c r="X665" t="str">
        <f t="shared" si="42"/>
        <v>No Refund</v>
      </c>
      <c r="Y665" t="str">
        <f t="shared" si="43"/>
        <v>High</v>
      </c>
    </row>
    <row r="666" spans="1:25" ht="27.6">
      <c r="A666" t="s">
        <v>2228</v>
      </c>
      <c r="B666" t="s">
        <v>2229</v>
      </c>
      <c r="C666" t="s">
        <v>2230</v>
      </c>
      <c r="D666" s="2">
        <v>46023</v>
      </c>
      <c r="E666" t="s">
        <v>24</v>
      </c>
      <c r="F666" t="s">
        <v>73</v>
      </c>
      <c r="G666" s="3">
        <v>42.03</v>
      </c>
      <c r="H666" t="s">
        <v>26</v>
      </c>
      <c r="I666" t="s">
        <v>27</v>
      </c>
      <c r="J666" s="4" t="s">
        <v>75</v>
      </c>
      <c r="K666" t="s">
        <v>33</v>
      </c>
      <c r="L666" t="s">
        <v>60</v>
      </c>
      <c r="M666" t="s">
        <v>31</v>
      </c>
      <c r="N666" t="s">
        <v>32</v>
      </c>
      <c r="O666">
        <v>10</v>
      </c>
      <c r="P666">
        <v>8</v>
      </c>
      <c r="Q666" t="s">
        <v>33</v>
      </c>
      <c r="R666" t="s">
        <v>61</v>
      </c>
      <c r="S666" s="3">
        <v>21.02</v>
      </c>
      <c r="T666" t="s">
        <v>52</v>
      </c>
      <c r="U666" t="s">
        <v>63</v>
      </c>
      <c r="V666" t="str">
        <f t="shared" si="40"/>
        <v>2026-01</v>
      </c>
      <c r="W666" t="str">
        <f t="shared" si="41"/>
        <v>8-14 days</v>
      </c>
      <c r="X666" t="str">
        <f t="shared" si="42"/>
        <v>Refund Issued</v>
      </c>
      <c r="Y666" t="str">
        <f t="shared" si="43"/>
        <v>Low</v>
      </c>
    </row>
    <row r="667" spans="1:25" ht="27.6">
      <c r="A667" t="s">
        <v>2231</v>
      </c>
      <c r="B667" t="s">
        <v>2232</v>
      </c>
      <c r="C667" t="s">
        <v>2233</v>
      </c>
      <c r="D667" s="2">
        <v>46135</v>
      </c>
      <c r="E667" t="s">
        <v>94</v>
      </c>
      <c r="F667" t="s">
        <v>172</v>
      </c>
      <c r="G667" s="3">
        <v>30.84</v>
      </c>
      <c r="H667" t="s">
        <v>74</v>
      </c>
      <c r="I667" t="s">
        <v>27</v>
      </c>
      <c r="J667" s="4" t="s">
        <v>173</v>
      </c>
      <c r="K667" t="s">
        <v>33</v>
      </c>
      <c r="L667" t="s">
        <v>30</v>
      </c>
      <c r="M667" t="s">
        <v>31</v>
      </c>
      <c r="N667" t="s">
        <v>32</v>
      </c>
      <c r="O667">
        <v>7</v>
      </c>
      <c r="P667">
        <v>15</v>
      </c>
      <c r="Q667" t="s">
        <v>29</v>
      </c>
      <c r="R667" t="s">
        <v>174</v>
      </c>
      <c r="S667" s="3">
        <v>0</v>
      </c>
      <c r="T667" t="s">
        <v>69</v>
      </c>
      <c r="U667" t="s">
        <v>63</v>
      </c>
      <c r="V667" t="str">
        <f t="shared" si="40"/>
        <v>2026-04</v>
      </c>
      <c r="W667" t="str">
        <f t="shared" si="41"/>
        <v>15+ days</v>
      </c>
      <c r="X667" t="str">
        <f t="shared" si="42"/>
        <v>No Refund</v>
      </c>
      <c r="Y667" t="str">
        <f t="shared" si="43"/>
        <v>Medium</v>
      </c>
    </row>
    <row r="668" spans="1:25" ht="27.6">
      <c r="A668" t="s">
        <v>2234</v>
      </c>
      <c r="B668" t="s">
        <v>2235</v>
      </c>
      <c r="C668" t="s">
        <v>2236</v>
      </c>
      <c r="D668" s="2">
        <v>46097</v>
      </c>
      <c r="E668" t="s">
        <v>24</v>
      </c>
      <c r="F668" t="s">
        <v>25</v>
      </c>
      <c r="G668" s="3">
        <v>49.63</v>
      </c>
      <c r="H668" t="s">
        <v>41</v>
      </c>
      <c r="I668" t="s">
        <v>27</v>
      </c>
      <c r="J668" s="4" t="s">
        <v>2237</v>
      </c>
      <c r="K668" t="s">
        <v>29</v>
      </c>
      <c r="L668" t="s">
        <v>30</v>
      </c>
      <c r="M668" t="s">
        <v>31</v>
      </c>
      <c r="N668" t="s">
        <v>32</v>
      </c>
      <c r="O668">
        <v>5</v>
      </c>
      <c r="P668">
        <v>1</v>
      </c>
      <c r="Q668" t="s">
        <v>33</v>
      </c>
      <c r="R668" t="s">
        <v>34</v>
      </c>
      <c r="S668" s="3">
        <v>24.82</v>
      </c>
      <c r="T668" t="s">
        <v>110</v>
      </c>
      <c r="U668" t="s">
        <v>36</v>
      </c>
      <c r="V668" t="str">
        <f t="shared" si="40"/>
        <v>2026-03</v>
      </c>
      <c r="W668" t="str">
        <f t="shared" si="41"/>
        <v>0-3 days</v>
      </c>
      <c r="X668" t="str">
        <f t="shared" si="42"/>
        <v>Refund Issued</v>
      </c>
      <c r="Y668" t="str">
        <f t="shared" si="43"/>
        <v>High</v>
      </c>
    </row>
    <row r="669" spans="1:25" ht="27.6">
      <c r="A669" t="s">
        <v>2238</v>
      </c>
      <c r="B669" t="s">
        <v>2239</v>
      </c>
      <c r="C669" t="s">
        <v>2240</v>
      </c>
      <c r="D669" s="2">
        <v>46136</v>
      </c>
      <c r="E669" t="s">
        <v>24</v>
      </c>
      <c r="F669" t="s">
        <v>73</v>
      </c>
      <c r="G669" s="3">
        <v>143.78</v>
      </c>
      <c r="H669" t="s">
        <v>58</v>
      </c>
      <c r="I669" t="s">
        <v>27</v>
      </c>
      <c r="J669" s="4" t="s">
        <v>389</v>
      </c>
      <c r="K669" t="s">
        <v>29</v>
      </c>
      <c r="L669" t="s">
        <v>60</v>
      </c>
      <c r="M669" t="s">
        <v>31</v>
      </c>
      <c r="N669" t="s">
        <v>32</v>
      </c>
      <c r="O669">
        <v>10</v>
      </c>
      <c r="P669">
        <v>12</v>
      </c>
      <c r="Q669" t="s">
        <v>29</v>
      </c>
      <c r="R669" t="s">
        <v>61</v>
      </c>
      <c r="S669" s="3">
        <v>0</v>
      </c>
      <c r="T669" t="s">
        <v>156</v>
      </c>
      <c r="U669" t="s">
        <v>63</v>
      </c>
      <c r="V669" t="str">
        <f t="shared" si="40"/>
        <v>2026-04</v>
      </c>
      <c r="W669" t="str">
        <f t="shared" si="41"/>
        <v>8-14 days</v>
      </c>
      <c r="X669" t="str">
        <f t="shared" si="42"/>
        <v>No Refund</v>
      </c>
      <c r="Y669" t="str">
        <f t="shared" si="43"/>
        <v>Low</v>
      </c>
    </row>
    <row r="670" spans="1:25" ht="27.6">
      <c r="A670" t="s">
        <v>2241</v>
      </c>
      <c r="B670" t="s">
        <v>2242</v>
      </c>
      <c r="C670" t="s">
        <v>2243</v>
      </c>
      <c r="D670" s="2">
        <v>46154</v>
      </c>
      <c r="E670" t="s">
        <v>24</v>
      </c>
      <c r="F670" t="s">
        <v>172</v>
      </c>
      <c r="G670" s="3">
        <v>18.739999999999998</v>
      </c>
      <c r="H670" t="s">
        <v>41</v>
      </c>
      <c r="I670" t="s">
        <v>27</v>
      </c>
      <c r="J670" s="4" t="s">
        <v>285</v>
      </c>
      <c r="K670" t="s">
        <v>33</v>
      </c>
      <c r="L670" t="s">
        <v>30</v>
      </c>
      <c r="M670" t="s">
        <v>31</v>
      </c>
      <c r="N670" t="s">
        <v>32</v>
      </c>
      <c r="O670">
        <v>7</v>
      </c>
      <c r="P670">
        <v>10</v>
      </c>
      <c r="Q670" t="s">
        <v>29</v>
      </c>
      <c r="R670" t="s">
        <v>174</v>
      </c>
      <c r="S670" s="3">
        <v>18.739999999999998</v>
      </c>
      <c r="T670" t="s">
        <v>69</v>
      </c>
      <c r="U670" t="s">
        <v>63</v>
      </c>
      <c r="V670" t="str">
        <f t="shared" si="40"/>
        <v>2026-05</v>
      </c>
      <c r="W670" t="str">
        <f t="shared" si="41"/>
        <v>8-14 days</v>
      </c>
      <c r="X670" t="str">
        <f t="shared" si="42"/>
        <v>Refund Issued</v>
      </c>
      <c r="Y670" t="str">
        <f t="shared" si="43"/>
        <v>Medium</v>
      </c>
    </row>
    <row r="671" spans="1:25" ht="27.6">
      <c r="A671" t="s">
        <v>2244</v>
      </c>
      <c r="B671" t="s">
        <v>2245</v>
      </c>
      <c r="C671" t="s">
        <v>2246</v>
      </c>
      <c r="D671" s="2">
        <v>46069</v>
      </c>
      <c r="E671" t="s">
        <v>47</v>
      </c>
      <c r="F671" t="s">
        <v>48</v>
      </c>
      <c r="G671" s="3">
        <v>94.27</v>
      </c>
      <c r="H671" t="s">
        <v>74</v>
      </c>
      <c r="I671" t="s">
        <v>50</v>
      </c>
      <c r="J671" s="4" t="s">
        <v>68</v>
      </c>
      <c r="K671" t="s">
        <v>29</v>
      </c>
      <c r="L671" t="s">
        <v>30</v>
      </c>
      <c r="M671" t="s">
        <v>31</v>
      </c>
      <c r="N671" t="s">
        <v>32</v>
      </c>
      <c r="O671">
        <v>10</v>
      </c>
      <c r="P671">
        <v>11</v>
      </c>
      <c r="Q671" t="s">
        <v>29</v>
      </c>
      <c r="R671" t="s">
        <v>34</v>
      </c>
      <c r="S671" s="3">
        <v>0</v>
      </c>
      <c r="T671" t="s">
        <v>62</v>
      </c>
      <c r="U671" t="s">
        <v>63</v>
      </c>
      <c r="V671" t="str">
        <f t="shared" si="40"/>
        <v>2026-02</v>
      </c>
      <c r="W671" t="str">
        <f t="shared" si="41"/>
        <v>8-14 days</v>
      </c>
      <c r="X671" t="str">
        <f t="shared" si="42"/>
        <v>No Refund</v>
      </c>
      <c r="Y671" t="str">
        <f t="shared" si="43"/>
        <v>Low</v>
      </c>
    </row>
    <row r="672" spans="1:25" ht="27.6">
      <c r="A672" t="s">
        <v>2247</v>
      </c>
      <c r="B672" t="s">
        <v>2248</v>
      </c>
      <c r="C672" t="s">
        <v>2249</v>
      </c>
      <c r="D672" s="2">
        <v>46030</v>
      </c>
      <c r="E672" t="s">
        <v>94</v>
      </c>
      <c r="F672" t="s">
        <v>25</v>
      </c>
      <c r="G672" s="3">
        <v>135.55000000000001</v>
      </c>
      <c r="H672" t="s">
        <v>49</v>
      </c>
      <c r="I672" t="s">
        <v>27</v>
      </c>
      <c r="J672" s="4" t="s">
        <v>42</v>
      </c>
      <c r="K672" t="s">
        <v>33</v>
      </c>
      <c r="L672" t="s">
        <v>30</v>
      </c>
      <c r="M672" t="s">
        <v>31</v>
      </c>
      <c r="N672" t="s">
        <v>126</v>
      </c>
      <c r="O672">
        <v>5</v>
      </c>
      <c r="P672">
        <v>9</v>
      </c>
      <c r="Q672" t="s">
        <v>29</v>
      </c>
      <c r="R672" t="s">
        <v>34</v>
      </c>
      <c r="S672" s="3">
        <v>0</v>
      </c>
      <c r="T672" t="s">
        <v>35</v>
      </c>
      <c r="U672" t="s">
        <v>63</v>
      </c>
      <c r="V672" t="str">
        <f t="shared" si="40"/>
        <v>2026-01</v>
      </c>
      <c r="W672" t="str">
        <f t="shared" si="41"/>
        <v>8-14 days</v>
      </c>
      <c r="X672" t="str">
        <f t="shared" si="42"/>
        <v>No Refund</v>
      </c>
      <c r="Y672" t="str">
        <f t="shared" si="43"/>
        <v>High</v>
      </c>
    </row>
    <row r="673" spans="1:25" ht="27.6">
      <c r="A673" t="s">
        <v>2250</v>
      </c>
      <c r="B673" t="s">
        <v>1682</v>
      </c>
      <c r="C673" t="s">
        <v>2251</v>
      </c>
      <c r="D673" s="2">
        <v>46038</v>
      </c>
      <c r="E673" t="s">
        <v>47</v>
      </c>
      <c r="F673" t="s">
        <v>25</v>
      </c>
      <c r="G673" s="3">
        <v>107.34</v>
      </c>
      <c r="H673" t="s">
        <v>49</v>
      </c>
      <c r="I673" t="s">
        <v>27</v>
      </c>
      <c r="J673" s="4" t="s">
        <v>2252</v>
      </c>
      <c r="K673" t="s">
        <v>29</v>
      </c>
      <c r="L673" t="s">
        <v>30</v>
      </c>
      <c r="M673" t="s">
        <v>31</v>
      </c>
      <c r="N673" t="s">
        <v>32</v>
      </c>
      <c r="O673">
        <v>5</v>
      </c>
      <c r="P673">
        <v>4</v>
      </c>
      <c r="Q673" t="s">
        <v>33</v>
      </c>
      <c r="R673" t="s">
        <v>34</v>
      </c>
      <c r="S673" s="3">
        <v>107.34</v>
      </c>
      <c r="T673" t="s">
        <v>110</v>
      </c>
      <c r="U673" t="s">
        <v>53</v>
      </c>
      <c r="V673" t="str">
        <f t="shared" si="40"/>
        <v>2026-01</v>
      </c>
      <c r="W673" t="str">
        <f t="shared" si="41"/>
        <v>4-7 days</v>
      </c>
      <c r="X673" t="str">
        <f t="shared" si="42"/>
        <v>Refund Issued</v>
      </c>
      <c r="Y673" t="str">
        <f t="shared" si="43"/>
        <v>High</v>
      </c>
    </row>
    <row r="674" spans="1:25" ht="27.6">
      <c r="A674" t="s">
        <v>2253</v>
      </c>
      <c r="B674" t="s">
        <v>2254</v>
      </c>
      <c r="C674" t="s">
        <v>2255</v>
      </c>
      <c r="D674" s="2">
        <v>46135</v>
      </c>
      <c r="E674" t="s">
        <v>40</v>
      </c>
      <c r="F674" t="s">
        <v>118</v>
      </c>
      <c r="G674" s="3">
        <v>75.489999999999995</v>
      </c>
      <c r="H674" t="s">
        <v>89</v>
      </c>
      <c r="I674" t="s">
        <v>67</v>
      </c>
      <c r="J674" s="4" t="s">
        <v>2256</v>
      </c>
      <c r="K674" t="s">
        <v>29</v>
      </c>
      <c r="L674" t="s">
        <v>120</v>
      </c>
      <c r="M674" t="s">
        <v>96</v>
      </c>
      <c r="N674" t="s">
        <v>32</v>
      </c>
      <c r="O674">
        <v>5</v>
      </c>
      <c r="P674">
        <v>1</v>
      </c>
      <c r="Q674" t="s">
        <v>33</v>
      </c>
      <c r="R674" t="s">
        <v>85</v>
      </c>
      <c r="S674" s="3">
        <v>75.489999999999995</v>
      </c>
      <c r="T674" t="s">
        <v>121</v>
      </c>
      <c r="U674" t="s">
        <v>53</v>
      </c>
      <c r="V674" t="str">
        <f t="shared" si="40"/>
        <v>2026-04</v>
      </c>
      <c r="W674" t="str">
        <f t="shared" si="41"/>
        <v>0-3 days</v>
      </c>
      <c r="X674" t="str">
        <f t="shared" si="42"/>
        <v>Refund Issued</v>
      </c>
      <c r="Y674" t="str">
        <f t="shared" si="43"/>
        <v>High</v>
      </c>
    </row>
    <row r="675" spans="1:25" ht="27.6">
      <c r="A675" t="s">
        <v>2257</v>
      </c>
      <c r="B675" t="s">
        <v>2258</v>
      </c>
      <c r="C675" t="s">
        <v>2259</v>
      </c>
      <c r="D675" s="2">
        <v>46115</v>
      </c>
      <c r="E675" t="s">
        <v>40</v>
      </c>
      <c r="F675" t="s">
        <v>172</v>
      </c>
      <c r="G675" s="3">
        <v>90.57</v>
      </c>
      <c r="H675" t="s">
        <v>58</v>
      </c>
      <c r="I675" t="s">
        <v>50</v>
      </c>
      <c r="J675" s="4" t="s">
        <v>285</v>
      </c>
      <c r="K675" t="s">
        <v>33</v>
      </c>
      <c r="L675" t="s">
        <v>30</v>
      </c>
      <c r="M675" t="s">
        <v>31</v>
      </c>
      <c r="N675" t="s">
        <v>32</v>
      </c>
      <c r="O675">
        <v>7</v>
      </c>
      <c r="P675">
        <v>8</v>
      </c>
      <c r="Q675" t="s">
        <v>29</v>
      </c>
      <c r="R675" t="s">
        <v>174</v>
      </c>
      <c r="S675" s="3">
        <v>45.28</v>
      </c>
      <c r="T675" t="s">
        <v>110</v>
      </c>
      <c r="U675" t="s">
        <v>63</v>
      </c>
      <c r="V675" t="str">
        <f t="shared" si="40"/>
        <v>2026-04</v>
      </c>
      <c r="W675" t="str">
        <f t="shared" si="41"/>
        <v>8-14 days</v>
      </c>
      <c r="X675" t="str">
        <f t="shared" si="42"/>
        <v>Refund Issued</v>
      </c>
      <c r="Y675" t="str">
        <f t="shared" si="43"/>
        <v>Medium</v>
      </c>
    </row>
    <row r="676" spans="1:25" ht="27.6">
      <c r="A676" t="s">
        <v>2260</v>
      </c>
      <c r="B676" t="s">
        <v>2261</v>
      </c>
      <c r="C676" t="s">
        <v>2262</v>
      </c>
      <c r="D676" s="2">
        <v>46114</v>
      </c>
      <c r="E676" t="s">
        <v>47</v>
      </c>
      <c r="F676" t="s">
        <v>172</v>
      </c>
      <c r="G676" s="3">
        <v>34.14</v>
      </c>
      <c r="H676" t="s">
        <v>26</v>
      </c>
      <c r="I676" t="s">
        <v>50</v>
      </c>
      <c r="J676" s="4" t="s">
        <v>173</v>
      </c>
      <c r="K676" t="s">
        <v>29</v>
      </c>
      <c r="L676" t="s">
        <v>30</v>
      </c>
      <c r="M676" t="s">
        <v>31</v>
      </c>
      <c r="N676" t="s">
        <v>32</v>
      </c>
      <c r="O676">
        <v>7</v>
      </c>
      <c r="P676">
        <v>7</v>
      </c>
      <c r="Q676" t="s">
        <v>33</v>
      </c>
      <c r="R676" t="s">
        <v>174</v>
      </c>
      <c r="S676" s="3">
        <v>0</v>
      </c>
      <c r="T676" t="s">
        <v>110</v>
      </c>
      <c r="U676" t="s">
        <v>36</v>
      </c>
      <c r="V676" t="str">
        <f t="shared" si="40"/>
        <v>2026-04</v>
      </c>
      <c r="W676" t="str">
        <f t="shared" si="41"/>
        <v>4-7 days</v>
      </c>
      <c r="X676" t="str">
        <f t="shared" si="42"/>
        <v>No Refund</v>
      </c>
      <c r="Y676" t="str">
        <f t="shared" si="43"/>
        <v>Medium</v>
      </c>
    </row>
    <row r="677" spans="1:25" ht="27.6">
      <c r="A677" t="s">
        <v>2263</v>
      </c>
      <c r="B677" t="s">
        <v>2264</v>
      </c>
      <c r="C677" t="s">
        <v>2265</v>
      </c>
      <c r="D677" s="2">
        <v>46097</v>
      </c>
      <c r="E677" t="s">
        <v>94</v>
      </c>
      <c r="F677" t="s">
        <v>118</v>
      </c>
      <c r="G677" s="3">
        <v>55.59</v>
      </c>
      <c r="H677" t="s">
        <v>49</v>
      </c>
      <c r="I677" t="s">
        <v>27</v>
      </c>
      <c r="J677" s="4" t="s">
        <v>119</v>
      </c>
      <c r="K677" t="s">
        <v>29</v>
      </c>
      <c r="L677" t="s">
        <v>120</v>
      </c>
      <c r="M677" t="s">
        <v>96</v>
      </c>
      <c r="N677" t="s">
        <v>32</v>
      </c>
      <c r="O677">
        <v>5</v>
      </c>
      <c r="P677">
        <v>4</v>
      </c>
      <c r="Q677" t="s">
        <v>33</v>
      </c>
      <c r="R677" t="s">
        <v>85</v>
      </c>
      <c r="S677" s="3">
        <v>55.59</v>
      </c>
      <c r="T677" t="s">
        <v>121</v>
      </c>
      <c r="U677" t="s">
        <v>53</v>
      </c>
      <c r="V677" t="str">
        <f t="shared" si="40"/>
        <v>2026-03</v>
      </c>
      <c r="W677" t="str">
        <f t="shared" si="41"/>
        <v>4-7 days</v>
      </c>
      <c r="X677" t="str">
        <f t="shared" si="42"/>
        <v>Refund Issued</v>
      </c>
      <c r="Y677" t="str">
        <f t="shared" si="43"/>
        <v>High</v>
      </c>
    </row>
    <row r="678" spans="1:25" ht="27.6">
      <c r="A678" t="s">
        <v>2266</v>
      </c>
      <c r="B678" t="s">
        <v>2267</v>
      </c>
      <c r="C678" t="s">
        <v>2268</v>
      </c>
      <c r="D678" s="2">
        <v>46037</v>
      </c>
      <c r="E678" t="s">
        <v>47</v>
      </c>
      <c r="F678" t="s">
        <v>73</v>
      </c>
      <c r="G678" s="3">
        <v>274.14</v>
      </c>
      <c r="H678" t="s">
        <v>41</v>
      </c>
      <c r="I678" t="s">
        <v>50</v>
      </c>
      <c r="J678" s="4" t="s">
        <v>389</v>
      </c>
      <c r="K678" t="s">
        <v>29</v>
      </c>
      <c r="L678" t="s">
        <v>60</v>
      </c>
      <c r="M678" t="s">
        <v>31</v>
      </c>
      <c r="N678" t="s">
        <v>32</v>
      </c>
      <c r="O678">
        <v>10</v>
      </c>
      <c r="P678">
        <v>10</v>
      </c>
      <c r="Q678" t="s">
        <v>33</v>
      </c>
      <c r="R678" t="s">
        <v>61</v>
      </c>
      <c r="S678" s="3">
        <v>274.14</v>
      </c>
      <c r="T678" t="s">
        <v>52</v>
      </c>
      <c r="U678" t="s">
        <v>63</v>
      </c>
      <c r="V678" t="str">
        <f t="shared" si="40"/>
        <v>2026-01</v>
      </c>
      <c r="W678" t="str">
        <f t="shared" si="41"/>
        <v>8-14 days</v>
      </c>
      <c r="X678" t="str">
        <f t="shared" si="42"/>
        <v>Refund Issued</v>
      </c>
      <c r="Y678" t="str">
        <f t="shared" si="43"/>
        <v>Low</v>
      </c>
    </row>
    <row r="679" spans="1:25" ht="27.6">
      <c r="A679" t="s">
        <v>2269</v>
      </c>
      <c r="B679" t="s">
        <v>2270</v>
      </c>
      <c r="C679" t="s">
        <v>2271</v>
      </c>
      <c r="D679" s="2">
        <v>46149</v>
      </c>
      <c r="E679" t="s">
        <v>24</v>
      </c>
      <c r="F679" t="s">
        <v>48</v>
      </c>
      <c r="G679" s="3">
        <v>58.51</v>
      </c>
      <c r="H679" t="s">
        <v>26</v>
      </c>
      <c r="I679" t="s">
        <v>67</v>
      </c>
      <c r="J679" s="4" t="s">
        <v>68</v>
      </c>
      <c r="K679" t="s">
        <v>29</v>
      </c>
      <c r="L679" t="s">
        <v>30</v>
      </c>
      <c r="M679" t="s">
        <v>31</v>
      </c>
      <c r="N679" t="s">
        <v>32</v>
      </c>
      <c r="O679">
        <v>10</v>
      </c>
      <c r="P679">
        <v>8</v>
      </c>
      <c r="Q679" t="s">
        <v>33</v>
      </c>
      <c r="R679" t="s">
        <v>34</v>
      </c>
      <c r="S679" s="3">
        <v>29.25</v>
      </c>
      <c r="T679" t="s">
        <v>69</v>
      </c>
      <c r="U679" t="s">
        <v>63</v>
      </c>
      <c r="V679" t="str">
        <f t="shared" si="40"/>
        <v>2026-05</v>
      </c>
      <c r="W679" t="str">
        <f t="shared" si="41"/>
        <v>8-14 days</v>
      </c>
      <c r="X679" t="str">
        <f t="shared" si="42"/>
        <v>Refund Issued</v>
      </c>
      <c r="Y679" t="str">
        <f t="shared" si="43"/>
        <v>Low</v>
      </c>
    </row>
    <row r="680" spans="1:25" ht="27.6">
      <c r="A680" t="s">
        <v>2272</v>
      </c>
      <c r="B680" t="s">
        <v>2273</v>
      </c>
      <c r="C680" t="s">
        <v>2274</v>
      </c>
      <c r="D680" s="2">
        <v>46112</v>
      </c>
      <c r="E680" t="s">
        <v>47</v>
      </c>
      <c r="F680" t="s">
        <v>118</v>
      </c>
      <c r="G680" s="3">
        <v>335.32</v>
      </c>
      <c r="H680" t="s">
        <v>89</v>
      </c>
      <c r="I680" t="s">
        <v>50</v>
      </c>
      <c r="J680" s="4" t="s">
        <v>119</v>
      </c>
      <c r="K680" t="s">
        <v>29</v>
      </c>
      <c r="L680" t="s">
        <v>120</v>
      </c>
      <c r="M680" t="s">
        <v>96</v>
      </c>
      <c r="N680" t="s">
        <v>32</v>
      </c>
      <c r="O680">
        <v>5</v>
      </c>
      <c r="P680">
        <v>2</v>
      </c>
      <c r="Q680" t="s">
        <v>33</v>
      </c>
      <c r="R680" t="s">
        <v>85</v>
      </c>
      <c r="S680" s="3">
        <v>335.32</v>
      </c>
      <c r="T680" t="s">
        <v>121</v>
      </c>
      <c r="U680" t="s">
        <v>36</v>
      </c>
      <c r="V680" t="str">
        <f t="shared" si="40"/>
        <v>2026-03</v>
      </c>
      <c r="W680" t="str">
        <f t="shared" si="41"/>
        <v>0-3 days</v>
      </c>
      <c r="X680" t="str">
        <f t="shared" si="42"/>
        <v>Refund Issued</v>
      </c>
      <c r="Y680" t="str">
        <f t="shared" si="43"/>
        <v>High</v>
      </c>
    </row>
    <row r="681" spans="1:25" ht="27.6">
      <c r="A681" t="s">
        <v>2275</v>
      </c>
      <c r="B681" t="s">
        <v>2276</v>
      </c>
      <c r="C681" t="s">
        <v>2277</v>
      </c>
      <c r="D681" s="2">
        <v>46132</v>
      </c>
      <c r="E681" t="s">
        <v>47</v>
      </c>
      <c r="F681" t="s">
        <v>25</v>
      </c>
      <c r="G681" s="3">
        <v>9.49</v>
      </c>
      <c r="H681" t="s">
        <v>41</v>
      </c>
      <c r="I681" t="s">
        <v>27</v>
      </c>
      <c r="J681" s="4" t="s">
        <v>42</v>
      </c>
      <c r="K681" t="s">
        <v>29</v>
      </c>
      <c r="L681" t="s">
        <v>30</v>
      </c>
      <c r="M681" t="s">
        <v>31</v>
      </c>
      <c r="N681" t="s">
        <v>32</v>
      </c>
      <c r="O681">
        <v>5</v>
      </c>
      <c r="P681">
        <v>5</v>
      </c>
      <c r="Q681" t="s">
        <v>33</v>
      </c>
      <c r="R681" t="s">
        <v>34</v>
      </c>
      <c r="S681" s="3">
        <v>4.75</v>
      </c>
      <c r="T681" t="s">
        <v>110</v>
      </c>
      <c r="U681" t="s">
        <v>53</v>
      </c>
      <c r="V681" t="str">
        <f t="shared" si="40"/>
        <v>2026-04</v>
      </c>
      <c r="W681" t="str">
        <f t="shared" si="41"/>
        <v>4-7 days</v>
      </c>
      <c r="X681" t="str">
        <f t="shared" si="42"/>
        <v>Refund Issued</v>
      </c>
      <c r="Y681" t="str">
        <f t="shared" si="43"/>
        <v>High</v>
      </c>
    </row>
    <row r="682" spans="1:25" ht="27.6">
      <c r="A682" t="s">
        <v>2278</v>
      </c>
      <c r="B682" t="s">
        <v>2279</v>
      </c>
      <c r="C682" t="s">
        <v>2280</v>
      </c>
      <c r="D682" s="2">
        <v>46034</v>
      </c>
      <c r="E682" t="s">
        <v>94</v>
      </c>
      <c r="F682" t="s">
        <v>25</v>
      </c>
      <c r="G682" s="3">
        <v>223.79</v>
      </c>
      <c r="H682" t="s">
        <v>26</v>
      </c>
      <c r="I682" t="s">
        <v>27</v>
      </c>
      <c r="J682" s="4" t="s">
        <v>2281</v>
      </c>
      <c r="K682" t="s">
        <v>29</v>
      </c>
      <c r="L682" t="s">
        <v>30</v>
      </c>
      <c r="M682" t="s">
        <v>31</v>
      </c>
      <c r="N682" t="s">
        <v>32</v>
      </c>
      <c r="O682">
        <v>5</v>
      </c>
      <c r="P682">
        <v>8</v>
      </c>
      <c r="Q682" t="s">
        <v>29</v>
      </c>
      <c r="R682" t="s">
        <v>34</v>
      </c>
      <c r="S682" s="3">
        <v>167.84</v>
      </c>
      <c r="T682" t="s">
        <v>43</v>
      </c>
      <c r="U682" t="s">
        <v>63</v>
      </c>
      <c r="V682" t="str">
        <f t="shared" si="40"/>
        <v>2026-01</v>
      </c>
      <c r="W682" t="str">
        <f t="shared" si="41"/>
        <v>8-14 days</v>
      </c>
      <c r="X682" t="str">
        <f t="shared" si="42"/>
        <v>Refund Issued</v>
      </c>
      <c r="Y682" t="str">
        <f t="shared" si="43"/>
        <v>High</v>
      </c>
    </row>
    <row r="683" spans="1:25" ht="27.6">
      <c r="A683" t="s">
        <v>2282</v>
      </c>
      <c r="B683" t="s">
        <v>2283</v>
      </c>
      <c r="C683" t="s">
        <v>2284</v>
      </c>
      <c r="D683" s="2">
        <v>46054</v>
      </c>
      <c r="E683" t="s">
        <v>40</v>
      </c>
      <c r="F683" t="s">
        <v>25</v>
      </c>
      <c r="G683" s="3">
        <v>90.46</v>
      </c>
      <c r="H683" t="s">
        <v>58</v>
      </c>
      <c r="I683" t="s">
        <v>50</v>
      </c>
      <c r="J683" s="4" t="s">
        <v>42</v>
      </c>
      <c r="K683" t="s">
        <v>29</v>
      </c>
      <c r="L683" t="s">
        <v>30</v>
      </c>
      <c r="M683" t="s">
        <v>96</v>
      </c>
      <c r="N683" t="s">
        <v>32</v>
      </c>
      <c r="O683">
        <v>5</v>
      </c>
      <c r="P683">
        <v>6</v>
      </c>
      <c r="Q683" t="s">
        <v>29</v>
      </c>
      <c r="R683" t="s">
        <v>34</v>
      </c>
      <c r="S683" s="3">
        <v>90.46</v>
      </c>
      <c r="T683" t="s">
        <v>110</v>
      </c>
      <c r="U683" t="s">
        <v>63</v>
      </c>
      <c r="V683" t="str">
        <f t="shared" si="40"/>
        <v>2026-02</v>
      </c>
      <c r="W683" t="str">
        <f t="shared" si="41"/>
        <v>4-7 days</v>
      </c>
      <c r="X683" t="str">
        <f t="shared" si="42"/>
        <v>Refund Issued</v>
      </c>
      <c r="Y683" t="str">
        <f t="shared" si="43"/>
        <v>High</v>
      </c>
    </row>
    <row r="684" spans="1:25" ht="27.6">
      <c r="A684" t="s">
        <v>2285</v>
      </c>
      <c r="B684" t="s">
        <v>2286</v>
      </c>
      <c r="C684" t="s">
        <v>2287</v>
      </c>
      <c r="D684" s="2">
        <v>46164</v>
      </c>
      <c r="E684" t="s">
        <v>24</v>
      </c>
      <c r="F684" t="s">
        <v>172</v>
      </c>
      <c r="G684" s="3">
        <v>42.67</v>
      </c>
      <c r="H684" t="s">
        <v>58</v>
      </c>
      <c r="I684" t="s">
        <v>50</v>
      </c>
      <c r="J684" s="4" t="s">
        <v>173</v>
      </c>
      <c r="K684" t="s">
        <v>29</v>
      </c>
      <c r="L684" t="s">
        <v>30</v>
      </c>
      <c r="M684" t="s">
        <v>31</v>
      </c>
      <c r="N684" t="s">
        <v>32</v>
      </c>
      <c r="O684">
        <v>7</v>
      </c>
      <c r="P684">
        <v>11</v>
      </c>
      <c r="Q684" t="s">
        <v>29</v>
      </c>
      <c r="R684" t="s">
        <v>174</v>
      </c>
      <c r="S684" s="3">
        <v>21.34</v>
      </c>
      <c r="T684" t="s">
        <v>286</v>
      </c>
      <c r="U684" t="s">
        <v>63</v>
      </c>
      <c r="V684" t="str">
        <f t="shared" si="40"/>
        <v>2026-05</v>
      </c>
      <c r="W684" t="str">
        <f t="shared" si="41"/>
        <v>8-14 days</v>
      </c>
      <c r="X684" t="str">
        <f t="shared" si="42"/>
        <v>Refund Issued</v>
      </c>
      <c r="Y684" t="str">
        <f t="shared" si="43"/>
        <v>Medium</v>
      </c>
    </row>
    <row r="685" spans="1:25" ht="27.6">
      <c r="A685" t="s">
        <v>2288</v>
      </c>
      <c r="B685" t="s">
        <v>2289</v>
      </c>
      <c r="C685" t="s">
        <v>2290</v>
      </c>
      <c r="D685" s="2">
        <v>46101</v>
      </c>
      <c r="E685" t="s">
        <v>40</v>
      </c>
      <c r="F685" t="s">
        <v>118</v>
      </c>
      <c r="G685" s="3">
        <v>14.68</v>
      </c>
      <c r="H685" t="s">
        <v>74</v>
      </c>
      <c r="I685" t="s">
        <v>27</v>
      </c>
      <c r="J685" s="4" t="s">
        <v>2291</v>
      </c>
      <c r="K685" t="s">
        <v>29</v>
      </c>
      <c r="L685" t="s">
        <v>120</v>
      </c>
      <c r="M685" t="s">
        <v>96</v>
      </c>
      <c r="N685" t="s">
        <v>32</v>
      </c>
      <c r="O685">
        <v>5</v>
      </c>
      <c r="P685">
        <v>1</v>
      </c>
      <c r="Q685" t="s">
        <v>33</v>
      </c>
      <c r="R685" t="s">
        <v>85</v>
      </c>
      <c r="S685" s="3">
        <v>14.68</v>
      </c>
      <c r="T685" t="s">
        <v>121</v>
      </c>
      <c r="U685" t="s">
        <v>36</v>
      </c>
      <c r="V685" t="str">
        <f t="shared" si="40"/>
        <v>2026-03</v>
      </c>
      <c r="W685" t="str">
        <f t="shared" si="41"/>
        <v>0-3 days</v>
      </c>
      <c r="X685" t="str">
        <f t="shared" si="42"/>
        <v>Refund Issued</v>
      </c>
      <c r="Y685" t="str">
        <f t="shared" si="43"/>
        <v>High</v>
      </c>
    </row>
    <row r="686" spans="1:25" ht="27.6">
      <c r="A686" t="s">
        <v>2292</v>
      </c>
      <c r="B686" t="s">
        <v>2147</v>
      </c>
      <c r="C686" t="s">
        <v>2293</v>
      </c>
      <c r="D686" s="2">
        <v>46031</v>
      </c>
      <c r="E686" t="s">
        <v>24</v>
      </c>
      <c r="F686" t="s">
        <v>172</v>
      </c>
      <c r="G686" s="3">
        <v>34.04</v>
      </c>
      <c r="H686" t="s">
        <v>108</v>
      </c>
      <c r="I686" t="s">
        <v>27</v>
      </c>
      <c r="J686" s="4" t="s">
        <v>285</v>
      </c>
      <c r="K686" t="s">
        <v>29</v>
      </c>
      <c r="L686" t="s">
        <v>30</v>
      </c>
      <c r="M686" t="s">
        <v>31</v>
      </c>
      <c r="N686" t="s">
        <v>32</v>
      </c>
      <c r="O686">
        <v>7</v>
      </c>
      <c r="P686">
        <v>4</v>
      </c>
      <c r="Q686" t="s">
        <v>33</v>
      </c>
      <c r="R686" t="s">
        <v>174</v>
      </c>
      <c r="S686" s="3">
        <v>0</v>
      </c>
      <c r="T686" t="s">
        <v>69</v>
      </c>
      <c r="U686" t="s">
        <v>53</v>
      </c>
      <c r="V686" t="str">
        <f t="shared" si="40"/>
        <v>2026-01</v>
      </c>
      <c r="W686" t="str">
        <f t="shared" si="41"/>
        <v>4-7 days</v>
      </c>
      <c r="X686" t="str">
        <f t="shared" si="42"/>
        <v>No Refund</v>
      </c>
      <c r="Y686" t="str">
        <f t="shared" si="43"/>
        <v>Medium</v>
      </c>
    </row>
    <row r="687" spans="1:25" ht="27.6">
      <c r="A687" t="s">
        <v>2294</v>
      </c>
      <c r="B687" t="s">
        <v>2295</v>
      </c>
      <c r="C687" t="s">
        <v>2296</v>
      </c>
      <c r="D687" s="2">
        <v>46109</v>
      </c>
      <c r="E687" t="s">
        <v>94</v>
      </c>
      <c r="F687" t="s">
        <v>73</v>
      </c>
      <c r="G687" s="3">
        <v>122.24</v>
      </c>
      <c r="H687" t="s">
        <v>49</v>
      </c>
      <c r="I687" t="s">
        <v>27</v>
      </c>
      <c r="J687" s="4" t="s">
        <v>75</v>
      </c>
      <c r="K687" t="s">
        <v>33</v>
      </c>
      <c r="L687" t="s">
        <v>60</v>
      </c>
      <c r="M687" t="s">
        <v>31</v>
      </c>
      <c r="N687" t="s">
        <v>32</v>
      </c>
      <c r="O687">
        <v>10</v>
      </c>
      <c r="P687">
        <v>17</v>
      </c>
      <c r="Q687" t="s">
        <v>29</v>
      </c>
      <c r="R687" t="s">
        <v>61</v>
      </c>
      <c r="S687" s="3">
        <v>122.24</v>
      </c>
      <c r="T687" t="s">
        <v>62</v>
      </c>
      <c r="U687" t="s">
        <v>63</v>
      </c>
      <c r="V687" t="str">
        <f t="shared" si="40"/>
        <v>2026-03</v>
      </c>
      <c r="W687" t="str">
        <f t="shared" si="41"/>
        <v>15+ days</v>
      </c>
      <c r="X687" t="str">
        <f t="shared" si="42"/>
        <v>Refund Issued</v>
      </c>
      <c r="Y687" t="str">
        <f t="shared" si="43"/>
        <v>Low</v>
      </c>
    </row>
    <row r="688" spans="1:25" ht="27.6">
      <c r="A688" t="s">
        <v>2297</v>
      </c>
      <c r="B688" t="s">
        <v>2298</v>
      </c>
      <c r="C688" t="s">
        <v>2299</v>
      </c>
      <c r="D688" s="2">
        <v>46122</v>
      </c>
      <c r="E688" t="s">
        <v>94</v>
      </c>
      <c r="F688" t="s">
        <v>48</v>
      </c>
      <c r="G688" s="3">
        <v>44.17</v>
      </c>
      <c r="H688" t="s">
        <v>58</v>
      </c>
      <c r="I688" t="s">
        <v>50</v>
      </c>
      <c r="J688" s="4" t="s">
        <v>51</v>
      </c>
      <c r="K688" t="s">
        <v>29</v>
      </c>
      <c r="L688" t="s">
        <v>30</v>
      </c>
      <c r="M688" t="s">
        <v>31</v>
      </c>
      <c r="N688" t="s">
        <v>84</v>
      </c>
      <c r="O688">
        <v>10</v>
      </c>
      <c r="P688">
        <v>9</v>
      </c>
      <c r="Q688" t="s">
        <v>33</v>
      </c>
      <c r="R688" t="s">
        <v>34</v>
      </c>
      <c r="S688" s="3">
        <v>0</v>
      </c>
      <c r="T688" t="s">
        <v>69</v>
      </c>
      <c r="U688" t="s">
        <v>63</v>
      </c>
      <c r="V688" t="str">
        <f t="shared" si="40"/>
        <v>2026-04</v>
      </c>
      <c r="W688" t="str">
        <f t="shared" si="41"/>
        <v>8-14 days</v>
      </c>
      <c r="X688" t="str">
        <f t="shared" si="42"/>
        <v>No Refund</v>
      </c>
      <c r="Y688" t="str">
        <f t="shared" si="43"/>
        <v>Low</v>
      </c>
    </row>
    <row r="689" spans="1:25" ht="27.6">
      <c r="A689" t="s">
        <v>2300</v>
      </c>
      <c r="B689" t="s">
        <v>2301</v>
      </c>
      <c r="C689" t="s">
        <v>2302</v>
      </c>
      <c r="D689" s="2">
        <v>46093</v>
      </c>
      <c r="E689" t="s">
        <v>24</v>
      </c>
      <c r="F689" t="s">
        <v>118</v>
      </c>
      <c r="G689" s="3">
        <v>44.44</v>
      </c>
      <c r="H689" t="s">
        <v>108</v>
      </c>
      <c r="I689" t="s">
        <v>27</v>
      </c>
      <c r="J689" s="4" t="s">
        <v>2303</v>
      </c>
      <c r="K689" t="s">
        <v>29</v>
      </c>
      <c r="L689" t="s">
        <v>120</v>
      </c>
      <c r="M689" t="s">
        <v>96</v>
      </c>
      <c r="N689" t="s">
        <v>32</v>
      </c>
      <c r="O689">
        <v>5</v>
      </c>
      <c r="P689">
        <v>2</v>
      </c>
      <c r="Q689" t="s">
        <v>33</v>
      </c>
      <c r="R689" t="s">
        <v>85</v>
      </c>
      <c r="S689" s="3">
        <v>44.44</v>
      </c>
      <c r="T689" t="s">
        <v>121</v>
      </c>
      <c r="U689" t="s">
        <v>36</v>
      </c>
      <c r="V689" t="str">
        <f t="shared" si="40"/>
        <v>2026-03</v>
      </c>
      <c r="W689" t="str">
        <f t="shared" si="41"/>
        <v>0-3 days</v>
      </c>
      <c r="X689" t="str">
        <f t="shared" si="42"/>
        <v>Refund Issued</v>
      </c>
      <c r="Y689" t="str">
        <f t="shared" si="43"/>
        <v>High</v>
      </c>
    </row>
    <row r="690" spans="1:25" ht="27.6">
      <c r="A690" t="s">
        <v>2304</v>
      </c>
      <c r="B690" t="s">
        <v>2305</v>
      </c>
      <c r="C690" t="s">
        <v>2306</v>
      </c>
      <c r="D690" s="2">
        <v>46168</v>
      </c>
      <c r="E690" t="s">
        <v>40</v>
      </c>
      <c r="F690" t="s">
        <v>57</v>
      </c>
      <c r="G690" s="3">
        <v>100.62</v>
      </c>
      <c r="H690" t="s">
        <v>26</v>
      </c>
      <c r="I690" t="s">
        <v>27</v>
      </c>
      <c r="J690" s="4" t="s">
        <v>155</v>
      </c>
      <c r="K690" t="s">
        <v>29</v>
      </c>
      <c r="L690" t="s">
        <v>60</v>
      </c>
      <c r="M690" t="s">
        <v>31</v>
      </c>
      <c r="N690" t="s">
        <v>32</v>
      </c>
      <c r="O690">
        <v>10</v>
      </c>
      <c r="P690">
        <v>5</v>
      </c>
      <c r="Q690" t="s">
        <v>33</v>
      </c>
      <c r="R690" t="s">
        <v>61</v>
      </c>
      <c r="S690" s="3">
        <v>50.31</v>
      </c>
      <c r="T690" t="s">
        <v>52</v>
      </c>
      <c r="U690" t="s">
        <v>63</v>
      </c>
      <c r="V690" t="str">
        <f t="shared" si="40"/>
        <v>2026-05</v>
      </c>
      <c r="W690" t="str">
        <f t="shared" si="41"/>
        <v>4-7 days</v>
      </c>
      <c r="X690" t="str">
        <f t="shared" si="42"/>
        <v>Refund Issued</v>
      </c>
      <c r="Y690" t="str">
        <f t="shared" si="43"/>
        <v>Low</v>
      </c>
    </row>
    <row r="691" spans="1:25" ht="27.6">
      <c r="A691" t="s">
        <v>2307</v>
      </c>
      <c r="B691" t="s">
        <v>2308</v>
      </c>
      <c r="C691" t="s">
        <v>2309</v>
      </c>
      <c r="D691" s="2">
        <v>46135</v>
      </c>
      <c r="E691" t="s">
        <v>24</v>
      </c>
      <c r="F691" t="s">
        <v>57</v>
      </c>
      <c r="G691" s="3">
        <v>9.3000000000000007</v>
      </c>
      <c r="H691" t="s">
        <v>74</v>
      </c>
      <c r="I691" t="s">
        <v>67</v>
      </c>
      <c r="J691" s="4" t="s">
        <v>155</v>
      </c>
      <c r="K691" t="s">
        <v>29</v>
      </c>
      <c r="L691" t="s">
        <v>60</v>
      </c>
      <c r="M691" t="s">
        <v>31</v>
      </c>
      <c r="N691" t="s">
        <v>32</v>
      </c>
      <c r="O691">
        <v>10</v>
      </c>
      <c r="P691">
        <v>11</v>
      </c>
      <c r="Q691" t="s">
        <v>29</v>
      </c>
      <c r="R691" t="s">
        <v>61</v>
      </c>
      <c r="S691" s="3">
        <v>9.3000000000000007</v>
      </c>
      <c r="T691" t="s">
        <v>156</v>
      </c>
      <c r="U691" t="s">
        <v>63</v>
      </c>
      <c r="V691" t="str">
        <f t="shared" si="40"/>
        <v>2026-04</v>
      </c>
      <c r="W691" t="str">
        <f t="shared" si="41"/>
        <v>8-14 days</v>
      </c>
      <c r="X691" t="str">
        <f t="shared" si="42"/>
        <v>Refund Issued</v>
      </c>
      <c r="Y691" t="str">
        <f t="shared" si="43"/>
        <v>Low</v>
      </c>
    </row>
    <row r="692" spans="1:25" ht="27.6">
      <c r="A692" t="s">
        <v>2310</v>
      </c>
      <c r="B692" t="s">
        <v>2311</v>
      </c>
      <c r="C692" t="s">
        <v>2312</v>
      </c>
      <c r="D692" s="2">
        <v>46164</v>
      </c>
      <c r="E692" t="s">
        <v>40</v>
      </c>
      <c r="F692" t="s">
        <v>25</v>
      </c>
      <c r="G692" s="3">
        <v>61.7</v>
      </c>
      <c r="H692" t="s">
        <v>41</v>
      </c>
      <c r="I692" t="s">
        <v>27</v>
      </c>
      <c r="J692" s="4" t="s">
        <v>42</v>
      </c>
      <c r="K692" t="s">
        <v>33</v>
      </c>
      <c r="L692" t="s">
        <v>30</v>
      </c>
      <c r="M692" t="s">
        <v>31</v>
      </c>
      <c r="N692" t="s">
        <v>32</v>
      </c>
      <c r="O692">
        <v>5</v>
      </c>
      <c r="P692">
        <v>8</v>
      </c>
      <c r="Q692" t="s">
        <v>29</v>
      </c>
      <c r="R692" t="s">
        <v>34</v>
      </c>
      <c r="S692" s="3">
        <v>61.7</v>
      </c>
      <c r="T692" t="s">
        <v>43</v>
      </c>
      <c r="U692" t="s">
        <v>63</v>
      </c>
      <c r="V692" t="str">
        <f t="shared" si="40"/>
        <v>2026-05</v>
      </c>
      <c r="W692" t="str">
        <f t="shared" si="41"/>
        <v>8-14 days</v>
      </c>
      <c r="X692" t="str">
        <f t="shared" si="42"/>
        <v>Refund Issued</v>
      </c>
      <c r="Y692" t="str">
        <f t="shared" si="43"/>
        <v>High</v>
      </c>
    </row>
    <row r="693" spans="1:25" ht="27.6">
      <c r="A693" t="s">
        <v>2313</v>
      </c>
      <c r="B693" t="s">
        <v>2314</v>
      </c>
      <c r="C693" t="s">
        <v>2315</v>
      </c>
      <c r="D693" s="2">
        <v>46042</v>
      </c>
      <c r="E693" t="s">
        <v>24</v>
      </c>
      <c r="F693" t="s">
        <v>118</v>
      </c>
      <c r="G693" s="3">
        <v>14.04</v>
      </c>
      <c r="H693" t="s">
        <v>108</v>
      </c>
      <c r="I693" t="s">
        <v>27</v>
      </c>
      <c r="J693" s="4" t="s">
        <v>119</v>
      </c>
      <c r="K693" t="s">
        <v>29</v>
      </c>
      <c r="L693" t="s">
        <v>120</v>
      </c>
      <c r="M693" t="s">
        <v>96</v>
      </c>
      <c r="N693" t="s">
        <v>32</v>
      </c>
      <c r="O693">
        <v>5</v>
      </c>
      <c r="P693">
        <v>2</v>
      </c>
      <c r="Q693" t="s">
        <v>33</v>
      </c>
      <c r="R693" t="s">
        <v>85</v>
      </c>
      <c r="S693" s="3">
        <v>14.04</v>
      </c>
      <c r="T693" t="s">
        <v>121</v>
      </c>
      <c r="U693" t="s">
        <v>53</v>
      </c>
      <c r="V693" t="str">
        <f t="shared" si="40"/>
        <v>2026-01</v>
      </c>
      <c r="W693" t="str">
        <f t="shared" si="41"/>
        <v>0-3 days</v>
      </c>
      <c r="X693" t="str">
        <f t="shared" si="42"/>
        <v>Refund Issued</v>
      </c>
      <c r="Y693" t="str">
        <f t="shared" si="43"/>
        <v>High</v>
      </c>
    </row>
    <row r="694" spans="1:25" ht="27.6">
      <c r="A694" t="s">
        <v>2316</v>
      </c>
      <c r="B694" t="s">
        <v>2317</v>
      </c>
      <c r="C694" t="s">
        <v>2318</v>
      </c>
      <c r="D694" s="2">
        <v>46127</v>
      </c>
      <c r="E694" t="s">
        <v>94</v>
      </c>
      <c r="F694" t="s">
        <v>82</v>
      </c>
      <c r="G694" s="3">
        <v>100.89</v>
      </c>
      <c r="H694" t="s">
        <v>26</v>
      </c>
      <c r="I694" t="s">
        <v>27</v>
      </c>
      <c r="J694" s="4" t="s">
        <v>114</v>
      </c>
      <c r="K694" t="s">
        <v>29</v>
      </c>
      <c r="L694" t="s">
        <v>30</v>
      </c>
      <c r="M694" t="s">
        <v>31</v>
      </c>
      <c r="N694" t="s">
        <v>32</v>
      </c>
      <c r="O694">
        <v>7</v>
      </c>
      <c r="P694">
        <v>6</v>
      </c>
      <c r="Q694" t="s">
        <v>33</v>
      </c>
      <c r="R694" t="s">
        <v>85</v>
      </c>
      <c r="S694" s="3">
        <v>0</v>
      </c>
      <c r="T694" t="s">
        <v>43</v>
      </c>
      <c r="U694" t="s">
        <v>36</v>
      </c>
      <c r="V694" t="str">
        <f t="shared" si="40"/>
        <v>2026-04</v>
      </c>
      <c r="W694" t="str">
        <f t="shared" si="41"/>
        <v>4-7 days</v>
      </c>
      <c r="X694" t="str">
        <f t="shared" si="42"/>
        <v>No Refund</v>
      </c>
      <c r="Y694" t="str">
        <f t="shared" si="43"/>
        <v>High</v>
      </c>
    </row>
    <row r="695" spans="1:25" ht="27.6">
      <c r="A695" t="s">
        <v>2319</v>
      </c>
      <c r="B695" t="s">
        <v>2320</v>
      </c>
      <c r="C695" t="s">
        <v>2321</v>
      </c>
      <c r="D695" s="2">
        <v>46172</v>
      </c>
      <c r="E695" t="s">
        <v>24</v>
      </c>
      <c r="F695" t="s">
        <v>103</v>
      </c>
      <c r="G695" s="3">
        <v>91.74</v>
      </c>
      <c r="H695" t="s">
        <v>89</v>
      </c>
      <c r="I695" t="s">
        <v>67</v>
      </c>
      <c r="J695" s="4" t="s">
        <v>104</v>
      </c>
      <c r="K695" t="s">
        <v>29</v>
      </c>
      <c r="L695" t="s">
        <v>30</v>
      </c>
      <c r="M695" t="s">
        <v>31</v>
      </c>
      <c r="N695" t="s">
        <v>32</v>
      </c>
      <c r="O695">
        <v>5</v>
      </c>
      <c r="P695">
        <v>5</v>
      </c>
      <c r="Q695" t="s">
        <v>33</v>
      </c>
      <c r="R695" t="s">
        <v>34</v>
      </c>
      <c r="S695" s="3">
        <v>91.74</v>
      </c>
      <c r="T695" t="s">
        <v>247</v>
      </c>
      <c r="U695" t="s">
        <v>53</v>
      </c>
      <c r="V695" t="str">
        <f t="shared" si="40"/>
        <v>2026-05</v>
      </c>
      <c r="W695" t="str">
        <f t="shared" si="41"/>
        <v>4-7 days</v>
      </c>
      <c r="X695" t="str">
        <f t="shared" si="42"/>
        <v>Refund Issued</v>
      </c>
      <c r="Y695" t="str">
        <f t="shared" si="43"/>
        <v>Medium</v>
      </c>
    </row>
    <row r="696" spans="1:25" ht="27.6">
      <c r="A696" t="s">
        <v>2322</v>
      </c>
      <c r="B696" t="s">
        <v>2323</v>
      </c>
      <c r="C696" t="s">
        <v>2324</v>
      </c>
      <c r="D696" s="2">
        <v>46135</v>
      </c>
      <c r="E696" t="s">
        <v>24</v>
      </c>
      <c r="F696" t="s">
        <v>25</v>
      </c>
      <c r="G696" s="3">
        <v>138.9</v>
      </c>
      <c r="H696" t="s">
        <v>41</v>
      </c>
      <c r="I696" t="s">
        <v>27</v>
      </c>
      <c r="J696" s="4" t="s">
        <v>2325</v>
      </c>
      <c r="K696" t="s">
        <v>33</v>
      </c>
      <c r="L696" t="s">
        <v>30</v>
      </c>
      <c r="M696" t="s">
        <v>31</v>
      </c>
      <c r="N696" t="s">
        <v>126</v>
      </c>
      <c r="O696">
        <v>5</v>
      </c>
      <c r="P696">
        <v>9</v>
      </c>
      <c r="Q696" t="s">
        <v>29</v>
      </c>
      <c r="R696" t="s">
        <v>34</v>
      </c>
      <c r="S696" s="3">
        <v>0</v>
      </c>
      <c r="T696" t="s">
        <v>43</v>
      </c>
      <c r="U696" t="s">
        <v>63</v>
      </c>
      <c r="V696" t="str">
        <f t="shared" si="40"/>
        <v>2026-04</v>
      </c>
      <c r="W696" t="str">
        <f t="shared" si="41"/>
        <v>8-14 days</v>
      </c>
      <c r="X696" t="str">
        <f t="shared" si="42"/>
        <v>No Refund</v>
      </c>
      <c r="Y696" t="str">
        <f t="shared" si="43"/>
        <v>High</v>
      </c>
    </row>
    <row r="697" spans="1:25" ht="27.6">
      <c r="A697" t="s">
        <v>2326</v>
      </c>
      <c r="B697" t="s">
        <v>2327</v>
      </c>
      <c r="C697" t="s">
        <v>2328</v>
      </c>
      <c r="D697" s="2">
        <v>46127</v>
      </c>
      <c r="E697" t="s">
        <v>24</v>
      </c>
      <c r="F697" t="s">
        <v>82</v>
      </c>
      <c r="G697" s="3">
        <v>44.54</v>
      </c>
      <c r="H697" t="s">
        <v>58</v>
      </c>
      <c r="I697" t="s">
        <v>50</v>
      </c>
      <c r="J697" s="4" t="s">
        <v>114</v>
      </c>
      <c r="K697" t="s">
        <v>29</v>
      </c>
      <c r="L697" t="s">
        <v>30</v>
      </c>
      <c r="M697" t="s">
        <v>31</v>
      </c>
      <c r="N697" t="s">
        <v>32</v>
      </c>
      <c r="O697">
        <v>7</v>
      </c>
      <c r="P697">
        <v>8</v>
      </c>
      <c r="Q697" t="s">
        <v>29</v>
      </c>
      <c r="R697" t="s">
        <v>85</v>
      </c>
      <c r="S697" s="3">
        <v>0</v>
      </c>
      <c r="T697" t="s">
        <v>69</v>
      </c>
      <c r="U697" t="s">
        <v>63</v>
      </c>
      <c r="V697" t="str">
        <f t="shared" si="40"/>
        <v>2026-04</v>
      </c>
      <c r="W697" t="str">
        <f t="shared" si="41"/>
        <v>8-14 days</v>
      </c>
      <c r="X697" t="str">
        <f t="shared" si="42"/>
        <v>No Refund</v>
      </c>
      <c r="Y697" t="str">
        <f t="shared" si="43"/>
        <v>High</v>
      </c>
    </row>
    <row r="698" spans="1:25" ht="27.6">
      <c r="A698" t="s">
        <v>2329</v>
      </c>
      <c r="B698" t="s">
        <v>2330</v>
      </c>
      <c r="C698" t="s">
        <v>2331</v>
      </c>
      <c r="D698" s="2">
        <v>46127</v>
      </c>
      <c r="E698" t="s">
        <v>40</v>
      </c>
      <c r="F698" t="s">
        <v>172</v>
      </c>
      <c r="G698" s="3">
        <v>85.96</v>
      </c>
      <c r="H698" t="s">
        <v>41</v>
      </c>
      <c r="I698" t="s">
        <v>27</v>
      </c>
      <c r="J698" s="4" t="s">
        <v>173</v>
      </c>
      <c r="K698" t="s">
        <v>29</v>
      </c>
      <c r="L698" t="s">
        <v>30</v>
      </c>
      <c r="M698" t="s">
        <v>31</v>
      </c>
      <c r="N698" t="s">
        <v>32</v>
      </c>
      <c r="O698">
        <v>7</v>
      </c>
      <c r="P698">
        <v>6</v>
      </c>
      <c r="Q698" t="s">
        <v>33</v>
      </c>
      <c r="R698" t="s">
        <v>174</v>
      </c>
      <c r="S698" s="3">
        <v>0</v>
      </c>
      <c r="T698" t="s">
        <v>286</v>
      </c>
      <c r="U698" t="s">
        <v>53</v>
      </c>
      <c r="V698" t="str">
        <f t="shared" si="40"/>
        <v>2026-04</v>
      </c>
      <c r="W698" t="str">
        <f t="shared" si="41"/>
        <v>4-7 days</v>
      </c>
      <c r="X698" t="str">
        <f t="shared" si="42"/>
        <v>No Refund</v>
      </c>
      <c r="Y698" t="str">
        <f t="shared" si="43"/>
        <v>Medium</v>
      </c>
    </row>
    <row r="699" spans="1:25" ht="27.6">
      <c r="A699" t="s">
        <v>2332</v>
      </c>
      <c r="B699" t="s">
        <v>2333</v>
      </c>
      <c r="C699" t="s">
        <v>2334</v>
      </c>
      <c r="D699" s="2">
        <v>46065</v>
      </c>
      <c r="E699" t="s">
        <v>24</v>
      </c>
      <c r="F699" t="s">
        <v>118</v>
      </c>
      <c r="G699" s="3">
        <v>126.34</v>
      </c>
      <c r="H699" t="s">
        <v>58</v>
      </c>
      <c r="I699" t="s">
        <v>27</v>
      </c>
      <c r="J699" s="4" t="s">
        <v>2335</v>
      </c>
      <c r="K699" t="s">
        <v>33</v>
      </c>
      <c r="L699" t="s">
        <v>30</v>
      </c>
      <c r="M699" t="s">
        <v>31</v>
      </c>
      <c r="N699" t="s">
        <v>84</v>
      </c>
      <c r="O699">
        <v>5</v>
      </c>
      <c r="P699">
        <v>8</v>
      </c>
      <c r="Q699" t="s">
        <v>29</v>
      </c>
      <c r="R699" t="s">
        <v>85</v>
      </c>
      <c r="S699" s="3">
        <v>0</v>
      </c>
      <c r="T699" t="s">
        <v>121</v>
      </c>
      <c r="U699" t="s">
        <v>63</v>
      </c>
      <c r="V699" t="str">
        <f t="shared" si="40"/>
        <v>2026-02</v>
      </c>
      <c r="W699" t="str">
        <f t="shared" si="41"/>
        <v>8-14 days</v>
      </c>
      <c r="X699" t="str">
        <f t="shared" si="42"/>
        <v>No Refund</v>
      </c>
      <c r="Y699" t="str">
        <f t="shared" si="43"/>
        <v>High</v>
      </c>
    </row>
    <row r="700" spans="1:25" ht="27.6">
      <c r="A700" t="s">
        <v>2336</v>
      </c>
      <c r="B700" t="s">
        <v>2337</v>
      </c>
      <c r="C700" t="s">
        <v>2338</v>
      </c>
      <c r="D700" s="2">
        <v>46154</v>
      </c>
      <c r="E700" t="s">
        <v>94</v>
      </c>
      <c r="F700" t="s">
        <v>73</v>
      </c>
      <c r="G700" s="3">
        <v>100.79</v>
      </c>
      <c r="H700" t="s">
        <v>108</v>
      </c>
      <c r="I700" t="s">
        <v>50</v>
      </c>
      <c r="J700" s="4" t="s">
        <v>75</v>
      </c>
      <c r="K700" t="s">
        <v>33</v>
      </c>
      <c r="L700" t="s">
        <v>60</v>
      </c>
      <c r="M700" t="s">
        <v>31</v>
      </c>
      <c r="N700" t="s">
        <v>126</v>
      </c>
      <c r="O700">
        <v>10</v>
      </c>
      <c r="P700">
        <v>15</v>
      </c>
      <c r="Q700" t="s">
        <v>29</v>
      </c>
      <c r="R700" t="s">
        <v>61</v>
      </c>
      <c r="S700" s="3">
        <v>0</v>
      </c>
      <c r="T700" t="s">
        <v>52</v>
      </c>
      <c r="U700" t="s">
        <v>63</v>
      </c>
      <c r="V700" t="str">
        <f t="shared" si="40"/>
        <v>2026-05</v>
      </c>
      <c r="W700" t="str">
        <f t="shared" si="41"/>
        <v>15+ days</v>
      </c>
      <c r="X700" t="str">
        <f t="shared" si="42"/>
        <v>No Refund</v>
      </c>
      <c r="Y700" t="str">
        <f t="shared" si="43"/>
        <v>Low</v>
      </c>
    </row>
    <row r="701" spans="1:25" ht="27.6">
      <c r="A701" t="s">
        <v>2339</v>
      </c>
      <c r="B701" t="s">
        <v>2340</v>
      </c>
      <c r="C701" t="s">
        <v>2341</v>
      </c>
      <c r="D701" s="2">
        <v>46113</v>
      </c>
      <c r="E701" t="s">
        <v>94</v>
      </c>
      <c r="F701" t="s">
        <v>73</v>
      </c>
      <c r="G701" s="3">
        <v>84.41</v>
      </c>
      <c r="H701" t="s">
        <v>108</v>
      </c>
      <c r="I701" t="s">
        <v>27</v>
      </c>
      <c r="J701" s="4" t="s">
        <v>75</v>
      </c>
      <c r="K701" t="s">
        <v>29</v>
      </c>
      <c r="L701" t="s">
        <v>60</v>
      </c>
      <c r="M701" t="s">
        <v>31</v>
      </c>
      <c r="N701" t="s">
        <v>32</v>
      </c>
      <c r="O701">
        <v>10</v>
      </c>
      <c r="P701">
        <v>15</v>
      </c>
      <c r="Q701" t="s">
        <v>29</v>
      </c>
      <c r="R701" t="s">
        <v>61</v>
      </c>
      <c r="S701" s="3">
        <v>0</v>
      </c>
      <c r="T701" t="s">
        <v>156</v>
      </c>
      <c r="U701" t="s">
        <v>63</v>
      </c>
      <c r="V701" t="str">
        <f t="shared" si="40"/>
        <v>2026-04</v>
      </c>
      <c r="W701" t="str">
        <f t="shared" si="41"/>
        <v>15+ days</v>
      </c>
      <c r="X701" t="str">
        <f t="shared" si="42"/>
        <v>No Refund</v>
      </c>
      <c r="Y701" t="str">
        <f t="shared" si="43"/>
        <v>Low</v>
      </c>
    </row>
    <row r="702" spans="1:25" ht="27.6">
      <c r="A702" t="s">
        <v>2342</v>
      </c>
      <c r="B702" t="s">
        <v>2343</v>
      </c>
      <c r="C702" t="s">
        <v>2344</v>
      </c>
      <c r="D702" s="2">
        <v>46117</v>
      </c>
      <c r="E702" t="s">
        <v>40</v>
      </c>
      <c r="F702" t="s">
        <v>82</v>
      </c>
      <c r="G702" s="3">
        <v>29.43</v>
      </c>
      <c r="H702" t="s">
        <v>58</v>
      </c>
      <c r="I702" t="s">
        <v>50</v>
      </c>
      <c r="J702" s="4" t="s">
        <v>2345</v>
      </c>
      <c r="K702" t="s">
        <v>33</v>
      </c>
      <c r="L702" t="s">
        <v>30</v>
      </c>
      <c r="M702" t="s">
        <v>31</v>
      </c>
      <c r="N702" t="s">
        <v>32</v>
      </c>
      <c r="O702">
        <v>7</v>
      </c>
      <c r="P702">
        <v>9</v>
      </c>
      <c r="Q702" t="s">
        <v>29</v>
      </c>
      <c r="R702" t="s">
        <v>85</v>
      </c>
      <c r="S702" s="3">
        <v>29.43</v>
      </c>
      <c r="T702" t="s">
        <v>43</v>
      </c>
      <c r="U702" t="s">
        <v>63</v>
      </c>
      <c r="V702" t="str">
        <f t="shared" si="40"/>
        <v>2026-04</v>
      </c>
      <c r="W702" t="str">
        <f t="shared" si="41"/>
        <v>8-14 days</v>
      </c>
      <c r="X702" t="str">
        <f t="shared" si="42"/>
        <v>Refund Issued</v>
      </c>
      <c r="Y702" t="str">
        <f t="shared" si="43"/>
        <v>High</v>
      </c>
    </row>
    <row r="703" spans="1:25" ht="27.6">
      <c r="A703" t="s">
        <v>2346</v>
      </c>
      <c r="B703" t="s">
        <v>2347</v>
      </c>
      <c r="C703" t="s">
        <v>2348</v>
      </c>
      <c r="D703" s="2">
        <v>46121</v>
      </c>
      <c r="E703" t="s">
        <v>24</v>
      </c>
      <c r="F703" t="s">
        <v>25</v>
      </c>
      <c r="G703" s="3">
        <v>16.82</v>
      </c>
      <c r="H703" t="s">
        <v>89</v>
      </c>
      <c r="I703" t="s">
        <v>67</v>
      </c>
      <c r="J703" s="4" t="s">
        <v>42</v>
      </c>
      <c r="K703" t="s">
        <v>29</v>
      </c>
      <c r="L703" t="s">
        <v>30</v>
      </c>
      <c r="M703" t="s">
        <v>31</v>
      </c>
      <c r="N703" t="s">
        <v>32</v>
      </c>
      <c r="O703">
        <v>5</v>
      </c>
      <c r="P703">
        <v>9</v>
      </c>
      <c r="Q703" t="s">
        <v>29</v>
      </c>
      <c r="R703" t="s">
        <v>34</v>
      </c>
      <c r="S703" s="3">
        <v>12.62</v>
      </c>
      <c r="T703" t="s">
        <v>43</v>
      </c>
      <c r="U703" t="s">
        <v>63</v>
      </c>
      <c r="V703" t="str">
        <f t="shared" si="40"/>
        <v>2026-04</v>
      </c>
      <c r="W703" t="str">
        <f t="shared" si="41"/>
        <v>8-14 days</v>
      </c>
      <c r="X703" t="str">
        <f t="shared" si="42"/>
        <v>Refund Issued</v>
      </c>
      <c r="Y703" t="str">
        <f t="shared" si="43"/>
        <v>High</v>
      </c>
    </row>
    <row r="704" spans="1:25" ht="27.6">
      <c r="A704" t="s">
        <v>2349</v>
      </c>
      <c r="B704" t="s">
        <v>2350</v>
      </c>
      <c r="C704" t="s">
        <v>2351</v>
      </c>
      <c r="D704" s="2">
        <v>46066</v>
      </c>
      <c r="E704" t="s">
        <v>24</v>
      </c>
      <c r="F704" t="s">
        <v>73</v>
      </c>
      <c r="G704" s="3">
        <v>20.91</v>
      </c>
      <c r="H704" t="s">
        <v>49</v>
      </c>
      <c r="I704" t="s">
        <v>50</v>
      </c>
      <c r="J704" s="4" t="s">
        <v>389</v>
      </c>
      <c r="K704" t="s">
        <v>29</v>
      </c>
      <c r="L704" t="s">
        <v>60</v>
      </c>
      <c r="M704" t="s">
        <v>31</v>
      </c>
      <c r="N704" t="s">
        <v>32</v>
      </c>
      <c r="O704">
        <v>10</v>
      </c>
      <c r="P704">
        <v>17</v>
      </c>
      <c r="Q704" t="s">
        <v>29</v>
      </c>
      <c r="R704" t="s">
        <v>61</v>
      </c>
      <c r="S704" s="3">
        <v>10.46</v>
      </c>
      <c r="T704" t="s">
        <v>62</v>
      </c>
      <c r="U704" t="s">
        <v>63</v>
      </c>
      <c r="V704" t="str">
        <f t="shared" si="40"/>
        <v>2026-02</v>
      </c>
      <c r="W704" t="str">
        <f t="shared" si="41"/>
        <v>15+ days</v>
      </c>
      <c r="X704" t="str">
        <f t="shared" si="42"/>
        <v>Refund Issued</v>
      </c>
      <c r="Y704" t="str">
        <f t="shared" si="43"/>
        <v>Low</v>
      </c>
    </row>
    <row r="705" spans="1:25" ht="27.6">
      <c r="A705" t="s">
        <v>2352</v>
      </c>
      <c r="B705" t="s">
        <v>2353</v>
      </c>
      <c r="C705" t="s">
        <v>2354</v>
      </c>
      <c r="D705" s="2">
        <v>46169</v>
      </c>
      <c r="E705" t="s">
        <v>47</v>
      </c>
      <c r="F705" t="s">
        <v>82</v>
      </c>
      <c r="G705" s="3">
        <v>14.91</v>
      </c>
      <c r="H705" t="s">
        <v>26</v>
      </c>
      <c r="I705" t="s">
        <v>50</v>
      </c>
      <c r="J705" s="4" t="s">
        <v>114</v>
      </c>
      <c r="K705" t="s">
        <v>33</v>
      </c>
      <c r="L705" t="s">
        <v>30</v>
      </c>
      <c r="M705" t="s">
        <v>31</v>
      </c>
      <c r="N705" t="s">
        <v>32</v>
      </c>
      <c r="O705">
        <v>7</v>
      </c>
      <c r="P705">
        <v>4</v>
      </c>
      <c r="Q705" t="s">
        <v>33</v>
      </c>
      <c r="R705" t="s">
        <v>85</v>
      </c>
      <c r="S705" s="3">
        <v>11.18</v>
      </c>
      <c r="T705" t="s">
        <v>43</v>
      </c>
      <c r="U705" t="s">
        <v>53</v>
      </c>
      <c r="V705" t="str">
        <f t="shared" si="40"/>
        <v>2026-05</v>
      </c>
      <c r="W705" t="str">
        <f t="shared" si="41"/>
        <v>4-7 days</v>
      </c>
      <c r="X705" t="str">
        <f t="shared" si="42"/>
        <v>Refund Issued</v>
      </c>
      <c r="Y705" t="str">
        <f t="shared" si="43"/>
        <v>High</v>
      </c>
    </row>
    <row r="706" spans="1:25" ht="27.6">
      <c r="A706" t="s">
        <v>2355</v>
      </c>
      <c r="B706" t="s">
        <v>2356</v>
      </c>
      <c r="C706" t="s">
        <v>2357</v>
      </c>
      <c r="D706" s="2">
        <v>46052</v>
      </c>
      <c r="E706" t="s">
        <v>94</v>
      </c>
      <c r="F706" t="s">
        <v>57</v>
      </c>
      <c r="G706" s="3">
        <v>63.95</v>
      </c>
      <c r="H706" t="s">
        <v>26</v>
      </c>
      <c r="I706" t="s">
        <v>27</v>
      </c>
      <c r="J706" s="4" t="s">
        <v>155</v>
      </c>
      <c r="K706" t="s">
        <v>29</v>
      </c>
      <c r="L706" t="s">
        <v>60</v>
      </c>
      <c r="M706" t="s">
        <v>31</v>
      </c>
      <c r="N706" t="s">
        <v>32</v>
      </c>
      <c r="O706">
        <v>10</v>
      </c>
      <c r="P706">
        <v>6</v>
      </c>
      <c r="Q706" t="s">
        <v>33</v>
      </c>
      <c r="R706" t="s">
        <v>61</v>
      </c>
      <c r="S706" s="3">
        <v>63.95</v>
      </c>
      <c r="T706" t="s">
        <v>52</v>
      </c>
      <c r="U706" t="s">
        <v>63</v>
      </c>
      <c r="V706" t="str">
        <f t="shared" ref="V706:V751" si="44">TEXT(D706,"yyyy-mm")</f>
        <v>2026-01</v>
      </c>
      <c r="W706" t="str">
        <f t="shared" ref="W706:W751" si="45">IF(P706&lt;=3,"0-3 days",IF(P706&lt;=7,"4-7 days",IF(P706&lt;=14,"8-14 days","15+ days")))</f>
        <v>4-7 days</v>
      </c>
      <c r="X706" t="str">
        <f t="shared" ref="X706:X751" si="46">IF(S706&gt;0,"Refund Issued","No Refund")</f>
        <v>Refund Issued</v>
      </c>
      <c r="Y706" t="str">
        <f t="shared" ref="Y706:Y751" si="47">IF(OR(F706="Failed Payment",F706="Duplicate Debit",F706="Refund Delay"),"High",IF(OR(F706="Merchant Not Credited",F706="Wrong Amount Debited"),"Medium","Low"))</f>
        <v>Low</v>
      </c>
    </row>
    <row r="707" spans="1:25" ht="27.6">
      <c r="A707" t="s">
        <v>2358</v>
      </c>
      <c r="B707" t="s">
        <v>2359</v>
      </c>
      <c r="C707" t="s">
        <v>2360</v>
      </c>
      <c r="D707" s="2">
        <v>46048</v>
      </c>
      <c r="E707" t="s">
        <v>94</v>
      </c>
      <c r="F707" t="s">
        <v>57</v>
      </c>
      <c r="G707" s="3">
        <v>7.55</v>
      </c>
      <c r="H707" t="s">
        <v>58</v>
      </c>
      <c r="I707" t="s">
        <v>67</v>
      </c>
      <c r="J707" s="4" t="s">
        <v>155</v>
      </c>
      <c r="K707" t="s">
        <v>29</v>
      </c>
      <c r="L707" t="s">
        <v>60</v>
      </c>
      <c r="M707" t="s">
        <v>31</v>
      </c>
      <c r="N707" t="s">
        <v>32</v>
      </c>
      <c r="O707">
        <v>10</v>
      </c>
      <c r="P707">
        <v>12</v>
      </c>
      <c r="Q707" t="s">
        <v>29</v>
      </c>
      <c r="R707" t="s">
        <v>61</v>
      </c>
      <c r="S707" s="3">
        <v>7.55</v>
      </c>
      <c r="T707" t="s">
        <v>62</v>
      </c>
      <c r="U707" t="s">
        <v>63</v>
      </c>
      <c r="V707" t="str">
        <f t="shared" si="44"/>
        <v>2026-01</v>
      </c>
      <c r="W707" t="str">
        <f t="shared" si="45"/>
        <v>8-14 days</v>
      </c>
      <c r="X707" t="str">
        <f t="shared" si="46"/>
        <v>Refund Issued</v>
      </c>
      <c r="Y707" t="str">
        <f t="shared" si="47"/>
        <v>Low</v>
      </c>
    </row>
    <row r="708" spans="1:25" ht="27.6">
      <c r="A708" t="s">
        <v>2361</v>
      </c>
      <c r="B708" t="s">
        <v>2362</v>
      </c>
      <c r="C708" t="s">
        <v>2363</v>
      </c>
      <c r="D708" s="2">
        <v>46073</v>
      </c>
      <c r="E708" t="s">
        <v>24</v>
      </c>
      <c r="F708" t="s">
        <v>25</v>
      </c>
      <c r="G708" s="3">
        <v>225.38</v>
      </c>
      <c r="H708" t="s">
        <v>41</v>
      </c>
      <c r="I708" t="s">
        <v>27</v>
      </c>
      <c r="J708" s="4" t="s">
        <v>42</v>
      </c>
      <c r="K708" t="s">
        <v>29</v>
      </c>
      <c r="L708" t="s">
        <v>30</v>
      </c>
      <c r="M708" t="s">
        <v>31</v>
      </c>
      <c r="N708" t="s">
        <v>32</v>
      </c>
      <c r="O708">
        <v>5</v>
      </c>
      <c r="P708">
        <v>11</v>
      </c>
      <c r="Q708" t="s">
        <v>29</v>
      </c>
      <c r="R708" t="s">
        <v>34</v>
      </c>
      <c r="S708" s="3">
        <v>112.69</v>
      </c>
      <c r="T708" t="s">
        <v>110</v>
      </c>
      <c r="U708" t="s">
        <v>63</v>
      </c>
      <c r="V708" t="str">
        <f t="shared" si="44"/>
        <v>2026-02</v>
      </c>
      <c r="W708" t="str">
        <f t="shared" si="45"/>
        <v>8-14 days</v>
      </c>
      <c r="X708" t="str">
        <f t="shared" si="46"/>
        <v>Refund Issued</v>
      </c>
      <c r="Y708" t="str">
        <f t="shared" si="47"/>
        <v>High</v>
      </c>
    </row>
    <row r="709" spans="1:25" ht="27.6">
      <c r="A709" t="s">
        <v>2364</v>
      </c>
      <c r="B709" t="s">
        <v>2365</v>
      </c>
      <c r="C709" t="s">
        <v>2366</v>
      </c>
      <c r="D709" s="2">
        <v>46068</v>
      </c>
      <c r="E709" t="s">
        <v>24</v>
      </c>
      <c r="F709" t="s">
        <v>103</v>
      </c>
      <c r="G709" s="3">
        <v>63.31</v>
      </c>
      <c r="H709" t="s">
        <v>74</v>
      </c>
      <c r="I709" t="s">
        <v>50</v>
      </c>
      <c r="J709" s="4" t="s">
        <v>104</v>
      </c>
      <c r="K709" t="s">
        <v>29</v>
      </c>
      <c r="L709" t="s">
        <v>30</v>
      </c>
      <c r="M709" t="s">
        <v>31</v>
      </c>
      <c r="N709" t="s">
        <v>84</v>
      </c>
      <c r="O709">
        <v>5</v>
      </c>
      <c r="P709">
        <v>4</v>
      </c>
      <c r="Q709" t="s">
        <v>33</v>
      </c>
      <c r="R709" t="s">
        <v>34</v>
      </c>
      <c r="S709" s="3">
        <v>0</v>
      </c>
      <c r="T709" t="s">
        <v>35</v>
      </c>
      <c r="U709" t="s">
        <v>36</v>
      </c>
      <c r="V709" t="str">
        <f t="shared" si="44"/>
        <v>2026-02</v>
      </c>
      <c r="W709" t="str">
        <f t="shared" si="45"/>
        <v>4-7 days</v>
      </c>
      <c r="X709" t="str">
        <f t="shared" si="46"/>
        <v>No Refund</v>
      </c>
      <c r="Y709" t="str">
        <f t="shared" si="47"/>
        <v>Medium</v>
      </c>
    </row>
    <row r="710" spans="1:25" ht="27.6">
      <c r="A710" t="s">
        <v>2367</v>
      </c>
      <c r="B710" t="s">
        <v>821</v>
      </c>
      <c r="C710" t="s">
        <v>2368</v>
      </c>
      <c r="D710" s="2">
        <v>46123</v>
      </c>
      <c r="E710" t="s">
        <v>47</v>
      </c>
      <c r="F710" t="s">
        <v>172</v>
      </c>
      <c r="G710" s="3">
        <v>27.61</v>
      </c>
      <c r="H710" t="s">
        <v>49</v>
      </c>
      <c r="I710" t="s">
        <v>50</v>
      </c>
      <c r="J710" s="4" t="s">
        <v>285</v>
      </c>
      <c r="K710" t="s">
        <v>29</v>
      </c>
      <c r="L710" t="s">
        <v>30</v>
      </c>
      <c r="M710" t="s">
        <v>31</v>
      </c>
      <c r="N710" t="s">
        <v>32</v>
      </c>
      <c r="O710">
        <v>7</v>
      </c>
      <c r="P710">
        <v>5</v>
      </c>
      <c r="Q710" t="s">
        <v>33</v>
      </c>
      <c r="R710" t="s">
        <v>174</v>
      </c>
      <c r="S710" s="3">
        <v>20.71</v>
      </c>
      <c r="T710" t="s">
        <v>286</v>
      </c>
      <c r="U710" t="s">
        <v>53</v>
      </c>
      <c r="V710" t="str">
        <f t="shared" si="44"/>
        <v>2026-04</v>
      </c>
      <c r="W710" t="str">
        <f t="shared" si="45"/>
        <v>4-7 days</v>
      </c>
      <c r="X710" t="str">
        <f t="shared" si="46"/>
        <v>Refund Issued</v>
      </c>
      <c r="Y710" t="str">
        <f t="shared" si="47"/>
        <v>Medium</v>
      </c>
    </row>
    <row r="711" spans="1:25" ht="27.6">
      <c r="A711" t="s">
        <v>2369</v>
      </c>
      <c r="B711" t="s">
        <v>2370</v>
      </c>
      <c r="C711" t="s">
        <v>2371</v>
      </c>
      <c r="D711" s="2">
        <v>46055</v>
      </c>
      <c r="E711" t="s">
        <v>40</v>
      </c>
      <c r="F711" t="s">
        <v>82</v>
      </c>
      <c r="G711" s="3">
        <v>96.53</v>
      </c>
      <c r="H711" t="s">
        <v>108</v>
      </c>
      <c r="I711" t="s">
        <v>50</v>
      </c>
      <c r="J711" s="4" t="s">
        <v>2372</v>
      </c>
      <c r="K711" t="s">
        <v>29</v>
      </c>
      <c r="L711" t="s">
        <v>30</v>
      </c>
      <c r="M711" t="s">
        <v>31</v>
      </c>
      <c r="N711" t="s">
        <v>32</v>
      </c>
      <c r="O711">
        <v>7</v>
      </c>
      <c r="P711">
        <v>9</v>
      </c>
      <c r="Q711" t="s">
        <v>29</v>
      </c>
      <c r="R711" t="s">
        <v>85</v>
      </c>
      <c r="S711" s="3">
        <v>0</v>
      </c>
      <c r="T711" t="s">
        <v>69</v>
      </c>
      <c r="U711" t="s">
        <v>63</v>
      </c>
      <c r="V711" t="str">
        <f t="shared" si="44"/>
        <v>2026-02</v>
      </c>
      <c r="W711" t="str">
        <f t="shared" si="45"/>
        <v>8-14 days</v>
      </c>
      <c r="X711" t="str">
        <f t="shared" si="46"/>
        <v>No Refund</v>
      </c>
      <c r="Y711" t="str">
        <f t="shared" si="47"/>
        <v>High</v>
      </c>
    </row>
    <row r="712" spans="1:25" ht="27.6">
      <c r="A712" t="s">
        <v>2373</v>
      </c>
      <c r="B712" t="s">
        <v>2374</v>
      </c>
      <c r="C712" t="s">
        <v>2375</v>
      </c>
      <c r="D712" s="2">
        <v>46105</v>
      </c>
      <c r="E712" t="s">
        <v>24</v>
      </c>
      <c r="F712" t="s">
        <v>118</v>
      </c>
      <c r="G712" s="3">
        <v>30.45</v>
      </c>
      <c r="H712" t="s">
        <v>108</v>
      </c>
      <c r="I712" t="s">
        <v>27</v>
      </c>
      <c r="J712" s="4" t="s">
        <v>119</v>
      </c>
      <c r="K712" t="s">
        <v>29</v>
      </c>
      <c r="L712" t="s">
        <v>120</v>
      </c>
      <c r="M712" t="s">
        <v>96</v>
      </c>
      <c r="N712" t="s">
        <v>32</v>
      </c>
      <c r="O712">
        <v>5</v>
      </c>
      <c r="P712">
        <v>1</v>
      </c>
      <c r="Q712" t="s">
        <v>33</v>
      </c>
      <c r="R712" t="s">
        <v>85</v>
      </c>
      <c r="S712" s="3">
        <v>30.45</v>
      </c>
      <c r="T712" t="s">
        <v>121</v>
      </c>
      <c r="U712" t="s">
        <v>53</v>
      </c>
      <c r="V712" t="str">
        <f t="shared" si="44"/>
        <v>2026-03</v>
      </c>
      <c r="W712" t="str">
        <f t="shared" si="45"/>
        <v>0-3 days</v>
      </c>
      <c r="X712" t="str">
        <f t="shared" si="46"/>
        <v>Refund Issued</v>
      </c>
      <c r="Y712" t="str">
        <f t="shared" si="47"/>
        <v>High</v>
      </c>
    </row>
    <row r="713" spans="1:25" ht="27.6">
      <c r="A713" t="s">
        <v>2376</v>
      </c>
      <c r="B713" t="s">
        <v>2377</v>
      </c>
      <c r="C713" t="s">
        <v>2378</v>
      </c>
      <c r="D713" s="2">
        <v>46079</v>
      </c>
      <c r="E713" t="s">
        <v>47</v>
      </c>
      <c r="F713" t="s">
        <v>25</v>
      </c>
      <c r="G713" s="3">
        <v>12.89</v>
      </c>
      <c r="H713" t="s">
        <v>89</v>
      </c>
      <c r="I713" t="s">
        <v>50</v>
      </c>
      <c r="J713" s="4" t="s">
        <v>2379</v>
      </c>
      <c r="K713" t="s">
        <v>29</v>
      </c>
      <c r="L713" t="s">
        <v>30</v>
      </c>
      <c r="M713" t="s">
        <v>96</v>
      </c>
      <c r="N713" t="s">
        <v>32</v>
      </c>
      <c r="O713">
        <v>5</v>
      </c>
      <c r="P713">
        <v>6</v>
      </c>
      <c r="Q713" t="s">
        <v>29</v>
      </c>
      <c r="R713" t="s">
        <v>34</v>
      </c>
      <c r="S713" s="3">
        <v>12.89</v>
      </c>
      <c r="T713" t="s">
        <v>35</v>
      </c>
      <c r="U713" t="s">
        <v>63</v>
      </c>
      <c r="V713" t="str">
        <f t="shared" si="44"/>
        <v>2026-02</v>
      </c>
      <c r="W713" t="str">
        <f t="shared" si="45"/>
        <v>4-7 days</v>
      </c>
      <c r="X713" t="str">
        <f t="shared" si="46"/>
        <v>Refund Issued</v>
      </c>
      <c r="Y713" t="str">
        <f t="shared" si="47"/>
        <v>High</v>
      </c>
    </row>
    <row r="714" spans="1:25" ht="27.6">
      <c r="A714" t="s">
        <v>2380</v>
      </c>
      <c r="B714" t="s">
        <v>2381</v>
      </c>
      <c r="C714" t="s">
        <v>2382</v>
      </c>
      <c r="D714" s="2">
        <v>46108</v>
      </c>
      <c r="E714" t="s">
        <v>94</v>
      </c>
      <c r="F714" t="s">
        <v>57</v>
      </c>
      <c r="G714" s="3">
        <v>50.58</v>
      </c>
      <c r="H714" t="s">
        <v>89</v>
      </c>
      <c r="I714" t="s">
        <v>27</v>
      </c>
      <c r="J714" s="4" t="s">
        <v>155</v>
      </c>
      <c r="K714" t="s">
        <v>29</v>
      </c>
      <c r="L714" t="s">
        <v>60</v>
      </c>
      <c r="M714" t="s">
        <v>31</v>
      </c>
      <c r="N714" t="s">
        <v>32</v>
      </c>
      <c r="O714">
        <v>10</v>
      </c>
      <c r="P714">
        <v>12</v>
      </c>
      <c r="Q714" t="s">
        <v>29</v>
      </c>
      <c r="R714" t="s">
        <v>61</v>
      </c>
      <c r="S714" s="3">
        <v>25.29</v>
      </c>
      <c r="T714" t="s">
        <v>156</v>
      </c>
      <c r="U714" t="s">
        <v>63</v>
      </c>
      <c r="V714" t="str">
        <f t="shared" si="44"/>
        <v>2026-03</v>
      </c>
      <c r="W714" t="str">
        <f t="shared" si="45"/>
        <v>8-14 days</v>
      </c>
      <c r="X714" t="str">
        <f t="shared" si="46"/>
        <v>Refund Issued</v>
      </c>
      <c r="Y714" t="str">
        <f t="shared" si="47"/>
        <v>Low</v>
      </c>
    </row>
    <row r="715" spans="1:25" ht="27.6">
      <c r="A715" t="s">
        <v>2383</v>
      </c>
      <c r="B715" t="s">
        <v>2384</v>
      </c>
      <c r="C715" t="s">
        <v>2385</v>
      </c>
      <c r="D715" s="2">
        <v>46078</v>
      </c>
      <c r="E715" t="s">
        <v>47</v>
      </c>
      <c r="F715" t="s">
        <v>118</v>
      </c>
      <c r="G715" s="3">
        <v>88.75</v>
      </c>
      <c r="H715" t="s">
        <v>89</v>
      </c>
      <c r="I715" t="s">
        <v>27</v>
      </c>
      <c r="J715" s="4" t="s">
        <v>2386</v>
      </c>
      <c r="K715" t="s">
        <v>29</v>
      </c>
      <c r="L715" t="s">
        <v>120</v>
      </c>
      <c r="M715" t="s">
        <v>96</v>
      </c>
      <c r="N715" t="s">
        <v>32</v>
      </c>
      <c r="O715">
        <v>5</v>
      </c>
      <c r="P715">
        <v>1</v>
      </c>
      <c r="Q715" t="s">
        <v>33</v>
      </c>
      <c r="R715" t="s">
        <v>85</v>
      </c>
      <c r="S715" s="3">
        <v>88.75</v>
      </c>
      <c r="T715" t="s">
        <v>121</v>
      </c>
      <c r="U715" t="s">
        <v>36</v>
      </c>
      <c r="V715" t="str">
        <f t="shared" si="44"/>
        <v>2026-02</v>
      </c>
      <c r="W715" t="str">
        <f t="shared" si="45"/>
        <v>0-3 days</v>
      </c>
      <c r="X715" t="str">
        <f t="shared" si="46"/>
        <v>Refund Issued</v>
      </c>
      <c r="Y715" t="str">
        <f t="shared" si="47"/>
        <v>High</v>
      </c>
    </row>
    <row r="716" spans="1:25" ht="27.6">
      <c r="A716" t="s">
        <v>2387</v>
      </c>
      <c r="B716" t="s">
        <v>2388</v>
      </c>
      <c r="C716" t="s">
        <v>2389</v>
      </c>
      <c r="D716" s="2">
        <v>46086</v>
      </c>
      <c r="E716" t="s">
        <v>24</v>
      </c>
      <c r="F716" t="s">
        <v>103</v>
      </c>
      <c r="G716" s="3">
        <v>84.23</v>
      </c>
      <c r="H716" t="s">
        <v>108</v>
      </c>
      <c r="I716" t="s">
        <v>27</v>
      </c>
      <c r="J716" s="4" t="s">
        <v>104</v>
      </c>
      <c r="K716" t="s">
        <v>33</v>
      </c>
      <c r="L716" t="s">
        <v>30</v>
      </c>
      <c r="M716" t="s">
        <v>31</v>
      </c>
      <c r="N716" t="s">
        <v>32</v>
      </c>
      <c r="O716">
        <v>5</v>
      </c>
      <c r="P716">
        <v>9</v>
      </c>
      <c r="Q716" t="s">
        <v>29</v>
      </c>
      <c r="R716" t="s">
        <v>34</v>
      </c>
      <c r="S716" s="3">
        <v>0</v>
      </c>
      <c r="T716" t="s">
        <v>247</v>
      </c>
      <c r="U716" t="s">
        <v>63</v>
      </c>
      <c r="V716" t="str">
        <f t="shared" si="44"/>
        <v>2026-03</v>
      </c>
      <c r="W716" t="str">
        <f t="shared" si="45"/>
        <v>8-14 days</v>
      </c>
      <c r="X716" t="str">
        <f t="shared" si="46"/>
        <v>No Refund</v>
      </c>
      <c r="Y716" t="str">
        <f t="shared" si="47"/>
        <v>Medium</v>
      </c>
    </row>
    <row r="717" spans="1:25" ht="27.6">
      <c r="A717" t="s">
        <v>2390</v>
      </c>
      <c r="B717" t="s">
        <v>2391</v>
      </c>
      <c r="C717" t="s">
        <v>2392</v>
      </c>
      <c r="D717" s="2">
        <v>46161</v>
      </c>
      <c r="E717" t="s">
        <v>47</v>
      </c>
      <c r="F717" t="s">
        <v>25</v>
      </c>
      <c r="G717" s="3">
        <v>212.42</v>
      </c>
      <c r="H717" t="s">
        <v>74</v>
      </c>
      <c r="I717" t="s">
        <v>67</v>
      </c>
      <c r="J717" s="4" t="s">
        <v>42</v>
      </c>
      <c r="K717" t="s">
        <v>33</v>
      </c>
      <c r="L717" t="s">
        <v>30</v>
      </c>
      <c r="M717" t="s">
        <v>31</v>
      </c>
      <c r="N717" t="s">
        <v>32</v>
      </c>
      <c r="O717">
        <v>5</v>
      </c>
      <c r="P717">
        <v>8</v>
      </c>
      <c r="Q717" t="s">
        <v>29</v>
      </c>
      <c r="R717" t="s">
        <v>34</v>
      </c>
      <c r="S717" s="3">
        <v>0</v>
      </c>
      <c r="T717" t="s">
        <v>43</v>
      </c>
      <c r="U717" t="s">
        <v>63</v>
      </c>
      <c r="V717" t="str">
        <f t="shared" si="44"/>
        <v>2026-05</v>
      </c>
      <c r="W717" t="str">
        <f t="shared" si="45"/>
        <v>8-14 days</v>
      </c>
      <c r="X717" t="str">
        <f t="shared" si="46"/>
        <v>No Refund</v>
      </c>
      <c r="Y717" t="str">
        <f t="shared" si="47"/>
        <v>High</v>
      </c>
    </row>
    <row r="718" spans="1:25" ht="27.6">
      <c r="A718" t="s">
        <v>2393</v>
      </c>
      <c r="B718" t="s">
        <v>2394</v>
      </c>
      <c r="C718" t="s">
        <v>2395</v>
      </c>
      <c r="D718" s="2">
        <v>46074</v>
      </c>
      <c r="E718" t="s">
        <v>24</v>
      </c>
      <c r="F718" t="s">
        <v>48</v>
      </c>
      <c r="G718" s="3">
        <v>48.34</v>
      </c>
      <c r="H718" t="s">
        <v>108</v>
      </c>
      <c r="I718" t="s">
        <v>27</v>
      </c>
      <c r="J718" s="4" t="s">
        <v>51</v>
      </c>
      <c r="K718" t="s">
        <v>33</v>
      </c>
      <c r="L718" t="s">
        <v>30</v>
      </c>
      <c r="M718" t="s">
        <v>31</v>
      </c>
      <c r="N718" t="s">
        <v>32</v>
      </c>
      <c r="O718">
        <v>10</v>
      </c>
      <c r="P718">
        <v>8</v>
      </c>
      <c r="Q718" t="s">
        <v>33</v>
      </c>
      <c r="R718" t="s">
        <v>34</v>
      </c>
      <c r="S718" s="3">
        <v>36.26</v>
      </c>
      <c r="T718" t="s">
        <v>62</v>
      </c>
      <c r="U718" t="s">
        <v>63</v>
      </c>
      <c r="V718" t="str">
        <f t="shared" si="44"/>
        <v>2026-02</v>
      </c>
      <c r="W718" t="str">
        <f t="shared" si="45"/>
        <v>8-14 days</v>
      </c>
      <c r="X718" t="str">
        <f t="shared" si="46"/>
        <v>Refund Issued</v>
      </c>
      <c r="Y718" t="str">
        <f t="shared" si="47"/>
        <v>Low</v>
      </c>
    </row>
    <row r="719" spans="1:25" ht="27.6">
      <c r="A719" t="s">
        <v>2396</v>
      </c>
      <c r="B719" t="s">
        <v>2397</v>
      </c>
      <c r="C719" t="s">
        <v>2398</v>
      </c>
      <c r="D719" s="2">
        <v>46123</v>
      </c>
      <c r="E719" t="s">
        <v>94</v>
      </c>
      <c r="F719" t="s">
        <v>57</v>
      </c>
      <c r="G719" s="3">
        <v>71.61</v>
      </c>
      <c r="H719" t="s">
        <v>89</v>
      </c>
      <c r="I719" t="s">
        <v>67</v>
      </c>
      <c r="J719" s="4" t="s">
        <v>155</v>
      </c>
      <c r="K719" t="s">
        <v>29</v>
      </c>
      <c r="L719" t="s">
        <v>60</v>
      </c>
      <c r="M719" t="s">
        <v>31</v>
      </c>
      <c r="N719" t="s">
        <v>32</v>
      </c>
      <c r="O719">
        <v>10</v>
      </c>
      <c r="P719">
        <v>13</v>
      </c>
      <c r="Q719" t="s">
        <v>29</v>
      </c>
      <c r="R719" t="s">
        <v>61</v>
      </c>
      <c r="S719" s="3">
        <v>35.799999999999997</v>
      </c>
      <c r="T719" t="s">
        <v>156</v>
      </c>
      <c r="U719" t="s">
        <v>63</v>
      </c>
      <c r="V719" t="str">
        <f t="shared" si="44"/>
        <v>2026-04</v>
      </c>
      <c r="W719" t="str">
        <f t="shared" si="45"/>
        <v>8-14 days</v>
      </c>
      <c r="X719" t="str">
        <f t="shared" si="46"/>
        <v>Refund Issued</v>
      </c>
      <c r="Y719" t="str">
        <f t="shared" si="47"/>
        <v>Low</v>
      </c>
    </row>
    <row r="720" spans="1:25" ht="27.6">
      <c r="A720" t="s">
        <v>2399</v>
      </c>
      <c r="B720" t="s">
        <v>2400</v>
      </c>
      <c r="C720" t="s">
        <v>2401</v>
      </c>
      <c r="D720" s="2">
        <v>46044</v>
      </c>
      <c r="E720" t="s">
        <v>24</v>
      </c>
      <c r="F720" t="s">
        <v>25</v>
      </c>
      <c r="G720" s="3">
        <v>114.75</v>
      </c>
      <c r="H720" t="s">
        <v>74</v>
      </c>
      <c r="I720" t="s">
        <v>27</v>
      </c>
      <c r="J720" s="4" t="s">
        <v>42</v>
      </c>
      <c r="K720" t="s">
        <v>29</v>
      </c>
      <c r="L720" t="s">
        <v>30</v>
      </c>
      <c r="M720" t="s">
        <v>31</v>
      </c>
      <c r="N720" t="s">
        <v>32</v>
      </c>
      <c r="O720">
        <v>5</v>
      </c>
      <c r="P720">
        <v>1</v>
      </c>
      <c r="Q720" t="s">
        <v>33</v>
      </c>
      <c r="R720" t="s">
        <v>34</v>
      </c>
      <c r="S720" s="3">
        <v>86.06</v>
      </c>
      <c r="T720" t="s">
        <v>43</v>
      </c>
      <c r="U720" t="s">
        <v>36</v>
      </c>
      <c r="V720" t="str">
        <f t="shared" si="44"/>
        <v>2026-01</v>
      </c>
      <c r="W720" t="str">
        <f t="shared" si="45"/>
        <v>0-3 days</v>
      </c>
      <c r="X720" t="str">
        <f t="shared" si="46"/>
        <v>Refund Issued</v>
      </c>
      <c r="Y720" t="str">
        <f t="shared" si="47"/>
        <v>High</v>
      </c>
    </row>
    <row r="721" spans="1:25" ht="27.6">
      <c r="A721" t="s">
        <v>2402</v>
      </c>
      <c r="B721" t="s">
        <v>2403</v>
      </c>
      <c r="C721" t="s">
        <v>2404</v>
      </c>
      <c r="D721" s="2">
        <v>46109</v>
      </c>
      <c r="E721" t="s">
        <v>40</v>
      </c>
      <c r="F721" t="s">
        <v>25</v>
      </c>
      <c r="G721" s="3">
        <v>80.38</v>
      </c>
      <c r="H721" t="s">
        <v>49</v>
      </c>
      <c r="I721" t="s">
        <v>27</v>
      </c>
      <c r="J721" s="4" t="s">
        <v>42</v>
      </c>
      <c r="K721" t="s">
        <v>33</v>
      </c>
      <c r="L721" t="s">
        <v>30</v>
      </c>
      <c r="M721" t="s">
        <v>31</v>
      </c>
      <c r="N721" t="s">
        <v>126</v>
      </c>
      <c r="O721">
        <v>5</v>
      </c>
      <c r="P721">
        <v>5</v>
      </c>
      <c r="Q721" t="s">
        <v>33</v>
      </c>
      <c r="R721" t="s">
        <v>34</v>
      </c>
      <c r="S721" s="3">
        <v>0</v>
      </c>
      <c r="T721" t="s">
        <v>35</v>
      </c>
      <c r="U721" t="s">
        <v>36</v>
      </c>
      <c r="V721" t="str">
        <f t="shared" si="44"/>
        <v>2026-03</v>
      </c>
      <c r="W721" t="str">
        <f t="shared" si="45"/>
        <v>4-7 days</v>
      </c>
      <c r="X721" t="str">
        <f t="shared" si="46"/>
        <v>No Refund</v>
      </c>
      <c r="Y721" t="str">
        <f t="shared" si="47"/>
        <v>High</v>
      </c>
    </row>
    <row r="722" spans="1:25" ht="27.6">
      <c r="A722" t="s">
        <v>2405</v>
      </c>
      <c r="B722" t="s">
        <v>2406</v>
      </c>
      <c r="C722" t="s">
        <v>2407</v>
      </c>
      <c r="D722" s="2">
        <v>46141</v>
      </c>
      <c r="E722" t="s">
        <v>40</v>
      </c>
      <c r="F722" t="s">
        <v>172</v>
      </c>
      <c r="G722" s="3">
        <v>64.42</v>
      </c>
      <c r="H722" t="s">
        <v>49</v>
      </c>
      <c r="I722" t="s">
        <v>27</v>
      </c>
      <c r="J722" s="4" t="s">
        <v>285</v>
      </c>
      <c r="K722" t="s">
        <v>29</v>
      </c>
      <c r="L722" t="s">
        <v>30</v>
      </c>
      <c r="M722" t="s">
        <v>31</v>
      </c>
      <c r="N722" t="s">
        <v>84</v>
      </c>
      <c r="O722">
        <v>7</v>
      </c>
      <c r="P722">
        <v>9</v>
      </c>
      <c r="Q722" t="s">
        <v>29</v>
      </c>
      <c r="R722" t="s">
        <v>174</v>
      </c>
      <c r="S722" s="3">
        <v>0</v>
      </c>
      <c r="T722" t="s">
        <v>69</v>
      </c>
      <c r="U722" t="s">
        <v>63</v>
      </c>
      <c r="V722" t="str">
        <f t="shared" si="44"/>
        <v>2026-04</v>
      </c>
      <c r="W722" t="str">
        <f t="shared" si="45"/>
        <v>8-14 days</v>
      </c>
      <c r="X722" t="str">
        <f t="shared" si="46"/>
        <v>No Refund</v>
      </c>
      <c r="Y722" t="str">
        <f t="shared" si="47"/>
        <v>Medium</v>
      </c>
    </row>
    <row r="723" spans="1:25" ht="27.6">
      <c r="A723" t="s">
        <v>2408</v>
      </c>
      <c r="B723" t="s">
        <v>2409</v>
      </c>
      <c r="C723" t="s">
        <v>2410</v>
      </c>
      <c r="D723" s="2">
        <v>46157</v>
      </c>
      <c r="E723" t="s">
        <v>47</v>
      </c>
      <c r="F723" t="s">
        <v>103</v>
      </c>
      <c r="G723" s="3">
        <v>45.35</v>
      </c>
      <c r="H723" t="s">
        <v>41</v>
      </c>
      <c r="I723" t="s">
        <v>27</v>
      </c>
      <c r="J723" s="4" t="s">
        <v>104</v>
      </c>
      <c r="K723" t="s">
        <v>33</v>
      </c>
      <c r="L723" t="s">
        <v>30</v>
      </c>
      <c r="M723" t="s">
        <v>31</v>
      </c>
      <c r="N723" t="s">
        <v>32</v>
      </c>
      <c r="O723">
        <v>5</v>
      </c>
      <c r="P723">
        <v>11</v>
      </c>
      <c r="Q723" t="s">
        <v>29</v>
      </c>
      <c r="R723" t="s">
        <v>34</v>
      </c>
      <c r="S723" s="3">
        <v>0</v>
      </c>
      <c r="T723" t="s">
        <v>247</v>
      </c>
      <c r="U723" t="s">
        <v>63</v>
      </c>
      <c r="V723" t="str">
        <f t="shared" si="44"/>
        <v>2026-05</v>
      </c>
      <c r="W723" t="str">
        <f t="shared" si="45"/>
        <v>8-14 days</v>
      </c>
      <c r="X723" t="str">
        <f t="shared" si="46"/>
        <v>No Refund</v>
      </c>
      <c r="Y723" t="str">
        <f t="shared" si="47"/>
        <v>Medium</v>
      </c>
    </row>
    <row r="724" spans="1:25" ht="27.6">
      <c r="A724" t="s">
        <v>2411</v>
      </c>
      <c r="B724" t="s">
        <v>2412</v>
      </c>
      <c r="C724" t="s">
        <v>2413</v>
      </c>
      <c r="D724" s="2">
        <v>46097</v>
      </c>
      <c r="E724" t="s">
        <v>47</v>
      </c>
      <c r="F724" t="s">
        <v>118</v>
      </c>
      <c r="G724" s="3">
        <v>72.400000000000006</v>
      </c>
      <c r="H724" t="s">
        <v>89</v>
      </c>
      <c r="I724" t="s">
        <v>50</v>
      </c>
      <c r="J724" s="4" t="s">
        <v>2414</v>
      </c>
      <c r="K724" t="s">
        <v>29</v>
      </c>
      <c r="L724" t="s">
        <v>120</v>
      </c>
      <c r="M724" t="s">
        <v>96</v>
      </c>
      <c r="N724" t="s">
        <v>32</v>
      </c>
      <c r="O724">
        <v>5</v>
      </c>
      <c r="P724">
        <v>3</v>
      </c>
      <c r="Q724" t="s">
        <v>33</v>
      </c>
      <c r="R724" t="s">
        <v>85</v>
      </c>
      <c r="S724" s="3">
        <v>72.400000000000006</v>
      </c>
      <c r="T724" t="s">
        <v>121</v>
      </c>
      <c r="U724" t="s">
        <v>53</v>
      </c>
      <c r="V724" t="str">
        <f t="shared" si="44"/>
        <v>2026-03</v>
      </c>
      <c r="W724" t="str">
        <f t="shared" si="45"/>
        <v>0-3 days</v>
      </c>
      <c r="X724" t="str">
        <f t="shared" si="46"/>
        <v>Refund Issued</v>
      </c>
      <c r="Y724" t="str">
        <f t="shared" si="47"/>
        <v>High</v>
      </c>
    </row>
    <row r="725" spans="1:25" ht="27.6">
      <c r="A725" t="s">
        <v>2415</v>
      </c>
      <c r="B725" t="s">
        <v>2416</v>
      </c>
      <c r="C725" t="s">
        <v>2417</v>
      </c>
      <c r="D725" s="2">
        <v>46144</v>
      </c>
      <c r="E725" t="s">
        <v>24</v>
      </c>
      <c r="F725" t="s">
        <v>82</v>
      </c>
      <c r="G725" s="3">
        <v>111.13</v>
      </c>
      <c r="H725" t="s">
        <v>74</v>
      </c>
      <c r="I725" t="s">
        <v>27</v>
      </c>
      <c r="J725" s="4" t="s">
        <v>114</v>
      </c>
      <c r="K725" t="s">
        <v>29</v>
      </c>
      <c r="L725" t="s">
        <v>30</v>
      </c>
      <c r="M725" t="s">
        <v>31</v>
      </c>
      <c r="N725" t="s">
        <v>32</v>
      </c>
      <c r="O725">
        <v>7</v>
      </c>
      <c r="P725">
        <v>8</v>
      </c>
      <c r="Q725" t="s">
        <v>29</v>
      </c>
      <c r="R725" t="s">
        <v>85</v>
      </c>
      <c r="S725" s="3">
        <v>83.35</v>
      </c>
      <c r="T725" t="s">
        <v>69</v>
      </c>
      <c r="U725" t="s">
        <v>63</v>
      </c>
      <c r="V725" t="str">
        <f t="shared" si="44"/>
        <v>2026-05</v>
      </c>
      <c r="W725" t="str">
        <f t="shared" si="45"/>
        <v>8-14 days</v>
      </c>
      <c r="X725" t="str">
        <f t="shared" si="46"/>
        <v>Refund Issued</v>
      </c>
      <c r="Y725" t="str">
        <f t="shared" si="47"/>
        <v>High</v>
      </c>
    </row>
    <row r="726" spans="1:25" ht="27.6">
      <c r="A726" t="s">
        <v>2418</v>
      </c>
      <c r="B726" t="s">
        <v>1390</v>
      </c>
      <c r="C726" t="s">
        <v>2419</v>
      </c>
      <c r="D726" s="2">
        <v>46166</v>
      </c>
      <c r="E726" t="s">
        <v>94</v>
      </c>
      <c r="F726" t="s">
        <v>82</v>
      </c>
      <c r="G726" s="3">
        <v>27.17</v>
      </c>
      <c r="H726" t="s">
        <v>41</v>
      </c>
      <c r="I726" t="s">
        <v>50</v>
      </c>
      <c r="J726" s="4" t="s">
        <v>114</v>
      </c>
      <c r="K726" t="s">
        <v>29</v>
      </c>
      <c r="L726" t="s">
        <v>30</v>
      </c>
      <c r="M726" t="s">
        <v>31</v>
      </c>
      <c r="N726" t="s">
        <v>32</v>
      </c>
      <c r="O726">
        <v>7</v>
      </c>
      <c r="P726">
        <v>2</v>
      </c>
      <c r="Q726" t="s">
        <v>33</v>
      </c>
      <c r="R726" t="s">
        <v>85</v>
      </c>
      <c r="S726" s="3">
        <v>0</v>
      </c>
      <c r="T726" t="s">
        <v>69</v>
      </c>
      <c r="U726" t="s">
        <v>53</v>
      </c>
      <c r="V726" t="str">
        <f t="shared" si="44"/>
        <v>2026-05</v>
      </c>
      <c r="W726" t="str">
        <f t="shared" si="45"/>
        <v>0-3 days</v>
      </c>
      <c r="X726" t="str">
        <f t="shared" si="46"/>
        <v>No Refund</v>
      </c>
      <c r="Y726" t="str">
        <f t="shared" si="47"/>
        <v>High</v>
      </c>
    </row>
    <row r="727" spans="1:25" ht="27.6">
      <c r="A727" t="s">
        <v>2420</v>
      </c>
      <c r="B727" t="s">
        <v>2421</v>
      </c>
      <c r="C727" t="s">
        <v>2422</v>
      </c>
      <c r="D727" s="2">
        <v>46090</v>
      </c>
      <c r="E727" t="s">
        <v>47</v>
      </c>
      <c r="F727" t="s">
        <v>25</v>
      </c>
      <c r="G727" s="3">
        <v>44.33</v>
      </c>
      <c r="H727" t="s">
        <v>108</v>
      </c>
      <c r="I727" t="s">
        <v>27</v>
      </c>
      <c r="J727" s="4" t="s">
        <v>42</v>
      </c>
      <c r="K727" t="s">
        <v>33</v>
      </c>
      <c r="L727" t="s">
        <v>30</v>
      </c>
      <c r="M727" t="s">
        <v>31</v>
      </c>
      <c r="N727" t="s">
        <v>32</v>
      </c>
      <c r="O727">
        <v>5</v>
      </c>
      <c r="P727">
        <v>7</v>
      </c>
      <c r="Q727" t="s">
        <v>29</v>
      </c>
      <c r="R727" t="s">
        <v>34</v>
      </c>
      <c r="S727" s="3">
        <v>0</v>
      </c>
      <c r="T727" t="s">
        <v>35</v>
      </c>
      <c r="U727" t="s">
        <v>63</v>
      </c>
      <c r="V727" t="str">
        <f t="shared" si="44"/>
        <v>2026-03</v>
      </c>
      <c r="W727" t="str">
        <f t="shared" si="45"/>
        <v>4-7 days</v>
      </c>
      <c r="X727" t="str">
        <f t="shared" si="46"/>
        <v>No Refund</v>
      </c>
      <c r="Y727" t="str">
        <f t="shared" si="47"/>
        <v>High</v>
      </c>
    </row>
    <row r="728" spans="1:25" ht="27.6">
      <c r="A728" t="s">
        <v>2423</v>
      </c>
      <c r="B728" t="s">
        <v>2424</v>
      </c>
      <c r="C728" t="s">
        <v>2425</v>
      </c>
      <c r="D728" s="2">
        <v>46023</v>
      </c>
      <c r="E728" t="s">
        <v>40</v>
      </c>
      <c r="F728" t="s">
        <v>48</v>
      </c>
      <c r="G728" s="3">
        <v>21.82</v>
      </c>
      <c r="H728" t="s">
        <v>49</v>
      </c>
      <c r="I728" t="s">
        <v>27</v>
      </c>
      <c r="J728" s="4" t="s">
        <v>51</v>
      </c>
      <c r="K728" t="s">
        <v>29</v>
      </c>
      <c r="L728" t="s">
        <v>30</v>
      </c>
      <c r="M728" t="s">
        <v>31</v>
      </c>
      <c r="N728" t="s">
        <v>32</v>
      </c>
      <c r="O728">
        <v>10</v>
      </c>
      <c r="P728">
        <v>9</v>
      </c>
      <c r="Q728" t="s">
        <v>33</v>
      </c>
      <c r="R728" t="s">
        <v>34</v>
      </c>
      <c r="S728" s="3">
        <v>16.37</v>
      </c>
      <c r="T728" t="s">
        <v>69</v>
      </c>
      <c r="U728" t="s">
        <v>63</v>
      </c>
      <c r="V728" t="str">
        <f t="shared" si="44"/>
        <v>2026-01</v>
      </c>
      <c r="W728" t="str">
        <f t="shared" si="45"/>
        <v>8-14 days</v>
      </c>
      <c r="X728" t="str">
        <f t="shared" si="46"/>
        <v>Refund Issued</v>
      </c>
      <c r="Y728" t="str">
        <f t="shared" si="47"/>
        <v>Low</v>
      </c>
    </row>
    <row r="729" spans="1:25" ht="27.6">
      <c r="A729" t="s">
        <v>2426</v>
      </c>
      <c r="B729" t="s">
        <v>2427</v>
      </c>
      <c r="C729" t="s">
        <v>2428</v>
      </c>
      <c r="D729" s="2">
        <v>46123</v>
      </c>
      <c r="E729" t="s">
        <v>24</v>
      </c>
      <c r="F729" t="s">
        <v>82</v>
      </c>
      <c r="G729" s="3">
        <v>38.32</v>
      </c>
      <c r="H729" t="s">
        <v>89</v>
      </c>
      <c r="I729" t="s">
        <v>27</v>
      </c>
      <c r="J729" s="4" t="s">
        <v>2429</v>
      </c>
      <c r="K729" t="s">
        <v>29</v>
      </c>
      <c r="L729" t="s">
        <v>30</v>
      </c>
      <c r="M729" t="s">
        <v>31</v>
      </c>
      <c r="N729" t="s">
        <v>84</v>
      </c>
      <c r="O729">
        <v>7</v>
      </c>
      <c r="P729">
        <v>10</v>
      </c>
      <c r="Q729" t="s">
        <v>29</v>
      </c>
      <c r="R729" t="s">
        <v>85</v>
      </c>
      <c r="S729" s="3">
        <v>0</v>
      </c>
      <c r="T729" t="s">
        <v>62</v>
      </c>
      <c r="U729" t="s">
        <v>63</v>
      </c>
      <c r="V729" t="str">
        <f t="shared" si="44"/>
        <v>2026-04</v>
      </c>
      <c r="W729" t="str">
        <f t="shared" si="45"/>
        <v>8-14 days</v>
      </c>
      <c r="X729" t="str">
        <f t="shared" si="46"/>
        <v>No Refund</v>
      </c>
      <c r="Y729" t="str">
        <f t="shared" si="47"/>
        <v>High</v>
      </c>
    </row>
    <row r="730" spans="1:25" ht="27.6">
      <c r="A730" t="s">
        <v>2430</v>
      </c>
      <c r="B730" t="s">
        <v>2431</v>
      </c>
      <c r="C730" t="s">
        <v>2432</v>
      </c>
      <c r="D730" s="2">
        <v>46134</v>
      </c>
      <c r="E730" t="s">
        <v>47</v>
      </c>
      <c r="F730" t="s">
        <v>82</v>
      </c>
      <c r="G730" s="3">
        <v>154.35</v>
      </c>
      <c r="H730" t="s">
        <v>89</v>
      </c>
      <c r="I730" t="s">
        <v>67</v>
      </c>
      <c r="J730" s="4" t="s">
        <v>2433</v>
      </c>
      <c r="K730" t="s">
        <v>29</v>
      </c>
      <c r="L730" t="s">
        <v>30</v>
      </c>
      <c r="M730" t="s">
        <v>31</v>
      </c>
      <c r="N730" t="s">
        <v>32</v>
      </c>
      <c r="O730">
        <v>7</v>
      </c>
      <c r="P730">
        <v>8</v>
      </c>
      <c r="Q730" t="s">
        <v>29</v>
      </c>
      <c r="R730" t="s">
        <v>85</v>
      </c>
      <c r="S730" s="3">
        <v>0</v>
      </c>
      <c r="T730" t="s">
        <v>43</v>
      </c>
      <c r="U730" t="s">
        <v>63</v>
      </c>
      <c r="V730" t="str">
        <f t="shared" si="44"/>
        <v>2026-04</v>
      </c>
      <c r="W730" t="str">
        <f t="shared" si="45"/>
        <v>8-14 days</v>
      </c>
      <c r="X730" t="str">
        <f t="shared" si="46"/>
        <v>No Refund</v>
      </c>
      <c r="Y730" t="str">
        <f t="shared" si="47"/>
        <v>High</v>
      </c>
    </row>
    <row r="731" spans="1:25" ht="27.6">
      <c r="A731" t="s">
        <v>2434</v>
      </c>
      <c r="B731" t="s">
        <v>2435</v>
      </c>
      <c r="C731" t="s">
        <v>2436</v>
      </c>
      <c r="D731" s="2">
        <v>46166</v>
      </c>
      <c r="E731" t="s">
        <v>94</v>
      </c>
      <c r="F731" t="s">
        <v>48</v>
      </c>
      <c r="G731" s="3">
        <v>19.690000000000001</v>
      </c>
      <c r="H731" t="s">
        <v>58</v>
      </c>
      <c r="I731" t="s">
        <v>67</v>
      </c>
      <c r="J731" s="4" t="s">
        <v>51</v>
      </c>
      <c r="K731" t="s">
        <v>29</v>
      </c>
      <c r="L731" t="s">
        <v>30</v>
      </c>
      <c r="M731" t="s">
        <v>31</v>
      </c>
      <c r="N731" t="s">
        <v>32</v>
      </c>
      <c r="O731">
        <v>10</v>
      </c>
      <c r="P731">
        <v>6</v>
      </c>
      <c r="Q731" t="s">
        <v>33</v>
      </c>
      <c r="R731" t="s">
        <v>34</v>
      </c>
      <c r="S731" s="3">
        <v>14.77</v>
      </c>
      <c r="T731" t="s">
        <v>52</v>
      </c>
      <c r="U731" t="s">
        <v>36</v>
      </c>
      <c r="V731" t="str">
        <f t="shared" si="44"/>
        <v>2026-05</v>
      </c>
      <c r="W731" t="str">
        <f t="shared" si="45"/>
        <v>4-7 days</v>
      </c>
      <c r="X731" t="str">
        <f t="shared" si="46"/>
        <v>Refund Issued</v>
      </c>
      <c r="Y731" t="str">
        <f t="shared" si="47"/>
        <v>Low</v>
      </c>
    </row>
    <row r="732" spans="1:25" ht="27.6">
      <c r="A732" t="s">
        <v>2437</v>
      </c>
      <c r="B732" t="s">
        <v>2438</v>
      </c>
      <c r="C732" t="s">
        <v>2439</v>
      </c>
      <c r="D732" s="2">
        <v>46151</v>
      </c>
      <c r="E732" t="s">
        <v>94</v>
      </c>
      <c r="F732" t="s">
        <v>172</v>
      </c>
      <c r="G732" s="3">
        <v>15.83</v>
      </c>
      <c r="H732" t="s">
        <v>108</v>
      </c>
      <c r="I732" t="s">
        <v>27</v>
      </c>
      <c r="J732" s="4" t="s">
        <v>285</v>
      </c>
      <c r="K732" t="s">
        <v>33</v>
      </c>
      <c r="L732" t="s">
        <v>30</v>
      </c>
      <c r="M732" t="s">
        <v>31</v>
      </c>
      <c r="N732" t="s">
        <v>84</v>
      </c>
      <c r="O732">
        <v>7</v>
      </c>
      <c r="P732">
        <v>10</v>
      </c>
      <c r="Q732" t="s">
        <v>29</v>
      </c>
      <c r="R732" t="s">
        <v>174</v>
      </c>
      <c r="S732" s="3">
        <v>0</v>
      </c>
      <c r="T732" t="s">
        <v>110</v>
      </c>
      <c r="U732" t="s">
        <v>63</v>
      </c>
      <c r="V732" t="str">
        <f t="shared" si="44"/>
        <v>2026-05</v>
      </c>
      <c r="W732" t="str">
        <f t="shared" si="45"/>
        <v>8-14 days</v>
      </c>
      <c r="X732" t="str">
        <f t="shared" si="46"/>
        <v>No Refund</v>
      </c>
      <c r="Y732" t="str">
        <f t="shared" si="47"/>
        <v>Medium</v>
      </c>
    </row>
    <row r="733" spans="1:25" ht="27.6">
      <c r="A733" t="s">
        <v>2440</v>
      </c>
      <c r="B733" t="s">
        <v>2441</v>
      </c>
      <c r="C733" t="s">
        <v>2442</v>
      </c>
      <c r="D733" s="2">
        <v>46067</v>
      </c>
      <c r="E733" t="s">
        <v>47</v>
      </c>
      <c r="F733" t="s">
        <v>73</v>
      </c>
      <c r="G733" s="3">
        <v>269.76</v>
      </c>
      <c r="H733" t="s">
        <v>26</v>
      </c>
      <c r="I733" t="s">
        <v>27</v>
      </c>
      <c r="J733" s="4" t="s">
        <v>75</v>
      </c>
      <c r="K733" t="s">
        <v>29</v>
      </c>
      <c r="L733" t="s">
        <v>60</v>
      </c>
      <c r="M733" t="s">
        <v>31</v>
      </c>
      <c r="N733" t="s">
        <v>32</v>
      </c>
      <c r="O733">
        <v>10</v>
      </c>
      <c r="P733">
        <v>15</v>
      </c>
      <c r="Q733" t="s">
        <v>29</v>
      </c>
      <c r="R733" t="s">
        <v>61</v>
      </c>
      <c r="S733" s="3">
        <v>0</v>
      </c>
      <c r="T733" t="s">
        <v>62</v>
      </c>
      <c r="U733" t="s">
        <v>63</v>
      </c>
      <c r="V733" t="str">
        <f t="shared" si="44"/>
        <v>2026-02</v>
      </c>
      <c r="W733" t="str">
        <f t="shared" si="45"/>
        <v>15+ days</v>
      </c>
      <c r="X733" t="str">
        <f t="shared" si="46"/>
        <v>No Refund</v>
      </c>
      <c r="Y733" t="str">
        <f t="shared" si="47"/>
        <v>Low</v>
      </c>
    </row>
    <row r="734" spans="1:25" ht="27.6">
      <c r="A734" t="s">
        <v>2443</v>
      </c>
      <c r="B734" t="s">
        <v>2444</v>
      </c>
      <c r="C734" t="s">
        <v>2445</v>
      </c>
      <c r="D734" s="2">
        <v>46053</v>
      </c>
      <c r="E734" t="s">
        <v>24</v>
      </c>
      <c r="F734" t="s">
        <v>172</v>
      </c>
      <c r="G734" s="3">
        <v>12.74</v>
      </c>
      <c r="H734" t="s">
        <v>26</v>
      </c>
      <c r="I734" t="s">
        <v>27</v>
      </c>
      <c r="J734" s="4" t="s">
        <v>285</v>
      </c>
      <c r="K734" t="s">
        <v>33</v>
      </c>
      <c r="L734" t="s">
        <v>30</v>
      </c>
      <c r="M734" t="s">
        <v>31</v>
      </c>
      <c r="N734" t="s">
        <v>126</v>
      </c>
      <c r="O734">
        <v>7</v>
      </c>
      <c r="P734">
        <v>9</v>
      </c>
      <c r="Q734" t="s">
        <v>29</v>
      </c>
      <c r="R734" t="s">
        <v>174</v>
      </c>
      <c r="S734" s="3">
        <v>0</v>
      </c>
      <c r="T734" t="s">
        <v>286</v>
      </c>
      <c r="U734" t="s">
        <v>63</v>
      </c>
      <c r="V734" t="str">
        <f t="shared" si="44"/>
        <v>2026-01</v>
      </c>
      <c r="W734" t="str">
        <f t="shared" si="45"/>
        <v>8-14 days</v>
      </c>
      <c r="X734" t="str">
        <f t="shared" si="46"/>
        <v>No Refund</v>
      </c>
      <c r="Y734" t="str">
        <f t="shared" si="47"/>
        <v>Medium</v>
      </c>
    </row>
    <row r="735" spans="1:25" ht="27.6">
      <c r="A735" t="s">
        <v>2446</v>
      </c>
      <c r="B735" t="s">
        <v>2447</v>
      </c>
      <c r="C735" t="s">
        <v>2448</v>
      </c>
      <c r="D735" s="2">
        <v>46126</v>
      </c>
      <c r="E735" t="s">
        <v>24</v>
      </c>
      <c r="F735" t="s">
        <v>172</v>
      </c>
      <c r="G735" s="3">
        <v>63.24</v>
      </c>
      <c r="H735" t="s">
        <v>41</v>
      </c>
      <c r="I735" t="s">
        <v>27</v>
      </c>
      <c r="J735" s="4" t="s">
        <v>173</v>
      </c>
      <c r="K735" t="s">
        <v>29</v>
      </c>
      <c r="L735" t="s">
        <v>30</v>
      </c>
      <c r="M735" t="s">
        <v>31</v>
      </c>
      <c r="N735" t="s">
        <v>32</v>
      </c>
      <c r="O735">
        <v>7</v>
      </c>
      <c r="P735">
        <v>6</v>
      </c>
      <c r="Q735" t="s">
        <v>33</v>
      </c>
      <c r="R735" t="s">
        <v>174</v>
      </c>
      <c r="S735" s="3">
        <v>0</v>
      </c>
      <c r="T735" t="s">
        <v>286</v>
      </c>
      <c r="U735" t="s">
        <v>36</v>
      </c>
      <c r="V735" t="str">
        <f t="shared" si="44"/>
        <v>2026-04</v>
      </c>
      <c r="W735" t="str">
        <f t="shared" si="45"/>
        <v>4-7 days</v>
      </c>
      <c r="X735" t="str">
        <f t="shared" si="46"/>
        <v>No Refund</v>
      </c>
      <c r="Y735" t="str">
        <f t="shared" si="47"/>
        <v>Medium</v>
      </c>
    </row>
    <row r="736" spans="1:25" ht="27.6">
      <c r="A736" t="s">
        <v>2449</v>
      </c>
      <c r="B736" t="s">
        <v>2450</v>
      </c>
      <c r="C736" t="s">
        <v>2451</v>
      </c>
      <c r="D736" s="2">
        <v>46093</v>
      </c>
      <c r="E736" t="s">
        <v>47</v>
      </c>
      <c r="F736" t="s">
        <v>25</v>
      </c>
      <c r="G736" s="3">
        <v>29.96</v>
      </c>
      <c r="H736" t="s">
        <v>26</v>
      </c>
      <c r="I736" t="s">
        <v>50</v>
      </c>
      <c r="J736" s="4" t="s">
        <v>42</v>
      </c>
      <c r="K736" t="s">
        <v>29</v>
      </c>
      <c r="L736" t="s">
        <v>30</v>
      </c>
      <c r="M736" t="s">
        <v>96</v>
      </c>
      <c r="N736" t="s">
        <v>32</v>
      </c>
      <c r="O736">
        <v>5</v>
      </c>
      <c r="P736">
        <v>7</v>
      </c>
      <c r="Q736" t="s">
        <v>29</v>
      </c>
      <c r="R736" t="s">
        <v>34</v>
      </c>
      <c r="S736" s="3">
        <v>29.96</v>
      </c>
      <c r="T736" t="s">
        <v>110</v>
      </c>
      <c r="U736" t="s">
        <v>63</v>
      </c>
      <c r="V736" t="str">
        <f t="shared" si="44"/>
        <v>2026-03</v>
      </c>
      <c r="W736" t="str">
        <f t="shared" si="45"/>
        <v>4-7 days</v>
      </c>
      <c r="X736" t="str">
        <f t="shared" si="46"/>
        <v>Refund Issued</v>
      </c>
      <c r="Y736" t="str">
        <f t="shared" si="47"/>
        <v>High</v>
      </c>
    </row>
    <row r="737" spans="1:25" ht="27.6">
      <c r="A737" t="s">
        <v>2452</v>
      </c>
      <c r="B737" t="s">
        <v>2453</v>
      </c>
      <c r="C737" t="s">
        <v>2454</v>
      </c>
      <c r="D737" s="2">
        <v>46066</v>
      </c>
      <c r="E737" t="s">
        <v>40</v>
      </c>
      <c r="F737" t="s">
        <v>118</v>
      </c>
      <c r="G737" s="3">
        <v>33.14</v>
      </c>
      <c r="H737" t="s">
        <v>58</v>
      </c>
      <c r="I737" t="s">
        <v>67</v>
      </c>
      <c r="J737" s="4" t="s">
        <v>2455</v>
      </c>
      <c r="K737" t="s">
        <v>29</v>
      </c>
      <c r="L737" t="s">
        <v>120</v>
      </c>
      <c r="M737" t="s">
        <v>96</v>
      </c>
      <c r="N737" t="s">
        <v>32</v>
      </c>
      <c r="O737">
        <v>5</v>
      </c>
      <c r="P737">
        <v>2</v>
      </c>
      <c r="Q737" t="s">
        <v>33</v>
      </c>
      <c r="R737" t="s">
        <v>85</v>
      </c>
      <c r="S737" s="3">
        <v>33.14</v>
      </c>
      <c r="T737" t="s">
        <v>121</v>
      </c>
      <c r="U737" t="s">
        <v>53</v>
      </c>
      <c r="V737" t="str">
        <f t="shared" si="44"/>
        <v>2026-02</v>
      </c>
      <c r="W737" t="str">
        <f t="shared" si="45"/>
        <v>0-3 days</v>
      </c>
      <c r="X737" t="str">
        <f t="shared" si="46"/>
        <v>Refund Issued</v>
      </c>
      <c r="Y737" t="str">
        <f t="shared" si="47"/>
        <v>High</v>
      </c>
    </row>
    <row r="738" spans="1:25" ht="27.6">
      <c r="A738" t="s">
        <v>2456</v>
      </c>
      <c r="B738" t="s">
        <v>2457</v>
      </c>
      <c r="C738" t="s">
        <v>2458</v>
      </c>
      <c r="D738" s="2">
        <v>46120</v>
      </c>
      <c r="E738" t="s">
        <v>40</v>
      </c>
      <c r="F738" t="s">
        <v>25</v>
      </c>
      <c r="G738" s="3">
        <v>18.8</v>
      </c>
      <c r="H738" t="s">
        <v>74</v>
      </c>
      <c r="I738" t="s">
        <v>67</v>
      </c>
      <c r="J738" s="4" t="s">
        <v>42</v>
      </c>
      <c r="K738" t="s">
        <v>29</v>
      </c>
      <c r="L738" t="s">
        <v>30</v>
      </c>
      <c r="M738" t="s">
        <v>31</v>
      </c>
      <c r="N738" t="s">
        <v>32</v>
      </c>
      <c r="O738">
        <v>5</v>
      </c>
      <c r="P738">
        <v>7</v>
      </c>
      <c r="Q738" t="s">
        <v>29</v>
      </c>
      <c r="R738" t="s">
        <v>34</v>
      </c>
      <c r="S738" s="3">
        <v>14.1</v>
      </c>
      <c r="T738" t="s">
        <v>110</v>
      </c>
      <c r="U738" t="s">
        <v>63</v>
      </c>
      <c r="V738" t="str">
        <f t="shared" si="44"/>
        <v>2026-04</v>
      </c>
      <c r="W738" t="str">
        <f t="shared" si="45"/>
        <v>4-7 days</v>
      </c>
      <c r="X738" t="str">
        <f t="shared" si="46"/>
        <v>Refund Issued</v>
      </c>
      <c r="Y738" t="str">
        <f t="shared" si="47"/>
        <v>High</v>
      </c>
    </row>
    <row r="739" spans="1:25" ht="27.6">
      <c r="A739" t="s">
        <v>2459</v>
      </c>
      <c r="B739" t="s">
        <v>2460</v>
      </c>
      <c r="C739" t="s">
        <v>2461</v>
      </c>
      <c r="D739" s="2">
        <v>46156</v>
      </c>
      <c r="E739" t="s">
        <v>47</v>
      </c>
      <c r="F739" t="s">
        <v>172</v>
      </c>
      <c r="G739" s="3">
        <v>89.53</v>
      </c>
      <c r="H739" t="s">
        <v>89</v>
      </c>
      <c r="I739" t="s">
        <v>50</v>
      </c>
      <c r="J739" s="4" t="s">
        <v>285</v>
      </c>
      <c r="K739" t="s">
        <v>33</v>
      </c>
      <c r="L739" t="s">
        <v>30</v>
      </c>
      <c r="M739" t="s">
        <v>31</v>
      </c>
      <c r="N739" t="s">
        <v>32</v>
      </c>
      <c r="O739">
        <v>7</v>
      </c>
      <c r="P739">
        <v>13</v>
      </c>
      <c r="Q739" t="s">
        <v>29</v>
      </c>
      <c r="R739" t="s">
        <v>174</v>
      </c>
      <c r="S739" s="3">
        <v>0</v>
      </c>
      <c r="T739" t="s">
        <v>286</v>
      </c>
      <c r="U739" t="s">
        <v>63</v>
      </c>
      <c r="V739" t="str">
        <f t="shared" si="44"/>
        <v>2026-05</v>
      </c>
      <c r="W739" t="str">
        <f t="shared" si="45"/>
        <v>8-14 days</v>
      </c>
      <c r="X739" t="str">
        <f t="shared" si="46"/>
        <v>No Refund</v>
      </c>
      <c r="Y739" t="str">
        <f t="shared" si="47"/>
        <v>Medium</v>
      </c>
    </row>
    <row r="740" spans="1:25" ht="27.6">
      <c r="A740" t="s">
        <v>2462</v>
      </c>
      <c r="B740" t="s">
        <v>2463</v>
      </c>
      <c r="C740" t="s">
        <v>2464</v>
      </c>
      <c r="D740" s="2">
        <v>46151</v>
      </c>
      <c r="E740" t="s">
        <v>47</v>
      </c>
      <c r="F740" t="s">
        <v>103</v>
      </c>
      <c r="G740" s="3">
        <v>20.239999999999998</v>
      </c>
      <c r="H740" t="s">
        <v>74</v>
      </c>
      <c r="I740" t="s">
        <v>27</v>
      </c>
      <c r="J740" s="4" t="s">
        <v>104</v>
      </c>
      <c r="K740" t="s">
        <v>29</v>
      </c>
      <c r="L740" t="s">
        <v>30</v>
      </c>
      <c r="M740" t="s">
        <v>31</v>
      </c>
      <c r="N740" t="s">
        <v>32</v>
      </c>
      <c r="O740">
        <v>5</v>
      </c>
      <c r="P740">
        <v>9</v>
      </c>
      <c r="Q740" t="s">
        <v>29</v>
      </c>
      <c r="R740" t="s">
        <v>34</v>
      </c>
      <c r="S740" s="3">
        <v>15.18</v>
      </c>
      <c r="T740" t="s">
        <v>35</v>
      </c>
      <c r="U740" t="s">
        <v>63</v>
      </c>
      <c r="V740" t="str">
        <f t="shared" si="44"/>
        <v>2026-05</v>
      </c>
      <c r="W740" t="str">
        <f t="shared" si="45"/>
        <v>8-14 days</v>
      </c>
      <c r="X740" t="str">
        <f t="shared" si="46"/>
        <v>Refund Issued</v>
      </c>
      <c r="Y740" t="str">
        <f t="shared" si="47"/>
        <v>Medium</v>
      </c>
    </row>
    <row r="741" spans="1:25" ht="27.6">
      <c r="A741" t="s">
        <v>2465</v>
      </c>
      <c r="B741" t="s">
        <v>1011</v>
      </c>
      <c r="C741" t="s">
        <v>2466</v>
      </c>
      <c r="D741" s="2">
        <v>46119</v>
      </c>
      <c r="E741" t="s">
        <v>40</v>
      </c>
      <c r="F741" t="s">
        <v>73</v>
      </c>
      <c r="G741" s="3">
        <v>30.29</v>
      </c>
      <c r="H741" t="s">
        <v>41</v>
      </c>
      <c r="I741" t="s">
        <v>67</v>
      </c>
      <c r="J741" s="4" t="s">
        <v>75</v>
      </c>
      <c r="K741" t="s">
        <v>29</v>
      </c>
      <c r="L741" t="s">
        <v>60</v>
      </c>
      <c r="M741" t="s">
        <v>31</v>
      </c>
      <c r="N741" t="s">
        <v>32</v>
      </c>
      <c r="O741">
        <v>10</v>
      </c>
      <c r="P741">
        <v>9</v>
      </c>
      <c r="Q741" t="s">
        <v>33</v>
      </c>
      <c r="R741" t="s">
        <v>61</v>
      </c>
      <c r="S741" s="3">
        <v>15.14</v>
      </c>
      <c r="T741" t="s">
        <v>52</v>
      </c>
      <c r="U741" t="s">
        <v>63</v>
      </c>
      <c r="V741" t="str">
        <f t="shared" si="44"/>
        <v>2026-04</v>
      </c>
      <c r="W741" t="str">
        <f t="shared" si="45"/>
        <v>8-14 days</v>
      </c>
      <c r="X741" t="str">
        <f t="shared" si="46"/>
        <v>Refund Issued</v>
      </c>
      <c r="Y741" t="str">
        <f t="shared" si="47"/>
        <v>Low</v>
      </c>
    </row>
    <row r="742" spans="1:25" ht="27.6">
      <c r="A742" t="s">
        <v>2467</v>
      </c>
      <c r="B742" t="s">
        <v>2468</v>
      </c>
      <c r="C742" t="s">
        <v>2469</v>
      </c>
      <c r="D742" s="2">
        <v>46064</v>
      </c>
      <c r="E742" t="s">
        <v>47</v>
      </c>
      <c r="F742" t="s">
        <v>25</v>
      </c>
      <c r="G742" s="3">
        <v>34.82</v>
      </c>
      <c r="H742" t="s">
        <v>108</v>
      </c>
      <c r="I742" t="s">
        <v>50</v>
      </c>
      <c r="J742" s="4" t="s">
        <v>42</v>
      </c>
      <c r="K742" t="s">
        <v>29</v>
      </c>
      <c r="L742" t="s">
        <v>30</v>
      </c>
      <c r="M742" t="s">
        <v>96</v>
      </c>
      <c r="N742" t="s">
        <v>32</v>
      </c>
      <c r="O742">
        <v>5</v>
      </c>
      <c r="P742">
        <v>5</v>
      </c>
      <c r="Q742" t="s">
        <v>33</v>
      </c>
      <c r="R742" t="s">
        <v>34</v>
      </c>
      <c r="S742" s="3">
        <v>34.82</v>
      </c>
      <c r="T742" t="s">
        <v>110</v>
      </c>
      <c r="U742" t="s">
        <v>36</v>
      </c>
      <c r="V742" t="str">
        <f t="shared" si="44"/>
        <v>2026-02</v>
      </c>
      <c r="W742" t="str">
        <f t="shared" si="45"/>
        <v>4-7 days</v>
      </c>
      <c r="X742" t="str">
        <f t="shared" si="46"/>
        <v>Refund Issued</v>
      </c>
      <c r="Y742" t="str">
        <f t="shared" si="47"/>
        <v>High</v>
      </c>
    </row>
    <row r="743" spans="1:25" ht="27.6">
      <c r="A743" t="s">
        <v>2470</v>
      </c>
      <c r="B743" t="s">
        <v>2471</v>
      </c>
      <c r="C743" t="s">
        <v>2472</v>
      </c>
      <c r="D743" s="2">
        <v>46152</v>
      </c>
      <c r="E743" t="s">
        <v>24</v>
      </c>
      <c r="F743" t="s">
        <v>82</v>
      </c>
      <c r="G743" s="3">
        <v>18.25</v>
      </c>
      <c r="H743" t="s">
        <v>89</v>
      </c>
      <c r="I743" t="s">
        <v>27</v>
      </c>
      <c r="J743" s="4" t="s">
        <v>114</v>
      </c>
      <c r="K743" t="s">
        <v>33</v>
      </c>
      <c r="L743" t="s">
        <v>30</v>
      </c>
      <c r="M743" t="s">
        <v>31</v>
      </c>
      <c r="N743" t="s">
        <v>126</v>
      </c>
      <c r="O743">
        <v>7</v>
      </c>
      <c r="P743">
        <v>8</v>
      </c>
      <c r="Q743" t="s">
        <v>29</v>
      </c>
      <c r="R743" t="s">
        <v>85</v>
      </c>
      <c r="S743" s="3">
        <v>0</v>
      </c>
      <c r="T743" t="s">
        <v>69</v>
      </c>
      <c r="U743" t="s">
        <v>63</v>
      </c>
      <c r="V743" t="str">
        <f t="shared" si="44"/>
        <v>2026-05</v>
      </c>
      <c r="W743" t="str">
        <f t="shared" si="45"/>
        <v>8-14 days</v>
      </c>
      <c r="X743" t="str">
        <f t="shared" si="46"/>
        <v>No Refund</v>
      </c>
      <c r="Y743" t="str">
        <f t="shared" si="47"/>
        <v>High</v>
      </c>
    </row>
    <row r="744" spans="1:25" ht="27.6">
      <c r="A744" t="s">
        <v>2473</v>
      </c>
      <c r="B744" t="s">
        <v>2474</v>
      </c>
      <c r="C744" t="s">
        <v>2475</v>
      </c>
      <c r="D744" s="2">
        <v>46108</v>
      </c>
      <c r="E744" t="s">
        <v>40</v>
      </c>
      <c r="F744" t="s">
        <v>25</v>
      </c>
      <c r="G744" s="3">
        <v>18.18</v>
      </c>
      <c r="H744" t="s">
        <v>108</v>
      </c>
      <c r="I744" t="s">
        <v>27</v>
      </c>
      <c r="J744" s="4" t="s">
        <v>42</v>
      </c>
      <c r="K744" t="s">
        <v>29</v>
      </c>
      <c r="L744" t="s">
        <v>30</v>
      </c>
      <c r="M744" t="s">
        <v>31</v>
      </c>
      <c r="N744" t="s">
        <v>32</v>
      </c>
      <c r="O744">
        <v>5</v>
      </c>
      <c r="P744">
        <v>6</v>
      </c>
      <c r="Q744" t="s">
        <v>29</v>
      </c>
      <c r="R744" t="s">
        <v>34</v>
      </c>
      <c r="S744" s="3">
        <v>9.09</v>
      </c>
      <c r="T744" t="s">
        <v>110</v>
      </c>
      <c r="U744" t="s">
        <v>63</v>
      </c>
      <c r="V744" t="str">
        <f t="shared" si="44"/>
        <v>2026-03</v>
      </c>
      <c r="W744" t="str">
        <f t="shared" si="45"/>
        <v>4-7 days</v>
      </c>
      <c r="X744" t="str">
        <f t="shared" si="46"/>
        <v>Refund Issued</v>
      </c>
      <c r="Y744" t="str">
        <f t="shared" si="47"/>
        <v>High</v>
      </c>
    </row>
    <row r="745" spans="1:25" ht="27.6">
      <c r="A745" t="s">
        <v>2476</v>
      </c>
      <c r="B745" t="s">
        <v>2477</v>
      </c>
      <c r="C745" t="s">
        <v>2478</v>
      </c>
      <c r="D745" s="2">
        <v>46085</v>
      </c>
      <c r="E745" t="s">
        <v>24</v>
      </c>
      <c r="F745" t="s">
        <v>172</v>
      </c>
      <c r="G745" s="3">
        <v>45.6</v>
      </c>
      <c r="H745" t="s">
        <v>74</v>
      </c>
      <c r="I745" t="s">
        <v>67</v>
      </c>
      <c r="J745" s="4" t="s">
        <v>173</v>
      </c>
      <c r="K745" t="s">
        <v>29</v>
      </c>
      <c r="L745" t="s">
        <v>30</v>
      </c>
      <c r="M745" t="s">
        <v>31</v>
      </c>
      <c r="N745" t="s">
        <v>32</v>
      </c>
      <c r="O745">
        <v>7</v>
      </c>
      <c r="P745">
        <v>9</v>
      </c>
      <c r="Q745" t="s">
        <v>29</v>
      </c>
      <c r="R745" t="s">
        <v>174</v>
      </c>
      <c r="S745" s="3">
        <v>0</v>
      </c>
      <c r="T745" t="s">
        <v>286</v>
      </c>
      <c r="U745" t="s">
        <v>63</v>
      </c>
      <c r="V745" t="str">
        <f t="shared" si="44"/>
        <v>2026-03</v>
      </c>
      <c r="W745" t="str">
        <f t="shared" si="45"/>
        <v>8-14 days</v>
      </c>
      <c r="X745" t="str">
        <f t="shared" si="46"/>
        <v>No Refund</v>
      </c>
      <c r="Y745" t="str">
        <f t="shared" si="47"/>
        <v>Medium</v>
      </c>
    </row>
    <row r="746" spans="1:25" ht="27.6">
      <c r="A746" t="s">
        <v>2479</v>
      </c>
      <c r="B746" t="s">
        <v>2480</v>
      </c>
      <c r="C746" t="s">
        <v>2481</v>
      </c>
      <c r="D746" s="2">
        <v>46104</v>
      </c>
      <c r="E746" t="s">
        <v>40</v>
      </c>
      <c r="F746" t="s">
        <v>25</v>
      </c>
      <c r="G746" s="3">
        <v>228.03</v>
      </c>
      <c r="H746" t="s">
        <v>108</v>
      </c>
      <c r="I746" t="s">
        <v>50</v>
      </c>
      <c r="J746" s="4" t="s">
        <v>2482</v>
      </c>
      <c r="K746" t="s">
        <v>29</v>
      </c>
      <c r="L746" t="s">
        <v>30</v>
      </c>
      <c r="M746" t="s">
        <v>96</v>
      </c>
      <c r="N746" t="s">
        <v>32</v>
      </c>
      <c r="O746">
        <v>5</v>
      </c>
      <c r="P746">
        <v>1</v>
      </c>
      <c r="Q746" t="s">
        <v>33</v>
      </c>
      <c r="R746" t="s">
        <v>34</v>
      </c>
      <c r="S746" s="3">
        <v>228.03</v>
      </c>
      <c r="T746" t="s">
        <v>43</v>
      </c>
      <c r="U746" t="s">
        <v>53</v>
      </c>
      <c r="V746" t="str">
        <f t="shared" si="44"/>
        <v>2026-03</v>
      </c>
      <c r="W746" t="str">
        <f t="shared" si="45"/>
        <v>0-3 days</v>
      </c>
      <c r="X746" t="str">
        <f t="shared" si="46"/>
        <v>Refund Issued</v>
      </c>
      <c r="Y746" t="str">
        <f t="shared" si="47"/>
        <v>High</v>
      </c>
    </row>
    <row r="747" spans="1:25" ht="27.6">
      <c r="A747" t="s">
        <v>2483</v>
      </c>
      <c r="B747" t="s">
        <v>2484</v>
      </c>
      <c r="C747" t="s">
        <v>2485</v>
      </c>
      <c r="D747" s="2">
        <v>46115</v>
      </c>
      <c r="E747" t="s">
        <v>24</v>
      </c>
      <c r="F747" t="s">
        <v>57</v>
      </c>
      <c r="G747" s="3">
        <v>77.42</v>
      </c>
      <c r="H747" t="s">
        <v>26</v>
      </c>
      <c r="I747" t="s">
        <v>50</v>
      </c>
      <c r="J747" s="4" t="s">
        <v>155</v>
      </c>
      <c r="K747" t="s">
        <v>29</v>
      </c>
      <c r="L747" t="s">
        <v>60</v>
      </c>
      <c r="M747" t="s">
        <v>31</v>
      </c>
      <c r="N747" t="s">
        <v>32</v>
      </c>
      <c r="O747">
        <v>10</v>
      </c>
      <c r="P747">
        <v>11</v>
      </c>
      <c r="Q747" t="s">
        <v>29</v>
      </c>
      <c r="R747" t="s">
        <v>61</v>
      </c>
      <c r="S747" s="3">
        <v>38.71</v>
      </c>
      <c r="T747" t="s">
        <v>156</v>
      </c>
      <c r="U747" t="s">
        <v>63</v>
      </c>
      <c r="V747" t="str">
        <f t="shared" si="44"/>
        <v>2026-04</v>
      </c>
      <c r="W747" t="str">
        <f t="shared" si="45"/>
        <v>8-14 days</v>
      </c>
      <c r="X747" t="str">
        <f t="shared" si="46"/>
        <v>Refund Issued</v>
      </c>
      <c r="Y747" t="str">
        <f t="shared" si="47"/>
        <v>Low</v>
      </c>
    </row>
    <row r="748" spans="1:25" ht="27.6">
      <c r="A748" t="s">
        <v>2486</v>
      </c>
      <c r="B748" t="s">
        <v>2487</v>
      </c>
      <c r="C748" t="s">
        <v>2488</v>
      </c>
      <c r="D748" s="2">
        <v>46069</v>
      </c>
      <c r="E748" t="s">
        <v>47</v>
      </c>
      <c r="F748" t="s">
        <v>118</v>
      </c>
      <c r="G748" s="3">
        <v>16.059999999999999</v>
      </c>
      <c r="H748" t="s">
        <v>26</v>
      </c>
      <c r="I748" t="s">
        <v>27</v>
      </c>
      <c r="J748" s="4" t="s">
        <v>119</v>
      </c>
      <c r="K748" t="s">
        <v>33</v>
      </c>
      <c r="L748" t="s">
        <v>30</v>
      </c>
      <c r="M748" t="s">
        <v>31</v>
      </c>
      <c r="N748" t="s">
        <v>32</v>
      </c>
      <c r="O748">
        <v>5</v>
      </c>
      <c r="P748">
        <v>10</v>
      </c>
      <c r="Q748" t="s">
        <v>29</v>
      </c>
      <c r="R748" t="s">
        <v>85</v>
      </c>
      <c r="S748" s="3">
        <v>8.0299999999999994</v>
      </c>
      <c r="T748" t="s">
        <v>121</v>
      </c>
      <c r="U748" t="s">
        <v>63</v>
      </c>
      <c r="V748" t="str">
        <f t="shared" si="44"/>
        <v>2026-02</v>
      </c>
      <c r="W748" t="str">
        <f t="shared" si="45"/>
        <v>8-14 days</v>
      </c>
      <c r="X748" t="str">
        <f t="shared" si="46"/>
        <v>Refund Issued</v>
      </c>
      <c r="Y748" t="str">
        <f t="shared" si="47"/>
        <v>High</v>
      </c>
    </row>
    <row r="749" spans="1:25" ht="27.6">
      <c r="A749" t="s">
        <v>2489</v>
      </c>
      <c r="B749" t="s">
        <v>2490</v>
      </c>
      <c r="C749" t="s">
        <v>2491</v>
      </c>
      <c r="D749" s="2">
        <v>46126</v>
      </c>
      <c r="E749" t="s">
        <v>40</v>
      </c>
      <c r="F749" t="s">
        <v>25</v>
      </c>
      <c r="G749" s="3">
        <v>21.75</v>
      </c>
      <c r="H749" t="s">
        <v>108</v>
      </c>
      <c r="I749" t="s">
        <v>50</v>
      </c>
      <c r="J749" s="4" t="s">
        <v>42</v>
      </c>
      <c r="K749" t="s">
        <v>29</v>
      </c>
      <c r="L749" t="s">
        <v>30</v>
      </c>
      <c r="M749" t="s">
        <v>96</v>
      </c>
      <c r="N749" t="s">
        <v>90</v>
      </c>
      <c r="O749">
        <v>5</v>
      </c>
      <c r="P749">
        <v>8</v>
      </c>
      <c r="Q749" t="s">
        <v>29</v>
      </c>
      <c r="R749" t="s">
        <v>34</v>
      </c>
      <c r="S749" s="3">
        <v>0</v>
      </c>
      <c r="T749" t="s">
        <v>35</v>
      </c>
      <c r="U749" t="s">
        <v>63</v>
      </c>
      <c r="V749" t="str">
        <f t="shared" si="44"/>
        <v>2026-04</v>
      </c>
      <c r="W749" t="str">
        <f t="shared" si="45"/>
        <v>8-14 days</v>
      </c>
      <c r="X749" t="str">
        <f t="shared" si="46"/>
        <v>No Refund</v>
      </c>
      <c r="Y749" t="str">
        <f t="shared" si="47"/>
        <v>High</v>
      </c>
    </row>
    <row r="750" spans="1:25" ht="27.6">
      <c r="A750" t="s">
        <v>2492</v>
      </c>
      <c r="B750" t="s">
        <v>2493</v>
      </c>
      <c r="C750" t="s">
        <v>2494</v>
      </c>
      <c r="D750" s="2">
        <v>46131</v>
      </c>
      <c r="E750" t="s">
        <v>24</v>
      </c>
      <c r="F750" t="s">
        <v>172</v>
      </c>
      <c r="G750" s="3">
        <v>86.91</v>
      </c>
      <c r="H750" t="s">
        <v>108</v>
      </c>
      <c r="I750" t="s">
        <v>50</v>
      </c>
      <c r="J750" s="4" t="s">
        <v>285</v>
      </c>
      <c r="K750" t="s">
        <v>33</v>
      </c>
      <c r="L750" t="s">
        <v>30</v>
      </c>
      <c r="M750" t="s">
        <v>31</v>
      </c>
      <c r="N750" t="s">
        <v>32</v>
      </c>
      <c r="O750">
        <v>7</v>
      </c>
      <c r="P750">
        <v>9</v>
      </c>
      <c r="Q750" t="s">
        <v>29</v>
      </c>
      <c r="R750" t="s">
        <v>174</v>
      </c>
      <c r="S750" s="3">
        <v>0</v>
      </c>
      <c r="T750" t="s">
        <v>110</v>
      </c>
      <c r="U750" t="s">
        <v>63</v>
      </c>
      <c r="V750" t="str">
        <f t="shared" si="44"/>
        <v>2026-04</v>
      </c>
      <c r="W750" t="str">
        <f t="shared" si="45"/>
        <v>8-14 days</v>
      </c>
      <c r="X750" t="str">
        <f t="shared" si="46"/>
        <v>No Refund</v>
      </c>
      <c r="Y750" t="str">
        <f t="shared" si="47"/>
        <v>Medium</v>
      </c>
    </row>
    <row r="751" spans="1:25" ht="27.6">
      <c r="A751" t="s">
        <v>2495</v>
      </c>
      <c r="B751" t="s">
        <v>2496</v>
      </c>
      <c r="C751" t="s">
        <v>2497</v>
      </c>
      <c r="D751" s="2">
        <v>46121</v>
      </c>
      <c r="E751" t="s">
        <v>94</v>
      </c>
      <c r="F751" t="s">
        <v>25</v>
      </c>
      <c r="G751" s="3">
        <v>60.81</v>
      </c>
      <c r="H751" t="s">
        <v>89</v>
      </c>
      <c r="I751" t="s">
        <v>67</v>
      </c>
      <c r="J751" s="4" t="s">
        <v>2498</v>
      </c>
      <c r="K751" t="s">
        <v>33</v>
      </c>
      <c r="L751" t="s">
        <v>30</v>
      </c>
      <c r="M751" t="s">
        <v>31</v>
      </c>
      <c r="N751" t="s">
        <v>32</v>
      </c>
      <c r="O751">
        <v>5</v>
      </c>
      <c r="P751">
        <v>12</v>
      </c>
      <c r="Q751" t="s">
        <v>29</v>
      </c>
      <c r="R751" t="s">
        <v>34</v>
      </c>
      <c r="S751" s="3">
        <v>30.41</v>
      </c>
      <c r="T751" t="s">
        <v>43</v>
      </c>
      <c r="U751" t="s">
        <v>63</v>
      </c>
      <c r="V751" t="str">
        <f t="shared" si="44"/>
        <v>2026-04</v>
      </c>
      <c r="W751" t="str">
        <f t="shared" si="45"/>
        <v>8-14 days</v>
      </c>
      <c r="X751" t="str">
        <f t="shared" si="46"/>
        <v>Refund Issued</v>
      </c>
      <c r="Y751" t="str">
        <f t="shared" si="47"/>
        <v>High</v>
      </c>
    </row>
  </sheetData>
  <conditionalFormatting sqref="L2:L751">
    <cfRule type="expression" dxfId="1" priority="2">
      <formula>L2="High"</formula>
    </cfRule>
  </conditionalFormatting>
  <conditionalFormatting sqref="Q2:Q751">
    <cfRule type="expression" dxfId="0" priority="1">
      <formula>Q2="Yes"</formula>
    </cfRule>
  </conditionalFormatting>
  <dataValidations count="9">
    <dataValidation type="list" sqref="E2:E751" xr:uid="{00000000-0002-0000-0200-000000000000}">
      <formula1>"Card,Bank Transfer,Wallet,Open Banking"</formula1>
    </dataValidation>
    <dataValidation type="list" sqref="F2:F751" xr:uid="{00000000-0002-0000-0200-000001000000}">
      <formula1>"Failed Payment,Duplicate Debit,Refund Delay,Merchant Not Credited,Wrong Amount Debited,Unauthorised Transaction,APP Scam Claim,Chargeback Request"</formula1>
    </dataValidation>
    <dataValidation type="list" sqref="I2:I751" xr:uid="{00000000-0002-0000-0200-000002000000}">
      <formula1>"Success,Failed,Pending"</formula1>
    </dataValidation>
    <dataValidation type="list" sqref="K2:K751 Q2:Q751" xr:uid="{00000000-0002-0000-0200-000003000000}">
      <formula1>"Yes,No"</formula1>
    </dataValidation>
    <dataValidation type="list" sqref="L2:L751" xr:uid="{00000000-0002-0000-0200-000004000000}">
      <formula1>"Low,Medium,High"</formula1>
    </dataValidation>
    <dataValidation type="list" sqref="M2:M751" xr:uid="{00000000-0002-0000-0200-000005000000}">
      <formula1>"Eligible,Not Eligible,Manual Review"</formula1>
    </dataValidation>
    <dataValidation type="list" sqref="N2:N751" xr:uid="{00000000-0002-0000-0200-000006000000}">
      <formula1>"Open,In Review,Resolved,Rejected,Awaiting Evidence"</formula1>
    </dataValidation>
    <dataValidation type="list" sqref="R2:R751" xr:uid="{00000000-0002-0000-0200-000008000000}">
      <formula1>"Payment Operations,Fraud Review,Merchant Support,Refund Team,Customer Support"</formula1>
    </dataValidation>
    <dataValidation type="list" sqref="U2:U751" xr:uid="{00000000-0002-0000-0200-000009000000}">
      <formula1>"Negative,Neutral,Positive"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"/>
  <sheetViews>
    <sheetView workbookViewId="0"/>
  </sheetViews>
  <sheetFormatPr defaultRowHeight="13.8"/>
  <cols>
    <col min="1" max="7" width="20" customWidth="1"/>
  </cols>
  <sheetData>
    <row r="1" spans="1:26" ht="22.35" customHeight="1">
      <c r="A1" s="5" t="s">
        <v>2560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3" spans="1:26">
      <c r="A3" s="1" t="s">
        <v>2561</v>
      </c>
      <c r="B3" s="1" t="s">
        <v>2562</v>
      </c>
      <c r="C3" s="1" t="s">
        <v>2563</v>
      </c>
      <c r="D3" s="1" t="s">
        <v>2564</v>
      </c>
      <c r="E3" s="1" t="s">
        <v>2565</v>
      </c>
      <c r="F3" s="1" t="s">
        <v>2566</v>
      </c>
      <c r="G3" s="1" t="s">
        <v>2567</v>
      </c>
    </row>
    <row r="4" spans="1:26">
      <c r="A4" t="s">
        <v>25</v>
      </c>
      <c r="B4">
        <v>161</v>
      </c>
      <c r="C4" s="6">
        <v>0.21466666666666667</v>
      </c>
      <c r="D4">
        <v>94</v>
      </c>
      <c r="E4" s="6">
        <v>0.58385093167701863</v>
      </c>
      <c r="F4" s="7">
        <v>6.2732919254658386</v>
      </c>
      <c r="G4" s="3">
        <v>5417.44</v>
      </c>
    </row>
    <row r="5" spans="1:26">
      <c r="A5" t="s">
        <v>82</v>
      </c>
      <c r="B5">
        <v>138</v>
      </c>
      <c r="C5" s="6">
        <v>0.184</v>
      </c>
      <c r="D5">
        <v>51</v>
      </c>
      <c r="E5" s="6">
        <v>0.36956521739130432</v>
      </c>
      <c r="F5" s="7">
        <v>6.5289855072463769</v>
      </c>
      <c r="G5" s="3">
        <v>2934.35</v>
      </c>
    </row>
    <row r="6" spans="1:26">
      <c r="A6" t="s">
        <v>172</v>
      </c>
      <c r="B6">
        <v>107</v>
      </c>
      <c r="C6" s="6">
        <v>0.14266666666666666</v>
      </c>
      <c r="D6">
        <v>68</v>
      </c>
      <c r="E6" s="6">
        <v>0.63551401869158874</v>
      </c>
      <c r="F6" s="7">
        <v>8.6728971962616814</v>
      </c>
      <c r="G6" s="3">
        <v>1552.67</v>
      </c>
    </row>
    <row r="7" spans="1:26">
      <c r="A7" t="s">
        <v>118</v>
      </c>
      <c r="B7">
        <v>98</v>
      </c>
      <c r="C7" s="6">
        <v>0.13066666666666665</v>
      </c>
      <c r="D7">
        <v>32</v>
      </c>
      <c r="E7" s="6">
        <v>0.32653061224489793</v>
      </c>
      <c r="F7" s="7">
        <v>4.4387755102040813</v>
      </c>
      <c r="G7" s="3">
        <v>3972.12</v>
      </c>
    </row>
    <row r="8" spans="1:26">
      <c r="A8" t="s">
        <v>57</v>
      </c>
      <c r="B8">
        <v>72</v>
      </c>
      <c r="C8" s="6">
        <v>9.6000000000000002E-2</v>
      </c>
      <c r="D8">
        <v>51</v>
      </c>
      <c r="E8" s="6">
        <v>0.70833333333333337</v>
      </c>
      <c r="F8" s="7">
        <v>11.541666666666666</v>
      </c>
      <c r="G8" s="3">
        <v>1875.9</v>
      </c>
    </row>
    <row r="9" spans="1:26">
      <c r="A9" t="s">
        <v>73</v>
      </c>
      <c r="B9">
        <v>63</v>
      </c>
      <c r="C9" s="6">
        <v>8.4000000000000005E-2</v>
      </c>
      <c r="D9">
        <v>38</v>
      </c>
      <c r="E9" s="6">
        <v>0.60317460317460314</v>
      </c>
      <c r="F9" s="7">
        <v>11.365079365079366</v>
      </c>
      <c r="G9" s="3">
        <v>1747.44</v>
      </c>
    </row>
    <row r="10" spans="1:26">
      <c r="A10" t="s">
        <v>48</v>
      </c>
      <c r="B10">
        <v>57</v>
      </c>
      <c r="C10" s="6">
        <v>7.5999999999999998E-2</v>
      </c>
      <c r="D10">
        <v>6</v>
      </c>
      <c r="E10" s="6">
        <v>0.10526315789473684</v>
      </c>
      <c r="F10" s="7">
        <v>6.3859649122807021</v>
      </c>
      <c r="G10" s="3">
        <v>868.67</v>
      </c>
    </row>
    <row r="11" spans="1:26">
      <c r="A11" t="s">
        <v>103</v>
      </c>
      <c r="B11">
        <v>54</v>
      </c>
      <c r="C11" s="6">
        <v>7.1999999999999995E-2</v>
      </c>
      <c r="D11">
        <v>36</v>
      </c>
      <c r="E11" s="6">
        <v>0.66666666666666663</v>
      </c>
      <c r="F11" s="7">
        <v>6.7592592592592595</v>
      </c>
      <c r="G11" s="3">
        <v>702.01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5"/>
  <sheetViews>
    <sheetView workbookViewId="0"/>
  </sheetViews>
  <sheetFormatPr defaultRowHeight="13.8"/>
  <cols>
    <col min="1" max="3" width="20" customWidth="1"/>
  </cols>
  <sheetData>
    <row r="1" spans="1:26" ht="22.35" customHeight="1">
      <c r="A1" s="5" t="s">
        <v>2568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3" spans="1:26">
      <c r="A3" s="1" t="s">
        <v>2569</v>
      </c>
      <c r="B3" s="1" t="s">
        <v>2562</v>
      </c>
      <c r="C3" s="1" t="s">
        <v>2563</v>
      </c>
    </row>
    <row r="4" spans="1:26">
      <c r="A4" t="s">
        <v>29</v>
      </c>
      <c r="B4">
        <v>376</v>
      </c>
      <c r="C4" s="6">
        <v>0.5013333333333333</v>
      </c>
    </row>
    <row r="5" spans="1:26">
      <c r="A5" t="s">
        <v>33</v>
      </c>
      <c r="B5">
        <v>374</v>
      </c>
      <c r="C5" s="6">
        <v>0.49866666666666665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7"/>
  <sheetViews>
    <sheetView workbookViewId="0"/>
  </sheetViews>
  <sheetFormatPr defaultRowHeight="13.8"/>
  <cols>
    <col min="1" max="6" width="20" customWidth="1"/>
  </cols>
  <sheetData>
    <row r="1" spans="1:26" ht="22.35" customHeight="1">
      <c r="A1" s="5" t="s">
        <v>2570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3" spans="1:26" ht="27.6">
      <c r="A3" s="1" t="s">
        <v>2571</v>
      </c>
      <c r="B3" s="1" t="s">
        <v>2562</v>
      </c>
      <c r="C3" s="1" t="s">
        <v>2564</v>
      </c>
      <c r="D3" s="1" t="s">
        <v>2565</v>
      </c>
      <c r="E3" s="1" t="s">
        <v>2572</v>
      </c>
      <c r="F3" s="1" t="s">
        <v>2567</v>
      </c>
    </row>
    <row r="4" spans="1:26">
      <c r="A4" t="s">
        <v>24</v>
      </c>
      <c r="B4">
        <v>316</v>
      </c>
      <c r="C4">
        <v>158</v>
      </c>
      <c r="D4" s="6">
        <v>0.5</v>
      </c>
      <c r="E4" s="3">
        <v>56.176392405063297</v>
      </c>
      <c r="F4" s="3">
        <v>7097.52</v>
      </c>
    </row>
    <row r="5" spans="1:26">
      <c r="A5" t="s">
        <v>47</v>
      </c>
      <c r="B5">
        <v>164</v>
      </c>
      <c r="C5">
        <v>82</v>
      </c>
      <c r="D5" s="6">
        <v>0.5</v>
      </c>
      <c r="E5" s="3">
        <v>68.1875</v>
      </c>
      <c r="F5" s="3">
        <v>4777.33</v>
      </c>
    </row>
    <row r="6" spans="1:26">
      <c r="A6" t="s">
        <v>40</v>
      </c>
      <c r="B6">
        <v>162</v>
      </c>
      <c r="C6">
        <v>84</v>
      </c>
      <c r="D6" s="6">
        <v>0.51851851851851849</v>
      </c>
      <c r="E6" s="3">
        <v>59.654814814814813</v>
      </c>
      <c r="F6" s="3">
        <v>4695.99</v>
      </c>
    </row>
    <row r="7" spans="1:26">
      <c r="A7" t="s">
        <v>94</v>
      </c>
      <c r="B7">
        <v>108</v>
      </c>
      <c r="C7">
        <v>52</v>
      </c>
      <c r="D7" s="6">
        <v>0.48148148148148145</v>
      </c>
      <c r="E7" s="3">
        <v>58.566759259259257</v>
      </c>
      <c r="F7" s="3">
        <v>2499.7599999999998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3"/>
  <sheetViews>
    <sheetView workbookViewId="0"/>
  </sheetViews>
  <sheetFormatPr defaultRowHeight="13.8"/>
  <cols>
    <col min="1" max="5" width="20" customWidth="1"/>
  </cols>
  <sheetData>
    <row r="1" spans="1:26" ht="22.35" customHeight="1">
      <c r="A1" s="5" t="s">
        <v>2573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3" spans="1:26">
      <c r="A3" s="1" t="s">
        <v>2574</v>
      </c>
      <c r="B3" s="1" t="s">
        <v>2562</v>
      </c>
      <c r="C3" s="1" t="s">
        <v>2563</v>
      </c>
      <c r="D3" s="1" t="s">
        <v>2564</v>
      </c>
      <c r="E3" s="1" t="s">
        <v>2567</v>
      </c>
    </row>
    <row r="4" spans="1:26">
      <c r="A4" t="s">
        <v>62</v>
      </c>
      <c r="B4">
        <v>109</v>
      </c>
      <c r="C4" s="6">
        <v>0.14533333333333334</v>
      </c>
      <c r="D4">
        <v>52</v>
      </c>
      <c r="E4" s="3">
        <v>2014.34</v>
      </c>
    </row>
    <row r="5" spans="1:26">
      <c r="A5" t="s">
        <v>69</v>
      </c>
      <c r="B5">
        <v>104</v>
      </c>
      <c r="C5" s="6">
        <v>0.13866666666666666</v>
      </c>
      <c r="D5">
        <v>46</v>
      </c>
      <c r="E5" s="3">
        <v>2290.35</v>
      </c>
    </row>
    <row r="6" spans="1:26">
      <c r="A6" t="s">
        <v>121</v>
      </c>
      <c r="B6">
        <v>98</v>
      </c>
      <c r="C6" s="6">
        <v>0.13066666666666665</v>
      </c>
      <c r="D6">
        <v>32</v>
      </c>
      <c r="E6" s="3">
        <v>3972.12</v>
      </c>
    </row>
    <row r="7" spans="1:26">
      <c r="A7" t="s">
        <v>35</v>
      </c>
      <c r="B7">
        <v>95</v>
      </c>
      <c r="C7" s="6">
        <v>0.12666666666666668</v>
      </c>
      <c r="D7">
        <v>54</v>
      </c>
      <c r="E7" s="3">
        <v>2295.23</v>
      </c>
    </row>
    <row r="8" spans="1:26">
      <c r="A8" t="s">
        <v>43</v>
      </c>
      <c r="B8">
        <v>95</v>
      </c>
      <c r="C8" s="6">
        <v>0.12666666666666668</v>
      </c>
      <c r="D8">
        <v>52</v>
      </c>
      <c r="E8" s="3">
        <v>2266.91</v>
      </c>
    </row>
    <row r="9" spans="1:26">
      <c r="A9" t="s">
        <v>110</v>
      </c>
      <c r="B9">
        <v>93</v>
      </c>
      <c r="C9" s="6">
        <v>0.124</v>
      </c>
      <c r="D9">
        <v>51</v>
      </c>
      <c r="E9" s="3">
        <v>2603.56</v>
      </c>
    </row>
    <row r="10" spans="1:26">
      <c r="A10" t="s">
        <v>52</v>
      </c>
      <c r="B10">
        <v>61</v>
      </c>
      <c r="C10" s="6">
        <v>8.1333333333333327E-2</v>
      </c>
      <c r="D10">
        <v>23</v>
      </c>
      <c r="E10" s="3">
        <v>1228.05</v>
      </c>
    </row>
    <row r="11" spans="1:26">
      <c r="A11" t="s">
        <v>156</v>
      </c>
      <c r="B11">
        <v>44</v>
      </c>
      <c r="C11" s="6">
        <v>5.8666666666666666E-2</v>
      </c>
      <c r="D11">
        <v>32</v>
      </c>
      <c r="E11" s="3">
        <v>1491.49</v>
      </c>
    </row>
    <row r="12" spans="1:26">
      <c r="A12" t="s">
        <v>286</v>
      </c>
      <c r="B12">
        <v>30</v>
      </c>
      <c r="C12" s="6">
        <v>0.04</v>
      </c>
      <c r="D12">
        <v>20</v>
      </c>
      <c r="E12" s="3">
        <v>715.71</v>
      </c>
    </row>
    <row r="13" spans="1:26">
      <c r="A13" t="s">
        <v>247</v>
      </c>
      <c r="B13">
        <v>21</v>
      </c>
      <c r="C13" s="6">
        <v>2.8000000000000001E-2</v>
      </c>
      <c r="D13">
        <v>14</v>
      </c>
      <c r="E13" s="3">
        <v>192.83999999999997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6"/>
  <sheetViews>
    <sheetView workbookViewId="0"/>
  </sheetViews>
  <sheetFormatPr defaultRowHeight="13.8"/>
  <cols>
    <col min="1" max="5" width="20" customWidth="1"/>
  </cols>
  <sheetData>
    <row r="1" spans="1:26" ht="22.35" customHeight="1">
      <c r="A1" s="5" t="s">
        <v>2575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3" spans="1:26">
      <c r="A3" s="1" t="s">
        <v>2576</v>
      </c>
      <c r="B3" s="1" t="s">
        <v>2562</v>
      </c>
      <c r="C3" s="1" t="s">
        <v>2563</v>
      </c>
      <c r="D3" s="1" t="s">
        <v>2577</v>
      </c>
      <c r="E3" s="1" t="s">
        <v>2578</v>
      </c>
    </row>
    <row r="4" spans="1:26">
      <c r="A4" t="s">
        <v>31</v>
      </c>
      <c r="B4">
        <v>642</v>
      </c>
      <c r="C4" s="6">
        <v>0.85599999999999998</v>
      </c>
      <c r="D4" s="3">
        <v>13558.91</v>
      </c>
      <c r="E4" s="3">
        <v>21.11979750778816</v>
      </c>
    </row>
    <row r="5" spans="1:26">
      <c r="A5" t="s">
        <v>96</v>
      </c>
      <c r="B5">
        <v>108</v>
      </c>
      <c r="C5" s="6">
        <v>0.14399999999999999</v>
      </c>
      <c r="D5" s="3">
        <v>5511.69</v>
      </c>
      <c r="E5" s="3">
        <v>51.034166666666664</v>
      </c>
    </row>
    <row r="6" spans="1:26">
      <c r="C6" s="6"/>
      <c r="D6" s="3"/>
      <c r="E6" s="3"/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6"/>
  <sheetViews>
    <sheetView workbookViewId="0"/>
  </sheetViews>
  <sheetFormatPr defaultRowHeight="13.8"/>
  <cols>
    <col min="1" max="6" width="20" customWidth="1"/>
  </cols>
  <sheetData>
    <row r="1" spans="1:26" ht="22.35" customHeight="1">
      <c r="A1" s="5" t="s">
        <v>2579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3" spans="1:26" ht="27.6">
      <c r="A3" s="1" t="s">
        <v>2580</v>
      </c>
      <c r="B3" s="1" t="s">
        <v>2562</v>
      </c>
      <c r="C3" s="1" t="s">
        <v>2563</v>
      </c>
      <c r="D3" s="1" t="s">
        <v>2581</v>
      </c>
      <c r="E3" s="1" t="s">
        <v>2564</v>
      </c>
      <c r="F3" s="1" t="s">
        <v>2567</v>
      </c>
    </row>
    <row r="4" spans="1:26">
      <c r="A4" t="s">
        <v>30</v>
      </c>
      <c r="B4">
        <v>540</v>
      </c>
      <c r="C4" s="6">
        <v>0.72</v>
      </c>
      <c r="D4">
        <v>505</v>
      </c>
      <c r="E4">
        <v>275</v>
      </c>
      <c r="F4" s="3">
        <v>10425.459999999999</v>
      </c>
    </row>
    <row r="5" spans="1:26">
      <c r="A5" t="s">
        <v>60</v>
      </c>
      <c r="B5">
        <v>137</v>
      </c>
      <c r="C5" s="6">
        <v>0.18266666666666667</v>
      </c>
      <c r="D5">
        <v>137</v>
      </c>
      <c r="E5">
        <v>91</v>
      </c>
      <c r="F5" s="3">
        <v>5012.17</v>
      </c>
    </row>
    <row r="6" spans="1:26">
      <c r="A6" t="s">
        <v>120</v>
      </c>
      <c r="B6">
        <v>73</v>
      </c>
      <c r="C6" s="6">
        <v>9.7333333333333327E-2</v>
      </c>
      <c r="D6">
        <v>0</v>
      </c>
      <c r="E6">
        <v>10</v>
      </c>
      <c r="F6" s="3">
        <v>3632.97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1"/>
  <sheetViews>
    <sheetView workbookViewId="0"/>
  </sheetViews>
  <sheetFormatPr defaultRowHeight="13.8"/>
  <cols>
    <col min="1" max="1" width="28" customWidth="1"/>
    <col min="2" max="2" width="16" customWidth="1"/>
    <col min="4" max="4" width="28" customWidth="1"/>
    <col min="5" max="5" width="16" customWidth="1"/>
    <col min="7" max="7" width="22" customWidth="1"/>
    <col min="8" max="8" width="16" customWidth="1"/>
  </cols>
  <sheetData>
    <row r="1" spans="1:8" ht="22.35" customHeight="1">
      <c r="A1" s="9" t="s">
        <v>2582</v>
      </c>
      <c r="B1" s="10"/>
      <c r="C1" s="10"/>
      <c r="D1" s="11"/>
      <c r="E1" s="11"/>
      <c r="F1" s="11"/>
      <c r="G1" s="11"/>
      <c r="H1" s="11"/>
    </row>
    <row r="3" spans="1:8">
      <c r="A3" s="1" t="s">
        <v>2583</v>
      </c>
      <c r="B3" s="1" t="s">
        <v>2584</v>
      </c>
      <c r="D3" s="1" t="s">
        <v>2585</v>
      </c>
      <c r="E3" s="1" t="s">
        <v>2586</v>
      </c>
    </row>
    <row r="4" spans="1:8">
      <c r="A4" t="s">
        <v>2587</v>
      </c>
      <c r="B4">
        <v>750</v>
      </c>
      <c r="D4" t="s">
        <v>2588</v>
      </c>
      <c r="E4" t="s">
        <v>25</v>
      </c>
    </row>
    <row r="5" spans="1:8">
      <c r="A5" t="s">
        <v>2589</v>
      </c>
      <c r="B5" s="7">
        <v>7.4</v>
      </c>
      <c r="D5" t="s">
        <v>2590</v>
      </c>
      <c r="E5" t="s">
        <v>62</v>
      </c>
    </row>
    <row r="6" spans="1:8">
      <c r="A6" t="s">
        <v>2591</v>
      </c>
      <c r="B6" s="6">
        <v>0.5013333333333333</v>
      </c>
      <c r="D6" t="s">
        <v>2592</v>
      </c>
      <c r="E6" t="s">
        <v>24</v>
      </c>
    </row>
    <row r="7" spans="1:8">
      <c r="A7" t="s">
        <v>2593</v>
      </c>
      <c r="B7" s="3">
        <v>0.85599999999999998</v>
      </c>
      <c r="D7" t="s">
        <v>2594</v>
      </c>
      <c r="E7" t="s">
        <v>2595</v>
      </c>
    </row>
    <row r="8" spans="1:8">
      <c r="A8" t="s">
        <v>2577</v>
      </c>
      <c r="B8" s="8">
        <v>19070.599999999999</v>
      </c>
      <c r="D8" t="s">
        <v>2596</v>
      </c>
      <c r="E8" t="s">
        <v>2597</v>
      </c>
    </row>
    <row r="9" spans="1:8">
      <c r="A9" t="s">
        <v>2598</v>
      </c>
      <c r="B9" s="6">
        <v>137</v>
      </c>
    </row>
    <row r="10" spans="1:8">
      <c r="A10" t="s">
        <v>2599</v>
      </c>
      <c r="B10" s="6">
        <v>0.58399999999999996</v>
      </c>
    </row>
    <row r="13" spans="1:8">
      <c r="A13" s="1" t="s">
        <v>2561</v>
      </c>
      <c r="B13" s="1" t="s">
        <v>2562</v>
      </c>
      <c r="D13" s="1" t="s">
        <v>2580</v>
      </c>
      <c r="E13" s="1" t="s">
        <v>2562</v>
      </c>
      <c r="G13" s="1" t="s">
        <v>2571</v>
      </c>
      <c r="H13" s="1" t="s">
        <v>2562</v>
      </c>
    </row>
    <row r="14" spans="1:8">
      <c r="A14" t="s">
        <v>25</v>
      </c>
      <c r="B14">
        <v>161</v>
      </c>
      <c r="D14" t="s">
        <v>30</v>
      </c>
      <c r="E14">
        <v>540</v>
      </c>
      <c r="G14" t="s">
        <v>24</v>
      </c>
      <c r="H14">
        <v>316</v>
      </c>
    </row>
    <row r="15" spans="1:8">
      <c r="A15" t="s">
        <v>82</v>
      </c>
      <c r="B15">
        <v>138</v>
      </c>
      <c r="D15" t="s">
        <v>60</v>
      </c>
      <c r="E15">
        <v>137</v>
      </c>
      <c r="G15" t="s">
        <v>47</v>
      </c>
      <c r="H15">
        <v>164</v>
      </c>
    </row>
    <row r="16" spans="1:8">
      <c r="A16" t="s">
        <v>172</v>
      </c>
      <c r="B16">
        <v>107</v>
      </c>
      <c r="D16" t="s">
        <v>120</v>
      </c>
      <c r="E16">
        <v>73</v>
      </c>
      <c r="G16" t="s">
        <v>40</v>
      </c>
      <c r="H16">
        <v>162</v>
      </c>
    </row>
    <row r="17" spans="1:8">
      <c r="A17" t="s">
        <v>118</v>
      </c>
      <c r="B17">
        <v>98</v>
      </c>
      <c r="G17" t="s">
        <v>94</v>
      </c>
      <c r="H17">
        <v>108</v>
      </c>
    </row>
    <row r="18" spans="1:8">
      <c r="A18" t="s">
        <v>57</v>
      </c>
      <c r="B18">
        <v>72</v>
      </c>
    </row>
    <row r="19" spans="1:8">
      <c r="A19" t="s">
        <v>73</v>
      </c>
      <c r="B19">
        <v>63</v>
      </c>
    </row>
    <row r="20" spans="1:8">
      <c r="A20" t="s">
        <v>48</v>
      </c>
      <c r="B20">
        <v>57</v>
      </c>
    </row>
    <row r="21" spans="1:8">
      <c r="A21" t="s">
        <v>103</v>
      </c>
      <c r="B21">
        <v>54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1"/>
  <sheetViews>
    <sheetView workbookViewId="0"/>
  </sheetViews>
  <sheetFormatPr defaultRowHeight="13.8"/>
  <cols>
    <col min="1" max="1" width="22" customWidth="1"/>
    <col min="2" max="2" width="40" customWidth="1"/>
    <col min="3" max="4" width="48" customWidth="1"/>
  </cols>
  <sheetData>
    <row r="1" spans="1:4" ht="22.35" customHeight="1">
      <c r="A1" s="5" t="s">
        <v>2600</v>
      </c>
      <c r="B1" s="4"/>
      <c r="C1" s="4"/>
      <c r="D1" s="4"/>
    </row>
    <row r="3" spans="1:4">
      <c r="A3" s="1" t="s">
        <v>2601</v>
      </c>
      <c r="B3" s="1" t="s">
        <v>2586</v>
      </c>
      <c r="C3" s="1" t="s">
        <v>2602</v>
      </c>
      <c r="D3" s="1" t="s">
        <v>2603</v>
      </c>
    </row>
    <row r="4" spans="1:4">
      <c r="A4" t="s">
        <v>2604</v>
      </c>
      <c r="B4" t="s">
        <v>2605</v>
      </c>
      <c r="C4" t="s">
        <v>2606</v>
      </c>
      <c r="D4" t="s">
        <v>2607</v>
      </c>
    </row>
    <row r="5" spans="1:4">
      <c r="A5" t="s">
        <v>2608</v>
      </c>
      <c r="B5" t="s">
        <v>2609</v>
      </c>
      <c r="C5" t="s">
        <v>2610</v>
      </c>
      <c r="D5" t="s">
        <v>2611</v>
      </c>
    </row>
    <row r="6" spans="1:4">
      <c r="A6" t="s">
        <v>2574</v>
      </c>
      <c r="B6" t="s">
        <v>2612</v>
      </c>
      <c r="C6" t="s">
        <v>2613</v>
      </c>
      <c r="D6" t="s">
        <v>2614</v>
      </c>
    </row>
    <row r="7" spans="1:4">
      <c r="A7" t="s">
        <v>31</v>
      </c>
      <c r="B7" t="s">
        <v>2615</v>
      </c>
      <c r="C7" t="s">
        <v>2616</v>
      </c>
      <c r="D7" t="s">
        <v>2617</v>
      </c>
    </row>
    <row r="8" spans="1:4">
      <c r="A8" t="s">
        <v>2567</v>
      </c>
      <c r="B8" t="s">
        <v>2618</v>
      </c>
      <c r="C8" t="s">
        <v>2619</v>
      </c>
      <c r="D8" t="s">
        <v>2620</v>
      </c>
    </row>
    <row r="9" spans="1:4">
      <c r="A9" t="s">
        <v>2621</v>
      </c>
      <c r="B9" t="s">
        <v>2622</v>
      </c>
      <c r="C9" t="s">
        <v>2623</v>
      </c>
      <c r="D9" t="s">
        <v>2624</v>
      </c>
    </row>
    <row r="10" spans="1:4">
      <c r="A10" t="s">
        <v>2625</v>
      </c>
      <c r="B10" t="s">
        <v>2626</v>
      </c>
      <c r="C10" t="s">
        <v>2627</v>
      </c>
      <c r="D10" t="s">
        <v>2628</v>
      </c>
    </row>
    <row r="11" spans="1:4">
      <c r="A11" t="s">
        <v>2629</v>
      </c>
      <c r="B11" t="s">
        <v>2630</v>
      </c>
      <c r="C11" t="s">
        <v>2631</v>
      </c>
      <c r="D11" t="s">
        <v>2632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Raw_Dispute_Data</vt:lpstr>
      <vt:lpstr>Data_Dictionary</vt:lpstr>
      <vt:lpstr>Cleaned_Data</vt:lpstr>
      <vt:lpstr>Pivot_Dispute_Type</vt:lpstr>
      <vt:lpstr>Pivot_SLA</vt:lpstr>
      <vt:lpstr>Pivot_Payment_Method</vt:lpstr>
      <vt:lpstr>Pivot_Root_Cause</vt:lpstr>
      <vt:lpstr>Pivot_Refund</vt:lpstr>
      <vt:lpstr>Pivot_Risk</vt:lpstr>
      <vt:lpstr>Dashboard</vt:lpstr>
      <vt:lpstr>Key_Insights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 Thakur (Student)</cp:lastModifiedBy>
  <dcterms:modified xsi:type="dcterms:W3CDTF">2026-06-18T12:21:18Z</dcterms:modified>
</cp:coreProperties>
</file>