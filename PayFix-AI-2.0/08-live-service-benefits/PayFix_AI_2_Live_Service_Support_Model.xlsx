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9ae8f2305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Ownership" sheetId="1" r:id="R33c9a5471b354e27"/>
    <x:sheet xmlns:r="http://schemas.openxmlformats.org/officeDocument/2006/relationships" name="Monitoring_Catalogue" sheetId="2" r:id="Rccabfeb3a79e4267"/>
    <x:sheet xmlns:r="http://schemas.openxmlformats.org/officeDocument/2006/relationships" name="Incident_Problem" sheetId="3" r:id="R16d6cf5639e84e94"/>
    <x:sheet xmlns:r="http://schemas.openxmlformats.org/officeDocument/2006/relationships" name="Support_Escalation" sheetId="4" r:id="R71404231fdf649a4"/>
    <x:sheet xmlns:r="http://schemas.openxmlformats.org/officeDocument/2006/relationships" name="Runbook_Resilience" sheetId="5" r:id="R04747d709ff64e32"/>
    <x:sheet xmlns:r="http://schemas.openxmlformats.org/officeDocument/2006/relationships" name="Handover_Readiness" sheetId="6" r:id="R51030cec98f24ecc"/>
    <x:sheet xmlns:r="http://schemas.openxmlformats.org/officeDocument/2006/relationships" name="Live_Service_Summary" sheetId="7" r:id="Rf3cf3cedc18b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color rgb="FF9C0006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2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3" fillId="2" borderId="24" xfId="0" applyNumberFormat="1" applyFont="1" applyFill="1" applyBorder="1" applyAlignment="1">
      <x:alignment horizontal="center" vertical="center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/>
    </x:xf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9bf04fd464923" /><Relationship Type="http://schemas.openxmlformats.org/officeDocument/2006/relationships/theme" Target="/xl/theme/theme1.xml" Id="Rebb574131e834df8" /><Relationship Type="http://schemas.openxmlformats.org/officeDocument/2006/relationships/sharedStrings" Target="/xl/sharedStrings.xml" Id="R8ae3dcbd8efa4562" /><Relationship Type="http://schemas.openxmlformats.org/officeDocument/2006/relationships/worksheet" Target="/xl/worksheets/sheet1.xml" Id="R33c9a5471b354e27" /><Relationship Type="http://schemas.openxmlformats.org/officeDocument/2006/relationships/worksheet" Target="/xl/worksheets/sheet2.xml" Id="Rccabfeb3a79e4267" /><Relationship Type="http://schemas.openxmlformats.org/officeDocument/2006/relationships/worksheet" Target="/xl/worksheets/sheet3.xml" Id="R16d6cf5639e84e94" /><Relationship Type="http://schemas.openxmlformats.org/officeDocument/2006/relationships/worksheet" Target="/xl/worksheets/sheet4.xml" Id="R71404231fdf649a4" /><Relationship Type="http://schemas.openxmlformats.org/officeDocument/2006/relationships/worksheet" Target="/xl/worksheets/sheet5.xml" Id="R04747d709ff64e32" /><Relationship Type="http://schemas.openxmlformats.org/officeDocument/2006/relationships/worksheet" Target="/xl/worksheets/sheet6.xml" Id="R51030cec98f24ecc" /><Relationship Type="http://schemas.openxmlformats.org/officeDocument/2006/relationships/worksheet" Target="/xl/worksheets/sheet7.xml" Id="Rf3cf3cedc18b48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cca5786c3143a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4bc62c9148b45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Operational Handover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'Handover_Readiness'!$K$5:$K$8</c:f>
              <c:strCache>
                <c:ptCount val="0"/>
              </c:strCache>
            </c:strRef>
          </c:cat>
          <c:val>
            <c:numRef>
              <c:f>'Handover_Readiness'!$L$5:$L$8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Live-Service Design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'Live_Service_Summary'!$A$10:$A$16</c:f>
              <c:strCache>
                <c:ptCount val="0"/>
              </c:strCache>
            </c:strRef>
          </c:cat>
          <c:val>
            <c:numRef>
              <c:f>'Live_Service_Summary'!$B$10:$B$16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cca5786c3143a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bc62c9148b459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4646af528a9e40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152c20e81406401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38" hidden="0" customWidth="1"/>
    <x:col min="5" max="5" width="28" hidden="0" customWidth="1"/>
    <x:col min="6" max="6" width="30" hidden="0" customWidth="1"/>
    <x:col min="7" max="7" width="24" hidden="0" customWidth="1"/>
    <x:col min="8" max="8" width="44" hidden="0" customWidth="1"/>
    <x:col min="9" max="9" width="38" hidden="0" customWidth="1"/>
  </x:cols>
  <x:sheetData>
    <x:row r="1" ht="30" customHeight="1">
      <x:c r="A1" s="5" t="str">
        <x:v>PayFix AI 2.0 — Live Service Ownership Model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Design position only: no live production service or support organisation is being claimed. The roles below define the ownership model that would be required before operational handover.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66" t="str">
        <x:v>Role / Function</x:v>
      </x:c>
      <x:c r="B4" s="67" t="str">
        <x:v>Primary Live-Service Responsibility</x:v>
      </x:c>
      <x:c r="C4" s="67" t="str">
        <x:v>Key Decisions / Authority</x:v>
      </x:c>
      <x:c r="D4" s="67" t="str">
        <x:v>Inputs / Evidence</x:v>
      </x:c>
      <x:c r="E4" s="67" t="str">
        <x:v>Escalates To</x:v>
      </x:c>
      <x:c r="F4" s="67" t="str">
        <x:v>Receives Escalation From</x:v>
      </x:c>
      <x:c r="G4" s="67" t="str">
        <x:v>Current Portfolio Position</x:v>
      </x:c>
      <x:c r="H4" s="67" t="str">
        <x:v>Required Before Live Service</x:v>
      </x:c>
      <x:c r="I4" s="68" t="str">
        <x:v>Notes</x:v>
      </x:c>
    </x:row>
    <x:row r="5">
      <x:c r="A5" s="69" t="str">
        <x:v>Service Owner</x:v>
      </x:c>
      <x:c r="B5" s="70" t="str">
        <x:v>Accountable for live-service health, service outcomes and operational governance.</x:v>
      </x:c>
      <x:c r="C5" s="70" t="str">
        <x:v>Accept operational risk within delegated authority; initiate service review; coordinate major service decisions.</x:v>
      </x:c>
      <x:c r="D5" s="70" t="str">
        <x:v>Monitoring, incidents, business KPIs, risk and support evidence.</x:v>
      </x:c>
      <x:c r="E5" s="70" t="str">
        <x:v>Business / Product Governance</x:v>
      </x:c>
      <x:c r="F5" s="70" t="str">
        <x:v>Operations, Support, Product</x:v>
      </x:c>
      <x:c r="G5" s="70" t="str">
        <x:v>Role Designed</x:v>
      </x:c>
      <x:c r="H5" s="70" t="str">
        <x:v>Nominate accountable service owner and confirm authority.</x:v>
      </x:c>
      <x:c r="I5" s="71" t="str">
        <x:v>Not claimed as an assigned production role.</x:v>
      </x:c>
    </x:row>
    <x:row r="6">
      <x:c r="A6" s="69" t="str">
        <x:v>Product Owner / Product Manager</x:v>
      </x:c>
      <x:c r="B6" s="70" t="str">
        <x:v>Own product priorities, business outcomes and prioritisation of fixes/improvements.</x:v>
      </x:c>
      <x:c r="C6" s="70" t="str">
        <x:v>Prioritise change backlog; decide business priority of defects/problems within governance.</x:v>
      </x:c>
      <x:c r="D6" s="70" t="str">
        <x:v>User/business feedback, incident/problem trends, KPI evidence.</x:v>
      </x:c>
      <x:c r="E6" s="70" t="str">
        <x:v>Service Owner / Business Governance</x:v>
      </x:c>
      <x:c r="F6" s="70" t="str">
        <x:v>Operations, Support, BA, Engineering</x:v>
      </x:c>
      <x:c r="G6" s="70" t="str">
        <x:v>Role Designed</x:v>
      </x:c>
      <x:c r="H6" s="70" t="str">
        <x:v>Confirm operational product ownership and change route.</x:v>
      </x:c>
      <x:c r="I6" s="71" t="str">
        <x:v>Separates product priority from technical incident coordination.</x:v>
      </x:c>
    </x:row>
    <x:row r="7">
      <x:c r="A7" s="69" t="str">
        <x:v>Operations / Service Desk</x:v>
      </x:c>
      <x:c r="B7" s="70" t="str">
        <x:v>Receive support contacts, record incidents/requests and perform agreed first-line actions.</x:v>
      </x:c>
      <x:c r="C7" s="70" t="str">
        <x:v>Categorise, route and execute approved runbook actions.</x:v>
      </x:c>
      <x:c r="D7" s="70" t="str">
        <x:v>User reports, monitoring alerts, known-error/runbook information.</x:v>
      </x:c>
      <x:c r="E7" s="70" t="str">
        <x:v>Incident Manager / Technical Support</x:v>
      </x:c>
      <x:c r="F7" s="70" t="str">
        <x:v>Users / Monitoring</x:v>
      </x:c>
      <x:c r="G7" s="70" t="str">
        <x:v>Role Designed</x:v>
      </x:c>
      <x:c r="H7" s="70" t="str">
        <x:v>Establish support channel, tooling, access and runbooks.</x:v>
      </x:c>
      <x:c r="I7" s="71" t="str">
        <x:v>No live service desk is claimed.</x:v>
      </x:c>
    </x:row>
    <x:row r="8">
      <x:c r="A8" s="69" t="str">
        <x:v>Incident Manager / Major Incident Lead</x:v>
      </x:c>
      <x:c r="B8" s="70" t="str">
        <x:v>Coordinate material incidents across teams and maintain decision/audit trail.</x:v>
      </x:c>
      <x:c r="C8" s="70" t="str">
        <x:v>Set coordination cadence, assign actions, escalate business/security/privacy concerns.</x:v>
      </x:c>
      <x:c r="D8" s="70" t="str">
        <x:v>Incident record, service impact, technical investigation and communications.</x:v>
      </x:c>
      <x:c r="E8" s="70" t="str">
        <x:v>Service Owner / Security / Business Governance</x:v>
      </x:c>
      <x:c r="F8" s="70" t="str">
        <x:v>Service Desk, Engineering, Monitoring</x:v>
      </x:c>
      <x:c r="G8" s="70" t="str">
        <x:v>Role Designed</x:v>
      </x:c>
      <x:c r="H8" s="70" t="str">
        <x:v>Define organisational incident authority and communications route.</x:v>
      </x:c>
      <x:c r="I8" s="71" t="str">
        <x:v>Exact severity/time targets remain organisation-specific.</x:v>
      </x:c>
    </x:row>
    <x:row r="9">
      <x:c r="A9" s="69" t="str">
        <x:v>Engineering / Technical Support</x:v>
      </x:c>
      <x:c r="B9" s="70" t="str">
        <x:v>Diagnose technical faults, integration failures and application defects.</x:v>
      </x:c>
      <x:c r="C9" s="70" t="str">
        <x:v>Apply approved technical remediation/change; support rollback/recovery.</x:v>
      </x:c>
      <x:c r="D9" s="70" t="str">
        <x:v>Logs, traces, deployment/configuration evidence, incident data.</x:v>
      </x:c>
      <x:c r="E9" s="70" t="str">
        <x:v>Incident Manager / Engineering Lead</x:v>
      </x:c>
      <x:c r="F9" s="70" t="str">
        <x:v>Service Desk / Operations</x:v>
      </x:c>
      <x:c r="G9" s="70" t="str">
        <x:v>Role Designed</x:v>
      </x:c>
      <x:c r="H9" s="70" t="str">
        <x:v>Assign support rota/on-call model and production access controls.</x:v>
      </x:c>
      <x:c r="I9" s="71" t="str">
        <x:v>No on-call coverage is invented.</x:v>
      </x:c>
    </x:row>
    <x:row r="10">
      <x:c r="A10" s="69" t="str">
        <x:v>Security</x:v>
      </x:c>
      <x:c r="B10" s="70" t="str">
        <x:v>Handle security events, privileged-access concerns and security incident investigation.</x:v>
      </x:c>
      <x:c r="C10" s="70" t="str">
        <x:v>Contain/restrict affected capability within authorised process; lead security escalation.</x:v>
      </x:c>
      <x:c r="D10" s="70" t="str">
        <x:v>Security alerts, audit logs, access records, vulnerability evidence.</x:v>
      </x:c>
      <x:c r="E10" s="70" t="str">
        <x:v>Security Governance / Incident Manager</x:v>
      </x:c>
      <x:c r="F10" s="70" t="str">
        <x:v>Operations, Engineering, Monitoring</x:v>
      </x:c>
      <x:c r="G10" s="70" t="str">
        <x:v>Role Designed</x:v>
      </x:c>
      <x:c r="H10" s="70" t="str">
        <x:v>Confirm security incident process and production monitoring.</x:v>
      </x:c>
      <x:c r="I10" s="71" t="str">
        <x:v>Step 32 controls remain implementation gates.</x:v>
      </x:c>
    </x:row>
    <x:row r="11">
      <x:c r="A11" s="69" t="str">
        <x:v>Privacy / Data Protection</x:v>
      </x:c>
      <x:c r="B11" s="70" t="str">
        <x:v>Assess privacy incidents, personal-data handling concerns and privacy risks.</x:v>
      </x:c>
      <x:c r="C11" s="70" t="str">
        <x:v>Advise/decide privacy response within organisational authority and legal obligations.</x:v>
      </x:c>
      <x:c r="D11" s="70" t="str">
        <x:v>Incident facts, data flows, affected records and risk assessment.</x:v>
      </x:c>
      <x:c r="E11" s="70" t="str">
        <x:v>DPO / Legal / Governance as applicable</x:v>
      </x:c>
      <x:c r="F11" s="70" t="str">
        <x:v>Incident Manager, Security, Product</x:v>
      </x:c>
      <x:c r="G11" s="70" t="str">
        <x:v>Role Designed</x:v>
      </x:c>
      <x:c r="H11" s="70" t="str">
        <x:v>Assign formal privacy responsibilities and notification process.</x:v>
      </x:c>
      <x:c r="I11" s="71" t="str">
        <x:v>No regulatory notification decision is fabricated.</x:v>
      </x:c>
    </x:row>
    <x:row r="12">
      <x:c r="A12" s="69" t="str">
        <x:v>Business Operations / Disputes Lead</x:v>
      </x:c>
      <x:c r="B12" s="70" t="str">
        <x:v>Own operational dispute process and business-impact decisions.</x:v>
      </x:c>
      <x:c r="C12" s="70" t="str">
        <x:v>Approve temporary business workaround or service restriction within authority.</x:v>
      </x:c>
      <x:c r="D12" s="70" t="str">
        <x:v>Case impact, queue state, customer impact and operational capacity.</x:v>
      </x:c>
      <x:c r="E12" s="70" t="str">
        <x:v>Service Owner / Product</x:v>
      </x:c>
      <x:c r="F12" s="70" t="str">
        <x:v>Operations, Support</x:v>
      </x:c>
      <x:c r="G12" s="70" t="str">
        <x:v>Role Designed</x:v>
      </x:c>
      <x:c r="H12" s="70" t="str">
        <x:v>Nominate operational business owner.</x:v>
      </x:c>
      <x:c r="I12" s="71" t="str">
        <x:v>Supports safe continuation during technical degradation.</x:v>
      </x:c>
    </x:row>
    <x:row r="13">
      <x:c r="A13" s="69" t="str">
        <x:v>Fraud / Complaints / Finance Specialists</x:v>
      </x:c>
      <x:c r="B13" s="70" t="str">
        <x:v>Handle domain-specific escalations requiring specialist authority.</x:v>
      </x:c>
      <x:c r="C13" s="70" t="str">
        <x:v>Act only within defined specialist authority and escalation route.</x:v>
      </x:c>
      <x:c r="D13" s="70" t="str">
        <x:v>Case/referral information and authorised evidence.</x:v>
      </x:c>
      <x:c r="E13" s="70" t="str">
        <x:v>Business Operations / Product</x:v>
      </x:c>
      <x:c r="F13" s="70" t="str">
        <x:v>Case handlers / Operations</x:v>
      </x:c>
      <x:c r="G13" s="70" t="str">
        <x:v>Role Designed</x:v>
      </x:c>
      <x:c r="H13" s="70" t="str">
        <x:v>Confirm operational specialist ownership and availability.</x:v>
      </x:c>
      <x:c r="I13" s="71" t="str">
        <x:v>AI does not replace specialist authority.</x:v>
      </x:c>
    </x:row>
    <x:row r="14">
      <x:c r="A14" s="69" t="str">
        <x:v>AI Service Owner — only if H3 approved</x:v>
      </x:c>
      <x:c r="B14" s="70" t="str">
        <x:v>Own operational use of approved AI pilot, evaluation, model/service changes and fallback.</x:v>
      </x:c>
      <x:c r="C14" s="70" t="str">
        <x:v>Pause/disable AI capability; coordinate re-evaluation and provider issue response.</x:v>
      </x:c>
      <x:c r="D14" s="70" t="str">
        <x:v>AI logs, reviewer dispositions, failure patterns, provider status.</x:v>
      </x:c>
      <x:c r="E14" s="70" t="str">
        <x:v>Product / Risk / Security / Privacy</x:v>
      </x:c>
      <x:c r="F14" s="70" t="str">
        <x:v>Operations, AI Reviewers, Engineering</x:v>
      </x:c>
      <x:c r="G14" s="70" t="str">
        <x:v>Conditional — H3 Not Approved</x:v>
      </x:c>
      <x:c r="H14" s="70" t="str">
        <x:v>Assign only if production H3 pilot is separately approved.</x:v>
      </x:c>
      <x:c r="I14" s="71" t="str">
        <x:v>H1/H2 must continue without this role/capability.</x:v>
      </x:c>
    </x:row>
    <x:row r="15">
      <x:c r="A15" s="72" t="str">
        <x:v>Business Analyst / Service Improvement</x:v>
      </x:c>
      <x:c r="B15" s="73" t="str">
        <x:v>Analyse recurring issues, service measures, user feedback and improvement opportunities.</x:v>
      </x:c>
      <x:c r="C15" s="73" t="str">
        <x:v>Recommend process/system improvements; maintain traceability of changes to needs/requirements.</x:v>
      </x:c>
      <x:c r="D15" s="73" t="str">
        <x:v>Problem records, monitoring trends, feedback, benefits/KPI data.</x:v>
      </x:c>
      <x:c r="E15" s="73" t="str">
        <x:v>Product / Service Owner</x:v>
      </x:c>
      <x:c r="F15" s="73" t="str">
        <x:v>Operations, Product, Users</x:v>
      </x:c>
      <x:c r="G15" s="73" t="str">
        <x:v>Role Designed</x:v>
      </x:c>
      <x:c r="H15" s="73" t="str">
        <x:v>Establish improvement cadence and evidence sources.</x:v>
      </x:c>
      <x:c r="I15" s="74" t="str">
        <x:v>Supports continual improvement rather than operational command.</x:v>
      </x:c>
    </x:row>
  </x:sheetData>
  <x:mergeCells>
    <x:mergeCell ref="A1:I1"/>
    <x:mergeCell ref="A2:I2"/>
  </x:mergeCells>
  <x:conditionalFormatting sqref="G5:G30">
    <x:cfRule type="expression" dxfId="0" priority="1">
      <x:formula>G5="Operational"</x:formula>
    </x:cfRule>
    <x:cfRule type="expression" dxfId="1" priority="2">
      <x:formula>G5="Role Designed"</x:formula>
    </x:cfRule>
    <x:cfRule type="expression" dxfId="2" priority="3">
      <x:formula>G5="Conditional — H3 Not Approved"</x:formula>
    </x:cfRule>
  </x:conditionalFormatting>
  <x:dataValidations count="1">
    <x:dataValidation type="list" sqref="G5:G30">
      <x:formula1>"Role Designed,Assigned,Operational,Conditional — H3 Not Approved"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42" hidden="0" customWidth="1"/>
    <x:col min="5" max="5" width="34" hidden="0" customWidth="1"/>
    <x:col min="6" max="6" width="28" hidden="0" customWidth="1"/>
    <x:col min="7" max="7" width="28" hidden="0" customWidth="1"/>
    <x:col min="8" max="8" width="42" hidden="0" customWidth="1"/>
    <x:col min="9" max="9" width="28" hidden="0" customWidth="1"/>
    <x:col min="10" max="10" width="25" hidden="0" customWidth="1"/>
  </x:cols>
  <x:sheetData>
    <x:row r="1">
      <x:c r="A1" s="5" t="str">
        <x:v>PayFix AI 2.0 — Live-Service Monitoring Catalogue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No production thresholds are invented. Each signal defines what to observe, why it matters and the action route; numeric thresholds/SLAs must be baselined and approved in a real service.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6" t="str">
        <x:v>Monitor ID</x:v>
      </x:c>
      <x:c r="B4" s="67" t="str">
        <x:v>Monitoring Domain</x:v>
      </x:c>
      <x:c r="C4" s="67" t="str">
        <x:v>Signal / Measure</x:v>
      </x:c>
      <x:c r="D4" s="67" t="str">
        <x:v>Why It Matters</x:v>
      </x:c>
      <x:c r="E4" s="67" t="str">
        <x:v>Data / Evidence Source</x:v>
      </x:c>
      <x:c r="F4" s="67" t="str">
        <x:v>Review Cadence / Trigger</x:v>
      </x:c>
      <x:c r="G4" s="67" t="str">
        <x:v>Threshold Position</x:v>
      </x:c>
      <x:c r="H4" s="67" t="str">
        <x:v>Response / Escalation</x:v>
      </x:c>
      <x:c r="I4" s="67" t="str">
        <x:v>Owner</x:v>
      </x:c>
      <x:c r="J4" s="68" t="str">
        <x:v>Current Status</x:v>
      </x:c>
    </x:row>
    <x:row r="5">
      <x:c r="A5" s="69" t="str">
        <x:v>MON-001</x:v>
      </x:c>
      <x:c r="B5" s="70" t="str">
        <x:v>Availability</x:v>
      </x:c>
      <x:c r="C5" s="70" t="str">
        <x:v>Core dispute service availability / successful access</x:v>
      </x:c>
      <x:c r="D5" s="70" t="str">
        <x:v>Detect inability to use the service.</x:v>
      </x:c>
      <x:c r="E5" s="70" t="str">
        <x:v>Application/platform health monitoring</x:v>
      </x:c>
      <x:c r="F5" s="70" t="str">
        <x:v>Continuous / alert-driven</x:v>
      </x:c>
      <x:c r="G5" s="70" t="str">
        <x:v>To be baselined and approved</x:v>
      </x:c>
      <x:c r="H5" s="70" t="str">
        <x:v>Investigate service health; escalate material outage.</x:v>
      </x:c>
      <x:c r="I5" s="70" t="str">
        <x:v>Operations / Engineering</x:v>
      </x:c>
      <x:c r="J5" s="71" t="str">
        <x:v>Design Defined</x:v>
      </x:c>
    </x:row>
    <x:row r="6">
      <x:c r="A6" s="69" t="str">
        <x:v>MON-002</x:v>
      </x:c>
      <x:c r="B6" s="70" t="str">
        <x:v>Case Journey</x:v>
      </x:c>
      <x:c r="C6" s="70" t="str">
        <x:v>Failed or blocked core workflow actions</x:v>
      </x:c>
      <x:c r="D6" s="70" t="str">
        <x:v>Detect failures in intake, evidence, ownership, referral, decision, approval, communication or closure.</x:v>
      </x:c>
      <x:c r="E6" s="70" t="str">
        <x:v>Application events / error logs</x:v>
      </x:c>
      <x:c r="F6" s="70" t="str">
        <x:v>Continuous + operational review</x:v>
      </x:c>
      <x:c r="G6" s="70" t="str">
        <x:v>To be baselined and approved</x:v>
      </x:c>
      <x:c r="H6" s="70" t="str">
        <x:v>Create incident where service behaviour is degraded.</x:v>
      </x:c>
      <x:c r="I6" s="70" t="str">
        <x:v>Operations / Product</x:v>
      </x:c>
      <x:c r="J6" s="71" t="str">
        <x:v>Design Defined</x:v>
      </x:c>
    </x:row>
    <x:row r="7">
      <x:c r="A7" s="69" t="str">
        <x:v>MON-003</x:v>
      </x:c>
      <x:c r="B7" s="70" t="str">
        <x:v>Integration</x:v>
      </x:c>
      <x:c r="C7" s="70" t="str">
        <x:v>Integration errors, timeouts or rejected exchanges</x:v>
      </x:c>
      <x:c r="D7" s="70" t="str">
        <x:v>Detect dependency/interface degradation.</x:v>
      </x:c>
      <x:c r="E7" s="70" t="str">
        <x:v>Integration logs / message status</x:v>
      </x:c>
      <x:c r="F7" s="70" t="str">
        <x:v>Continuous / alert-driven</x:v>
      </x:c>
      <x:c r="G7" s="70" t="str">
        <x:v>To be baselined and approved</x:v>
      </x:c>
      <x:c r="H7" s="70" t="str">
        <x:v>Use agreed fallback; escalate to integration owner.</x:v>
      </x:c>
      <x:c r="I7" s="70" t="str">
        <x:v>Engineering / Operations</x:v>
      </x:c>
      <x:c r="J7" s="71" t="str">
        <x:v>Design Defined</x:v>
      </x:c>
    </x:row>
    <x:row r="8">
      <x:c r="A8" s="69" t="str">
        <x:v>MON-004</x:v>
      </x:c>
      <x:c r="B8" s="70" t="str">
        <x:v>Queue / Workload</x:v>
      </x:c>
      <x:c r="C8" s="70" t="str">
        <x:v>Case backlog, ageing and ownership exceptions</x:v>
      </x:c>
      <x:c r="D8" s="70" t="str">
        <x:v>Identify operational pressure or work becoming stranded.</x:v>
      </x:c>
      <x:c r="E8" s="70" t="str">
        <x:v>Case/workflow data</x:v>
      </x:c>
      <x:c r="F8" s="70" t="str">
        <x:v>Regular operational review</x:v>
      </x:c>
      <x:c r="G8" s="70" t="str">
        <x:v>Business thresholds to be approved</x:v>
      </x:c>
      <x:c r="H8" s="70" t="str">
        <x:v>Operational triage; investigate process/system cause.</x:v>
      </x:c>
      <x:c r="I8" s="70" t="str">
        <x:v>Business Operations / Product</x:v>
      </x:c>
      <x:c r="J8" s="71" t="str">
        <x:v>Design Defined</x:v>
      </x:c>
    </x:row>
    <x:row r="9">
      <x:c r="A9" s="69" t="str">
        <x:v>MON-005</x:v>
      </x:c>
      <x:c r="B9" s="70" t="str">
        <x:v>SLA / Timeliness</x:v>
      </x:c>
      <x:c r="C9" s="70" t="str">
        <x:v>Cases approaching or exceeding approved service targets</x:v>
      </x:c>
      <x:c r="D9" s="70" t="str">
        <x:v>Support timely handling and prioritisation.</x:v>
      </x:c>
      <x:c r="E9" s="70" t="str">
        <x:v>Case timestamps / workflow state</x:v>
      </x:c>
      <x:c r="F9" s="70" t="str">
        <x:v>Regular operational review</x:v>
      </x:c>
      <x:c r="G9" s="70" t="str">
        <x:v>Target values not invented in portfolio</x:v>
      </x:c>
      <x:c r="H9" s="70" t="str">
        <x:v>Prioritise/triage according to approved business rules.</x:v>
      </x:c>
      <x:c r="I9" s="70" t="str">
        <x:v>Business Operations</x:v>
      </x:c>
      <x:c r="J9" s="71" t="str">
        <x:v>Design Defined</x:v>
      </x:c>
    </x:row>
    <x:row r="10">
      <x:c r="A10" s="69" t="str">
        <x:v>MON-006</x:v>
      </x:c>
      <x:c r="B10" s="70" t="str">
        <x:v>Evidence Handling</x:v>
      </x:c>
      <x:c r="C10" s="70" t="str">
        <x:v>Failed evidence upload/linking or orphan evidence</x:v>
      </x:c>
      <x:c r="D10" s="70" t="str">
        <x:v>Protect case completeness and evidence integrity.</x:v>
      </x:c>
      <x:c r="E10" s="70" t="str">
        <x:v>Evidence service / case linkage logs</x:v>
      </x:c>
      <x:c r="F10" s="70" t="str">
        <x:v>Alert + regular review</x:v>
      </x:c>
      <x:c r="G10" s="70" t="str">
        <x:v>To be baselined and approved</x:v>
      </x:c>
      <x:c r="H10" s="70" t="str">
        <x:v>Stop unsafe progression where evidence integrity is uncertain.</x:v>
      </x:c>
      <x:c r="I10" s="70" t="str">
        <x:v>Operations / Engineering</x:v>
      </x:c>
      <x:c r="J10" s="71" t="str">
        <x:v>Design Defined</x:v>
      </x:c>
    </x:row>
    <x:row r="11">
      <x:c r="A11" s="69" t="str">
        <x:v>MON-007</x:v>
      </x:c>
      <x:c r="B11" s="70" t="str">
        <x:v>Access Control</x:v>
      </x:c>
      <x:c r="C11" s="70" t="str">
        <x:v>Failed authentication, repeated access denials, privileged access anomalies</x:v>
      </x:c>
      <x:c r="D11" s="70" t="str">
        <x:v>Detect identity/access problems and potential misuse.</x:v>
      </x:c>
      <x:c r="E11" s="70" t="str">
        <x:v>Identity provider / security logs</x:v>
      </x:c>
      <x:c r="F11" s="70" t="str">
        <x:v>Continuous / security trigger</x:v>
      </x:c>
      <x:c r="G11" s="70" t="str">
        <x:v>Security thresholds to be approved</x:v>
      </x:c>
      <x:c r="H11" s="70" t="str">
        <x:v>Security investigation / access restriction as authorised.</x:v>
      </x:c>
      <x:c r="I11" s="70" t="str">
        <x:v>Security</x:v>
      </x:c>
      <x:c r="J11" s="71" t="str">
        <x:v>Design Defined</x:v>
      </x:c>
    </x:row>
    <x:row r="12">
      <x:c r="A12" s="69" t="str">
        <x:v>MON-008</x:v>
      </x:c>
      <x:c r="B12" s="70" t="str">
        <x:v>Audit Integrity</x:v>
      </x:c>
      <x:c r="C12" s="70" t="str">
        <x:v>Missing/failed audit events for material actions</x:v>
      </x:c>
      <x:c r="D12" s="70" t="str">
        <x:v>Maintain accountability and investigation capability.</x:v>
      </x:c>
      <x:c r="E12" s="70" t="str">
        <x:v>Audit pipeline / event validation</x:v>
      </x:c>
      <x:c r="F12" s="70" t="str">
        <x:v>Alert-driven + assurance review</x:v>
      </x:c>
      <x:c r="G12" s="70" t="str">
        <x:v>Expected event coverage to be defined</x:v>
      </x:c>
      <x:c r="H12" s="70" t="str">
        <x:v>Investigate before relying on affected process evidence.</x:v>
      </x:c>
      <x:c r="I12" s="70" t="str">
        <x:v>Security / Operations</x:v>
      </x:c>
      <x:c r="J12" s="71" t="str">
        <x:v>Design Defined</x:v>
      </x:c>
    </x:row>
    <x:row r="13">
      <x:c r="A13" s="69" t="str">
        <x:v>MON-009</x:v>
      </x:c>
      <x:c r="B13" s="70" t="str">
        <x:v>Data Integrity</x:v>
      </x:c>
      <x:c r="C13" s="70" t="str">
        <x:v>State inconsistencies, duplicate actions or reconciliation exceptions</x:v>
      </x:c>
      <x:c r="D13" s="70" t="str">
        <x:v>Protect authoritative business state.</x:v>
      </x:c>
      <x:c r="E13" s="70" t="str">
        <x:v>Application data checks / reconciliation</x:v>
      </x:c>
      <x:c r="F13" s="70" t="str">
        <x:v>Event-driven + scheduled review</x:v>
      </x:c>
      <x:c r="G13" s="70" t="str">
        <x:v>Rules to be defined from implementation</x:v>
      </x:c>
      <x:c r="H13" s="70" t="str">
        <x:v>Pause affected processing and reconcile safely.</x:v>
      </x:c>
      <x:c r="I13" s="70" t="str">
        <x:v>Product / Data / Engineering</x:v>
      </x:c>
      <x:c r="J13" s="71" t="str">
        <x:v>Design Defined</x:v>
      </x:c>
    </x:row>
    <x:row r="14">
      <x:c r="A14" s="69" t="str">
        <x:v>MON-010</x:v>
      </x:c>
      <x:c r="B14" s="70" t="str">
        <x:v>Customer Communication</x:v>
      </x:c>
      <x:c r="C14" s="70" t="str">
        <x:v>Failed/undelivered authorised communications</x:v>
      </x:c>
      <x:c r="D14" s="70" t="str">
        <x:v>Prevent customers being left without expected updates/outcomes.</x:v>
      </x:c>
      <x:c r="E14" s="70" t="str">
        <x:v>Messaging delivery status</x:v>
      </x:c>
      <x:c r="F14" s="70" t="str">
        <x:v>Regular + failure alert</x:v>
      </x:c>
      <x:c r="G14" s="70" t="str">
        <x:v>To be baselined and approved</x:v>
      </x:c>
      <x:c r="H14" s="70" t="str">
        <x:v>Retry via approved route / operational follow-up.</x:v>
      </x:c>
      <x:c r="I14" s="70" t="str">
        <x:v>Operations / Product</x:v>
      </x:c>
      <x:c r="J14" s="71" t="str">
        <x:v>Design Defined</x:v>
      </x:c>
    </x:row>
    <x:row r="15">
      <x:c r="A15" s="69" t="str">
        <x:v>MON-011</x:v>
      </x:c>
      <x:c r="B15" s="70" t="str">
        <x:v>Security</x:v>
      </x:c>
      <x:c r="C15" s="70" t="str">
        <x:v>Security events, vulnerabilities or suspicious behaviour</x:v>
      </x:c>
      <x:c r="D15" s="70" t="str">
        <x:v>Detect threats and control failures.</x:v>
      </x:c>
      <x:c r="E15" s="70" t="str">
        <x:v>Security tooling / logs / vulnerability process</x:v>
      </x:c>
      <x:c r="F15" s="70" t="str">
        <x:v>Continuous + scheduled assurance</x:v>
      </x:c>
      <x:c r="G15" s="70" t="str">
        <x:v>Security policy defines thresholds</x:v>
      </x:c>
      <x:c r="H15" s="70" t="str">
        <x:v>Initiate security incident/triage route.</x:v>
      </x:c>
      <x:c r="I15" s="70" t="str">
        <x:v>Security</x:v>
      </x:c>
      <x:c r="J15" s="71" t="str">
        <x:v>Design Defined</x:v>
      </x:c>
    </x:row>
    <x:row r="16">
      <x:c r="A16" s="69" t="str">
        <x:v>MON-012</x:v>
      </x:c>
      <x:c r="B16" s="70" t="str">
        <x:v>Privacy</x:v>
      </x:c>
      <x:c r="C16" s="70" t="str">
        <x:v>Potential inappropriate exposure or use of personal data</x:v>
      </x:c>
      <x:c r="D16" s="70" t="str">
        <x:v>Detect privacy-impacting service behaviour.</x:v>
      </x:c>
      <x:c r="E16" s="70" t="str">
        <x:v>Incidents, audit evidence, complaints, access logs</x:v>
      </x:c>
      <x:c r="F16" s="70" t="str">
        <x:v>Event-driven</x:v>
      </x:c>
      <x:c r="G16" s="70" t="str">
        <x:v>No numeric threshold required for material concern</x:v>
      </x:c>
      <x:c r="H16" s="70" t="str">
        <x:v>Escalate to Privacy/Security and contain where necessary.</x:v>
      </x:c>
      <x:c r="I16" s="70" t="str">
        <x:v>Privacy / Security</x:v>
      </x:c>
      <x:c r="J16" s="71" t="str">
        <x:v>Design Defined</x:v>
      </x:c>
    </x:row>
    <x:row r="17">
      <x:c r="A17" s="69" t="str">
        <x:v>MON-013</x:v>
      </x:c>
      <x:c r="B17" s="70" t="str">
        <x:v>Change / Release</x:v>
      </x:c>
      <x:c r="C17" s="70" t="str">
        <x:v>Error or support pattern after deployment/config change</x:v>
      </x:c>
      <x:c r="D17" s="70" t="str">
        <x:v>Identify change-induced degradation.</x:v>
      </x:c>
      <x:c r="E17" s="70" t="str">
        <x:v>Deployment record + incidents + monitoring</x:v>
      </x:c>
      <x:c r="F17" s="70" t="str">
        <x:v>After change / early-life support</x:v>
      </x:c>
      <x:c r="G17" s="70" t="str">
        <x:v>Release-specific checks to be approved</x:v>
      </x:c>
      <x:c r="H17" s="70" t="str">
        <x:v>Hold progression, rollback/remediate if needed.</x:v>
      </x:c>
      <x:c r="I17" s="70" t="str">
        <x:v>Release / Operations / Engineering</x:v>
      </x:c>
      <x:c r="J17" s="71" t="str">
        <x:v>Design Defined</x:v>
      </x:c>
    </x:row>
    <x:row r="18">
      <x:c r="A18" s="69" t="str">
        <x:v>MON-014</x:v>
      </x:c>
      <x:c r="B18" s="70" t="str">
        <x:v>AI Availability — H3 only</x:v>
      </x:c>
      <x:c r="C18" s="70" t="str">
        <x:v>AI service unavailable/timeouts</x:v>
      </x:c>
      <x:c r="D18" s="70" t="str">
        <x:v>Ensure AI failure does not block core service.</x:v>
      </x:c>
      <x:c r="E18" s="70" t="str">
        <x:v>AI service integration logs</x:v>
      </x:c>
      <x:c r="F18" s="70" t="str">
        <x:v>Alert-driven</x:v>
      </x:c>
      <x:c r="G18" s="70" t="str">
        <x:v>To be baselined if H3 approved</x:v>
      </x:c>
      <x:c r="H18" s="70" t="str">
        <x:v>Use non-AI fallback; investigate provider/service.</x:v>
      </x:c>
      <x:c r="I18" s="70" t="str">
        <x:v>AI Owner / Engineering</x:v>
      </x:c>
      <x:c r="J18" s="71" t="str">
        <x:v>Conditional — H3 Not Approved</x:v>
      </x:c>
    </x:row>
    <x:row r="19">
      <x:c r="A19" s="69" t="str">
        <x:v>MON-015</x:v>
      </x:c>
      <x:c r="B19" s="70" t="str">
        <x:v>AI Quality — H3 only</x:v>
      </x:c>
      <x:c r="C19" s="70" t="str">
        <x:v>Reviewer Correct/Reject/Disregard patterns and material failure themes</x:v>
      </x:c>
      <x:c r="D19" s="70" t="str">
        <x:v>Identify degradation or unsafe/unhelpful output.</x:v>
      </x:c>
      <x:c r="E19" s="70" t="str">
        <x:v>Human-review dispositions / evaluation records</x:v>
      </x:c>
      <x:c r="F19" s="70" t="str">
        <x:v>Periodic + event-driven concern</x:v>
      </x:c>
      <x:c r="G19" s="70" t="str">
        <x:v>No arbitrary acceptance threshold in portfolio</x:v>
      </x:c>
      <x:c r="H19" s="70" t="str">
        <x:v>Pause/review AI use where material concerns emerge.</x:v>
      </x:c>
      <x:c r="I19" s="70" t="str">
        <x:v>AI Owner / Product / Risk</x:v>
      </x:c>
      <x:c r="J19" s="71" t="str">
        <x:v>Conditional — H3 Not Approved</x:v>
      </x:c>
    </x:row>
    <x:row r="20">
      <x:c r="A20" s="69" t="str">
        <x:v>MON-016</x:v>
      </x:c>
      <x:c r="B20" s="70" t="str">
        <x:v>AI Scope / Authority — H3 only</x:v>
      </x:c>
      <x:c r="C20" s="70" t="str">
        <x:v>Attempted AI use outside approved summary scope or direct authoritative action</x:v>
      </x:c>
      <x:c r="D20" s="70" t="str">
        <x:v>Detect control-boundary breach.</x:v>
      </x:c>
      <x:c r="E20" s="70" t="str">
        <x:v>Application/audit logs</x:v>
      </x:c>
      <x:c r="F20" s="70" t="str">
        <x:v>Event-driven</x:v>
      </x:c>
      <x:c r="G20" s="70" t="str">
        <x:v>Any confirmed authority bypass is material</x:v>
      </x:c>
      <x:c r="H20" s="70" t="str">
        <x:v>Disable affected AI path and investigate.</x:v>
      </x:c>
      <x:c r="I20" s="70" t="str">
        <x:v>Security / AI Owner / Product</x:v>
      </x:c>
      <x:c r="J20" s="71" t="str">
        <x:v>Conditional — H3 Not Approved</x:v>
      </x:c>
    </x:row>
    <x:row r="21">
      <x:c r="A21" s="69" t="str">
        <x:v>MON-017</x:v>
      </x:c>
      <x:c r="B21" s="70" t="str">
        <x:v>Support Demand</x:v>
      </x:c>
      <x:c r="C21" s="70" t="str">
        <x:v>Volume and themes of user support contacts</x:v>
      </x:c>
      <x:c r="D21" s="70" t="str">
        <x:v>Identify usability/process/service problems.</x:v>
      </x:c>
      <x:c r="E21" s="70" t="str">
        <x:v>Service desk / support records</x:v>
      </x:c>
      <x:c r="F21" s="70" t="str">
        <x:v>Periodic trend review</x:v>
      </x:c>
      <x:c r="G21" s="70" t="str">
        <x:v>Baseline after real use</x:v>
      </x:c>
      <x:c r="H21" s="70" t="str">
        <x:v>Feed problem management and service improvement.</x:v>
      </x:c>
      <x:c r="I21" s="70" t="str">
        <x:v>Operations / BA / Product</x:v>
      </x:c>
      <x:c r="J21" s="71" t="str">
        <x:v>Design Defined</x:v>
      </x:c>
    </x:row>
    <x:row r="22">
      <x:c r="A22" s="72" t="str">
        <x:v>MON-018</x:v>
      </x:c>
      <x:c r="B22" s="73" t="str">
        <x:v>Business Outcome</x:v>
      </x:c>
      <x:c r="C22" s="73" t="str">
        <x:v>Resolution time, rework, handoffs, customer contacts, escalations and complaint indicators</x:v>
      </x:c>
      <x:c r="D22" s="73" t="str">
        <x:v>Assess whether the service improves intended outcomes.</x:v>
      </x:c>
      <x:c r="E22" s="73" t="str">
        <x:v>Operational analytics</x:v>
      </x:c>
      <x:c r="F22" s="73" t="str">
        <x:v>Periodic benefits/service review</x:v>
      </x:c>
      <x:c r="G22" s="73" t="str">
        <x:v>Targets defined in Step 35 after governance</x:v>
      </x:c>
      <x:c r="H22" s="73" t="str">
        <x:v>Investigate adverse trends and prioritise improvement.</x:v>
      </x:c>
      <x:c r="I22" s="73" t="str">
        <x:v>Product / BA / Service Owner</x:v>
      </x:c>
      <x:c r="J22" s="74" t="str">
        <x:v>Design Defined</x:v>
      </x:c>
    </x:row>
  </x:sheetData>
  <x:mergeCells>
    <x:mergeCell ref="A1:J1"/>
    <x:mergeCell ref="A2:J2"/>
  </x:mergeCells>
  <x:conditionalFormatting sqref="J5:J40">
    <x:cfRule type="expression" dxfId="3" priority="1">
      <x:formula>J5="Operational"</x:formula>
    </x:cfRule>
    <x:cfRule type="expression" dxfId="4" priority="2">
      <x:formula>J5="Design Defined"</x:formula>
    </x:cfRule>
    <x:cfRule type="expression" dxfId="5" priority="3">
      <x:formula>J5="Conditional — H3 Not Approved"</x:formula>
    </x:cfRule>
  </x:conditionalFormatting>
  <x:dataValidations count="1">
    <x:dataValidation type="list" sqref="J5:J40">
      <x:formula1>"Design Defined,Implemented,Operational,Conditional — H3 Not Approved"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2" hidden="0" customWidth="1"/>
    <x:col min="4" max="4" width="28" hidden="0" customWidth="1"/>
    <x:col min="5" max="5" width="38" hidden="0" customWidth="1"/>
    <x:col min="6" max="6" width="14" hidden="0" customWidth="1"/>
    <x:col min="7" max="7" width="18" hidden="0" customWidth="1"/>
    <x:col min="8" max="8" width="22" hidden="0" customWidth="1"/>
    <x:col min="9" max="9" width="38" hidden="0" customWidth="1"/>
    <x:col min="10" max="10" width="24" hidden="0" customWidth="1"/>
    <x:col min="11" max="11" width="18" hidden="0" customWidth="1"/>
    <x:col min="12" max="12" width="30" hidden="0" customWidth="1"/>
    <x:col min="13" max="13" width="38" hidden="0" customWidth="1"/>
  </x:cols>
  <x:sheetData>
    <x:row r="1">
      <x:c r="A1" s="5" t="str">
        <x:v>PayFix AI 2.0 — Incident and Problem Management Design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No production incidents/problems are fabricated. The registers below define the fields and workflow that would be used once a real live service exists.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33" t="str">
        <x:v>Incident Register — intentionally empty until an observed live-service incident exists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</x:row>
    <x:row r="5">
      <x:c r="A5" s="84" t="str">
        <x:v>Incident ID</x:v>
      </x:c>
      <x:c r="B5" s="85" t="str">
        <x:v>Reported Date/Time</x:v>
      </x:c>
      <x:c r="C5" s="85" t="str">
        <x:v>Detected By</x:v>
      </x:c>
      <x:c r="D5" s="85" t="str">
        <x:v>Service / Journey</x:v>
      </x:c>
      <x:c r="E5" s="85" t="str">
        <x:v>Impact Summary</x:v>
      </x:c>
      <x:c r="F5" s="85" t="str">
        <x:v>Severity</x:v>
      </x:c>
      <x:c r="G5" s="85" t="str">
        <x:v>Current Status</x:v>
      </x:c>
      <x:c r="H5" s="85" t="str">
        <x:v>Incident Lead</x:v>
      </x:c>
      <x:c r="I5" s="85" t="str">
        <x:v>Containment / Workaround</x:v>
      </x:c>
      <x:c r="J5" s="85" t="str">
        <x:v>Related Change / Release</x:v>
      </x:c>
      <x:c r="K5" s="85" t="str">
        <x:v>Problem Candidate?</x:v>
      </x:c>
      <x:c r="L5" s="85" t="str">
        <x:v>Evidence Reference</x:v>
      </x:c>
      <x:c r="M5" s="86" t="str">
        <x:v>Resolution / Closure</x:v>
      </x:c>
    </x:row>
    <x:row r="9">
      <x:c r="A9" s="33" t="str">
        <x:v>Problem Register — root-cause and recurring-issue management</x:v>
      </x:c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>
      <x:c r="A10" s="84" t="str">
        <x:v>Problem ID</x:v>
      </x:c>
      <x:c r="B10" s="85" t="str">
        <x:v>Related Incident IDs</x:v>
      </x:c>
      <x:c r="C10" s="85" t="str">
        <x:v>Problem Statement</x:v>
      </x:c>
      <x:c r="D10" s="85" t="str">
        <x:v>Observed Pattern / Evidence</x:v>
      </x:c>
      <x:c r="E10" s="85" t="str">
        <x:v>Known Cause?</x:v>
      </x:c>
      <x:c r="F10" s="85" t="str">
        <x:v>Workaround / Known Error</x:v>
      </x:c>
      <x:c r="G10" s="85" t="str">
        <x:v>Root Cause Analysis Status</x:v>
      </x:c>
      <x:c r="H10" s="85" t="str">
        <x:v>Permanent Improvement / Fix</x:v>
      </x:c>
      <x:c r="I10" s="85" t="str">
        <x:v>Owner</x:v>
      </x:c>
      <x:c r="J10" s="85" t="str">
        <x:v>Backlog / Change Reference</x:v>
      </x:c>
      <x:c r="K10" s="85" t="str">
        <x:v>Current Status</x:v>
      </x:c>
      <x:c r="L10" s="85" t="str">
        <x:v>Validation Evidence</x:v>
      </x:c>
      <x:c r="M10" s="86" t="str">
        <x:v>Lessons / Prevention</x:v>
      </x:c>
    </x:row>
    <x:row r="14">
      <x:c r="A14" s="39" t="str">
        <x:v>Workflow:
Incident detected → record impact/evidence → triage and contain → restore safe service → close incident when restoration/ownership criteria are met.
If the issue is recurring, systemic, high-impact or requires deeper root-cause work:
create/link Problem → analyse causes → define workaround/known error → prioritise permanent change → validate improvement → feed lessons into requirements, runbooks, controls and monitoring.
Incident restoration and Problem root-cause analysis are related but are not treated as the same activity.</x:v>
      </x:c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</x:row>
  </x:sheetData>
  <x:mergeCells>
    <x:mergeCell ref="A1:M1"/>
    <x:mergeCell ref="A2:M2"/>
    <x:mergeCell ref="A4:M4"/>
    <x:mergeCell ref="A9:M9"/>
    <x:mergeCell ref="A14:M18"/>
  </x:mergeCells>
  <x:dataValidations count="6">
    <x:dataValidation type="list" sqref="F6:F100">
      <x:formula1>"Critical,High,Medium,Low"</x:formula1>
    </x:dataValidation>
    <x:dataValidation type="list" sqref="G6:G100">
      <x:formula1>"Open,Investigating,Contained,Monitoring,Resolved,Closed"</x:formula1>
    </x:dataValidation>
    <x:dataValidation type="list" sqref="K6:K100">
      <x:formula1>"Yes,No,TBC"</x:formula1>
    </x:dataValidation>
    <x:dataValidation type="list" sqref="E11:E100">
      <x:formula1>"Yes,No,Under Investigation"</x:formula1>
    </x:dataValidation>
    <x:dataValidation type="list" sqref="G11:G100">
      <x:formula1>"Not Started,In Analysis,Cause Identified,Validated"</x:formula1>
    </x:dataValidation>
    <x:dataValidation type="list" sqref="K11:K100">
      <x:formula1>"Open,In Progress,Known Error,Resolved,Closed"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2" hidden="0" customWidth="1"/>
    <x:col min="4" max="4" width="40" hidden="0" customWidth="1"/>
    <x:col min="5" max="5" width="40" hidden="0" customWidth="1"/>
    <x:col min="6" max="6" width="40" hidden="0" customWidth="1"/>
    <x:col min="7" max="7" width="34" hidden="0" customWidth="1"/>
    <x:col min="8" max="8" width="42" hidden="0" customWidth="1"/>
    <x:col min="9" max="9" width="24" hidden="0" customWidth="1"/>
    <x:col min="10" max="10" width="36" hidden="0" customWidth="1"/>
  </x:cols>
  <x:sheetData>
    <x:row r="1">
      <x:c r="A1" s="5" t="str">
        <x:v>PayFix AI 2.0 — Support and Escalation Model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Support levels describe responsibility and routing, not guaranteed response times. Exact operating hours, targets and supplier commitments are organisation-specific and remain TBC.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6" t="str">
        <x:v>Support Level</x:v>
      </x:c>
      <x:c r="B4" s="67" t="str">
        <x:v>Typical Trigger / Request</x:v>
      </x:c>
      <x:c r="C4" s="67" t="str">
        <x:v>Primary Responsibility</x:v>
      </x:c>
      <x:c r="D4" s="67" t="str">
        <x:v>Permitted Actions</x:v>
      </x:c>
      <x:c r="E4" s="67" t="str">
        <x:v>Must Not Do</x:v>
      </x:c>
      <x:c r="F4" s="67" t="str">
        <x:v>Escalation Trigger</x:v>
      </x:c>
      <x:c r="G4" s="67" t="str">
        <x:v>Escalates To</x:v>
      </x:c>
      <x:c r="H4" s="67" t="str">
        <x:v>Information to Pass</x:v>
      </x:c>
      <x:c r="I4" s="67" t="str">
        <x:v>Current Status</x:v>
      </x:c>
      <x:c r="J4" s="68" t="str">
        <x:v>Notes</x:v>
      </x:c>
    </x:row>
    <x:row r="5">
      <x:c r="A5" s="69" t="str">
        <x:v>L0 — User Guidance</x:v>
      </x:c>
      <x:c r="B5" s="70" t="str">
        <x:v>How-to, known guidance, approved self-service information</x:v>
      </x:c>
      <x:c r="C5" s="70" t="str">
        <x:v>Knowledge base / user guidance</x:v>
      </x:c>
      <x:c r="D5" s="70" t="str">
        <x:v>Follow documented guidance and standard user steps.</x:v>
      </x:c>
      <x:c r="E5" s="70" t="str">
        <x:v>Bypass controls or invent workaround affecting authoritative state.</x:v>
      </x:c>
      <x:c r="F5" s="70" t="str">
        <x:v>Guidance insufficient or service behaviour appears incorrect.</x:v>
      </x:c>
      <x:c r="G5" s="70" t="str">
        <x:v>L1 Service Desk</x:v>
      </x:c>
      <x:c r="H5" s="70" t="str">
        <x:v>User, case/journey, issue description, screenshots where safe</x:v>
      </x:c>
      <x:c r="I5" s="70" t="str">
        <x:v>Designed</x:v>
      </x:c>
      <x:c r="J5" s="71" t="str">
        <x:v>Avoid customer-sensitive content in uncontrolled channels.</x:v>
      </x:c>
    </x:row>
    <x:row r="6">
      <x:c r="A6" s="69" t="str">
        <x:v>L1 — Service Desk / Operations</x:v>
      </x:c>
      <x:c r="B6" s="70" t="str">
        <x:v>User issue, access issue, basic service error, monitoring alert</x:v>
      </x:c>
      <x:c r="C6" s="70" t="str">
        <x:v>Operations / Service Desk</x:v>
      </x:c>
      <x:c r="D6" s="70" t="str">
        <x:v>Record incident/request, validate basics, use approved runbook, route/escalate.</x:v>
      </x:c>
      <x:c r="E6" s="70" t="str">
        <x:v>Make unauthorised data changes, security changes or business decisions.</x:v>
      </x:c>
      <x:c r="F6" s="70" t="str">
        <x:v>Material impact, repeat issue, technical investigation needed, security/privacy concern.</x:v>
      </x:c>
      <x:c r="G6" s="70" t="str">
        <x:v>L2 Technical / Specialist or Incident Lead</x:v>
      </x:c>
      <x:c r="H6" s="70" t="str">
        <x:v>Impact, timing, steps, evidence, affected journey, actions already taken</x:v>
      </x:c>
      <x:c r="I6" s="70" t="str">
        <x:v>Designed</x:v>
      </x:c>
      <x:c r="J6" s="71" t="str">
        <x:v>Every escalation should preserve traceability.</x:v>
      </x:c>
    </x:row>
    <x:row r="7">
      <x:c r="A7" s="69" t="str">
        <x:v>L2 — Technical / Functional Support</x:v>
      </x:c>
      <x:c r="B7" s="70" t="str">
        <x:v>Application/integration faults, specialist operational issues</x:v>
      </x:c>
      <x:c r="C7" s="70" t="str">
        <x:v>Engineering / Functional Specialists</x:v>
      </x:c>
      <x:c r="D7" s="70" t="str">
        <x:v>Diagnose, reproduce, apply approved support action, propose fix/workaround.</x:v>
      </x:c>
      <x:c r="E7" s="70" t="str">
        <x:v>Deploy uncontrolled change or override authority model.</x:v>
      </x:c>
      <x:c r="F7" s="70" t="str">
        <x:v>Cross-service impact, unresolved material incident, privileged/security concern.</x:v>
      </x:c>
      <x:c r="G7" s="70" t="str">
        <x:v>L3 Engineering / Incident Manager / Security</x:v>
      </x:c>
      <x:c r="H7" s="70" t="str">
        <x:v>Logs, traces, configuration/change context, reproduction evidence</x:v>
      </x:c>
      <x:c r="I7" s="70" t="str">
        <x:v>Designed</x:v>
      </x:c>
      <x:c r="J7" s="71" t="str">
        <x:v>Production access must be least privilege.</x:v>
      </x:c>
    </x:row>
    <x:row r="8">
      <x:c r="A8" s="69" t="str">
        <x:v>L3 — Engineering / Platform</x:v>
      </x:c>
      <x:c r="B8" s="70" t="str">
        <x:v>Complex defects, infrastructure/configuration or integration failure</x:v>
      </x:c>
      <x:c r="C8" s="70" t="str">
        <x:v>Engineering / Platform</x:v>
      </x:c>
      <x:c r="D8" s="70" t="str">
        <x:v>Deep diagnosis, implement controlled remediation through change process.</x:v>
      </x:c>
      <x:c r="E8" s="70" t="str">
        <x:v>Apply unreviewed production change outside emergency process.</x:v>
      </x:c>
      <x:c r="F8" s="70" t="str">
        <x:v>Major incident, supplier dependency, security/privacy impact, business decision required.</x:v>
      </x:c>
      <x:c r="G8" s="70" t="str">
        <x:v>Incident Manager / Supplier / Security / Service Owner</x:v>
      </x:c>
      <x:c r="H8" s="70" t="str">
        <x:v>Technical findings, risk, recovery options, change impact</x:v>
      </x:c>
      <x:c r="I8" s="70" t="str">
        <x:v>Designed</x:v>
      </x:c>
      <x:c r="J8" s="71" t="str">
        <x:v>Rollback/change evidence required.</x:v>
      </x:c>
    </x:row>
    <x:row r="9">
      <x:c r="A9" s="69" t="str">
        <x:v>Specialist Business Escalation</x:v>
      </x:c>
      <x:c r="B9" s="70" t="str">
        <x:v>Fraud, complaint, approval, refund or policy authority required</x:v>
      </x:c>
      <x:c r="C9" s="70" t="str">
        <x:v>Authorised business specialist</x:v>
      </x:c>
      <x:c r="D9" s="70" t="str">
        <x:v>Make decision/action within delegated business authority.</x:v>
      </x:c>
      <x:c r="E9" s="70" t="str">
        <x:v>Transfer business authority to AI or technical support.</x:v>
      </x:c>
      <x:c r="F9" s="70" t="str">
        <x:v>Decision exceeds authority or cross-functional risk emerges.</x:v>
      </x:c>
      <x:c r="G9" s="70" t="str">
        <x:v>Business Operations / Product / Governance</x:v>
      </x:c>
      <x:c r="H9" s="70" t="str">
        <x:v>Case context, authority required, evidence and current status</x:v>
      </x:c>
      <x:c r="I9" s="70" t="str">
        <x:v>Designed</x:v>
      </x:c>
      <x:c r="J9" s="71" t="str">
        <x:v>Preserves role separation.</x:v>
      </x:c>
    </x:row>
    <x:row r="10">
      <x:c r="A10" s="69" t="str">
        <x:v>Security / Privacy Escalation</x:v>
      </x:c>
      <x:c r="B10" s="70" t="str">
        <x:v>Potential security incident, inappropriate access/data disclosure or privacy concern</x:v>
      </x:c>
      <x:c r="C10" s="70" t="str">
        <x:v>Security / Privacy</x:v>
      </x:c>
      <x:c r="D10" s="70" t="str">
        <x:v>Contain/investigate within authorised process; determine specialist escalation.</x:v>
      </x:c>
      <x:c r="E10" s="70" t="str">
        <x:v>Promise regulatory outcome or notify externally without authority.</x:v>
      </x:c>
      <x:c r="F10" s="70" t="str">
        <x:v>Material or reportable concern, unresolved exposure, legal decision required.</x:v>
      </x:c>
      <x:c r="G10" s="70" t="str">
        <x:v>Security Governance / Privacy / Legal / Incident Manager</x:v>
      </x:c>
      <x:c r="H10" s="70" t="str">
        <x:v>Facts, affected data/service, timeline, containment, evidence</x:v>
      </x:c>
      <x:c r="I10" s="70" t="str">
        <x:v>Designed</x:v>
      </x:c>
      <x:c r="J10" s="71" t="str">
        <x:v>No regulatory decision is pre-populated.</x:v>
      </x:c>
    </x:row>
    <x:row r="11">
      <x:c r="A11" s="72" t="str">
        <x:v>H3 AI Support — only if approved</x:v>
      </x:c>
      <x:c r="B11" s="73" t="str">
        <x:v>AI unavailable, unsafe/unhelpful output, provider issue, scope breach</x:v>
      </x:c>
      <x:c r="C11" s="73" t="str">
        <x:v>AI Owner / Engineering / Product / Risk</x:v>
      </x:c>
      <x:c r="D11" s="73" t="str">
        <x:v>Use non-AI fallback; pause AI capability; investigate context/config/provider.</x:v>
      </x:c>
      <x:c r="E11" s="73" t="str">
        <x:v>Allow AI to bypass human review or authoritative boundaries.</x:v>
      </x:c>
      <x:c r="F11" s="73" t="str">
        <x:v>Repeated/material quality concern, privacy/security concern, provider instability.</x:v>
      </x:c>
      <x:c r="G11" s="73" t="str">
        <x:v>Security / Privacy / Product Governance / Supplier</x:v>
      </x:c>
      <x:c r="H11" s="73" t="str">
        <x:v>Model/config version, scenario, context reference, output and human disposition</x:v>
      </x:c>
      <x:c r="I11" s="73" t="str">
        <x:v>Conditional — H3 Not Approved</x:v>
      </x:c>
      <x:c r="J11" s="74" t="str">
        <x:v>H1/H2 continue without AI.</x:v>
      </x:c>
    </x:row>
  </x:sheetData>
  <x:mergeCells>
    <x:mergeCell ref="A1:J1"/>
    <x:mergeCell ref="A2:J2"/>
  </x:mergeCells>
  <x:conditionalFormatting sqref="I5:I30">
    <x:cfRule type="expression" dxfId="6" priority="1">
      <x:formula>I5="Operational"</x:formula>
    </x:cfRule>
    <x:cfRule type="expression" dxfId="7" priority="2">
      <x:formula>I5="Designed"</x:formula>
    </x:cfRule>
    <x:cfRule type="expression" dxfId="8" priority="3">
      <x:formula>I5="Conditional — H3 Not Approved"</x:formula>
    </x:cfRule>
  </x:conditionalFormatting>
  <x:dataValidations count="1">
    <x:dataValidation type="list" sqref="I5:I30">
      <x:formula1>"Designed,Operational,Conditional — H3 Not Approved"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44" hidden="0" customWidth="1"/>
    <x:col min="5" max="5" width="44" hidden="0" customWidth="1"/>
    <x:col min="6" max="6" width="34" hidden="0" customWidth="1"/>
    <x:col min="7" max="7" width="42" hidden="0" customWidth="1"/>
    <x:col min="8" max="8" width="42" hidden="0" customWidth="1"/>
    <x:col min="9" max="9" width="24" hidden="0" customWidth="1"/>
    <x:col min="10" max="10" width="38" hidden="0" customWidth="1"/>
  </x:cols>
  <x:sheetData>
    <x:row r="1">
      <x:c r="A1" s="5" t="str">
        <x:v>PayFix AI 2.0 — Operational Runbook and Resilience Scenarios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Runbook actions are safe-response designs. They must be validated against the implemented architecture before being treated as operational instructions.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6" t="str">
        <x:v>Runbook ID</x:v>
      </x:c>
      <x:c r="B4" s="67" t="str">
        <x:v>Scenario</x:v>
      </x:c>
      <x:c r="C4" s="67" t="str">
        <x:v>Detection / Evidence</x:v>
      </x:c>
      <x:c r="D4" s="67" t="str">
        <x:v>Immediate Safe Action</x:v>
      </x:c>
      <x:c r="E4" s="67" t="str">
        <x:v>Service Continuity / Fallback</x:v>
      </x:c>
      <x:c r="F4" s="67" t="str">
        <x:v>Escalation</x:v>
      </x:c>
      <x:c r="G4" s="67" t="str">
        <x:v>Recovery / Verification</x:v>
      </x:c>
      <x:c r="H4" s="67" t="str">
        <x:v>Data / Audit Consideration</x:v>
      </x:c>
      <x:c r="I4" s="67" t="str">
        <x:v>Current Status</x:v>
      </x:c>
      <x:c r="J4" s="68" t="str">
        <x:v>Notes</x:v>
      </x:c>
    </x:row>
    <x:row r="5">
      <x:c r="A5" s="69" t="str">
        <x:v>RUN-001</x:v>
      </x:c>
      <x:c r="B5" s="70" t="str">
        <x:v>Core application unavailable</x:v>
      </x:c>
      <x:c r="C5" s="70" t="str">
        <x:v>Health monitoring, user reports, failed access</x:v>
      </x:c>
      <x:c r="D5" s="70" t="str">
        <x:v>Declare/record incident; assess scope; stop risky repeated actions.</x:v>
      </x:c>
      <x:c r="E5" s="70" t="str">
        <x:v>Use approved alternative/manual continuity route if one exists; communicate affected scope.</x:v>
      </x:c>
      <x:c r="F5" s="70" t="str">
        <x:v>Operations → Engineering → Incident Lead</x:v>
      </x:c>
      <x:c r="G5" s="70" t="str">
        <x:v>Restore service; perform critical journey checks before normalisation.</x:v>
      </x:c>
      <x:c r="H5" s="70" t="str">
        <x:v>Preserve incident timeline, failed-action evidence and change context.</x:v>
      </x:c>
      <x:c r="I5" s="70" t="str">
        <x:v>Design Defined</x:v>
      </x:c>
      <x:c r="J5" s="71" t="str">
        <x:v>Continuity route must be approved in real operations.</x:v>
      </x:c>
    </x:row>
    <x:row r="6">
      <x:c r="A6" s="69" t="str">
        <x:v>RUN-002</x:v>
      </x:c>
      <x:c r="B6" s="70" t="str">
        <x:v>Identity/access service issue</x:v>
      </x:c>
      <x:c r="C6" s="70" t="str">
        <x:v>Authentication failures or role/access anomalies</x:v>
      </x:c>
      <x:c r="D6" s="70" t="str">
        <x:v>Prevent unsafe access; verify whether issue is identity, role or application related.</x:v>
      </x:c>
      <x:c r="E6" s="70" t="str">
        <x:v>Use no access bypass. Escalate rather than weakening controls.</x:v>
      </x:c>
      <x:c r="F6" s="70" t="str">
        <x:v>Operations → Security / Engineering</x:v>
      </x:c>
      <x:c r="G6" s="70" t="str">
        <x:v>Restore identity service/config; verify intended roles and privileged access.</x:v>
      </x:c>
      <x:c r="H6" s="70" t="str">
        <x:v>Retain identity/security logs and any emergency access record.</x:v>
      </x:c>
      <x:c r="I6" s="70" t="str">
        <x:v>Design Defined</x:v>
      </x:c>
      <x:c r="J6" s="71" t="str">
        <x:v>Least privilege remains in force during incident.</x:v>
      </x:c>
    </x:row>
    <x:row r="7">
      <x:c r="A7" s="69" t="str">
        <x:v>RUN-003</x:v>
      </x:c>
      <x:c r="B7" s="70" t="str">
        <x:v>External/internal integration unavailable</x:v>
      </x:c>
      <x:c r="C7" s="70" t="str">
        <x:v>Timeouts, error codes, undelivered exchanges</x:v>
      </x:c>
      <x:c r="D7" s="70" t="str">
        <x:v>Stop unsafe repeated actions; identify affected journey/integration.</x:v>
      </x:c>
      <x:c r="E7" s="70" t="str">
        <x:v>Use approved queue/manual/deterministic fallback where designed.</x:v>
      </x:c>
      <x:c r="F7" s="70" t="str">
        <x:v>Operations → Integration / Engineering</x:v>
      </x:c>
      <x:c r="G7" s="70" t="str">
        <x:v>Confirm dependency recovery; reconcile queued/failed messages/actions.</x:v>
      </x:c>
      <x:c r="H7" s="70" t="str">
        <x:v>Avoid duplicates; retain correlation/reference IDs.</x:v>
      </x:c>
      <x:c r="I7" s="70" t="str">
        <x:v>Design Defined</x:v>
      </x:c>
      <x:c r="J7" s="71" t="str">
        <x:v>Do not invent retries that implementation does not support.</x:v>
      </x:c>
    </x:row>
    <x:row r="8">
      <x:c r="A8" s="69" t="str">
        <x:v>RUN-004</x:v>
      </x:c>
      <x:c r="B8" s="70" t="str">
        <x:v>Evidence upload/linking issue</x:v>
      </x:c>
      <x:c r="C8" s="70" t="str">
        <x:v>Upload failure, inaccessible document, wrong/orphan linkage</x:v>
      </x:c>
      <x:c r="D8" s="70" t="str">
        <x:v>Prevent decision progression where required evidence integrity is uncertain.</x:v>
      </x:c>
      <x:c r="E8" s="70" t="str">
        <x:v>Request/retry via approved route; manual verification where authorised.</x:v>
      </x:c>
      <x:c r="F8" s="70" t="str">
        <x:v>Operations → Engineering / Product</x:v>
      </x:c>
      <x:c r="G8" s="70" t="str">
        <x:v>Restore access/linkage; validate correct case association.</x:v>
      </x:c>
      <x:c r="H8" s="70" t="str">
        <x:v>Maintain provenance and avoid copying sensitive evidence unnecessarily.</x:v>
      </x:c>
      <x:c r="I8" s="70" t="str">
        <x:v>Design Defined</x:v>
      </x:c>
      <x:c r="J8" s="71" t="str">
        <x:v>Evidence integrity has business and privacy impact.</x:v>
      </x:c>
    </x:row>
    <x:row r="9">
      <x:c r="A9" s="69" t="str">
        <x:v>RUN-005</x:v>
      </x:c>
      <x:c r="B9" s="70" t="str">
        <x:v>Authoritative state/data inconsistency</x:v>
      </x:c>
      <x:c r="C9" s="70" t="str">
        <x:v>Reconciliation check, user report or conflicting state</x:v>
      </x:c>
      <x:c r="D9" s="70" t="str">
        <x:v>Pause affected action; identify affected records and last trusted state.</x:v>
      </x:c>
      <x:c r="E9" s="70" t="str">
        <x:v>Use controlled manual processing only after authority/data impact understood.</x:v>
      </x:c>
      <x:c r="F9" s="70" t="str">
        <x:v>Product / Data / Engineering</x:v>
      </x:c>
      <x:c r="G9" s="70" t="str">
        <x:v>Reconcile/correct through auditable controlled process; verify downstream effects.</x:v>
      </x:c>
      <x:c r="H9" s="70" t="str">
        <x:v>Never silently overwrite history; record correction rationale.</x:v>
      </x:c>
      <x:c r="I9" s="70" t="str">
        <x:v>Design Defined</x:v>
      </x:c>
      <x:c r="J9" s="71" t="str">
        <x:v>Software rollback may not reverse business state.</x:v>
      </x:c>
    </x:row>
    <x:row r="10">
      <x:c r="A10" s="69" t="str">
        <x:v>RUN-006</x:v>
      </x:c>
      <x:c r="B10" s="70" t="str">
        <x:v>Customer communication failure</x:v>
      </x:c>
      <x:c r="C10" s="70" t="str">
        <x:v>Delivery failure or missing authorised communication</x:v>
      </x:c>
      <x:c r="D10" s="70" t="str">
        <x:v>Record failed communication; prevent duplicate/conflicting messages.</x:v>
      </x:c>
      <x:c r="E10" s="70" t="str">
        <x:v>Use approved alternate channel/retry process.</x:v>
      </x:c>
      <x:c r="F10" s="70" t="str">
        <x:v>Operations / Product / Messaging Owner</x:v>
      </x:c>
      <x:c r="G10" s="70" t="str">
        <x:v>Confirm delivery or authorised follow-up outcome.</x:v>
      </x:c>
      <x:c r="H10" s="70" t="str">
        <x:v>Preserve communication status and attempts.</x:v>
      </x:c>
      <x:c r="I10" s="70" t="str">
        <x:v>Design Defined</x:v>
      </x:c>
      <x:c r="J10" s="71" t="str">
        <x:v>Content must remain authorised.</x:v>
      </x:c>
    </x:row>
    <x:row r="11">
      <x:c r="A11" s="69" t="str">
        <x:v>RUN-007</x:v>
      </x:c>
      <x:c r="B11" s="70" t="str">
        <x:v>Security or privacy incident</x:v>
      </x:c>
      <x:c r="C11" s="70" t="str">
        <x:v>Security alert, suspected unauthorised access/disclosure</x:v>
      </x:c>
      <x:c r="D11" s="70" t="str">
        <x:v>Contain affected access/capability and preserve evidence.</x:v>
      </x:c>
      <x:c r="E11" s="70" t="str">
        <x:v>Restrict affected service where necessary rather than continue unsafe processing.</x:v>
      </x:c>
      <x:c r="F11" s="70" t="str">
        <x:v>Security / Privacy / Incident Lead</x:v>
      </x:c>
      <x:c r="G11" s="70" t="str">
        <x:v>Follow authorised incident process; validate controls before restoration.</x:v>
      </x:c>
      <x:c r="H11" s="70" t="str">
        <x:v>Protect evidence; minimise further exposure.</x:v>
      </x:c>
      <x:c r="I11" s="70" t="str">
        <x:v>Design Defined</x:v>
      </x:c>
      <x:c r="J11" s="71" t="str">
        <x:v>External notification is an authorised governance decision.</x:v>
      </x:c>
    </x:row>
    <x:row r="12">
      <x:c r="A12" s="69" t="str">
        <x:v>RUN-008</x:v>
      </x:c>
      <x:c r="B12" s="70" t="str">
        <x:v>H2 automation produces incorrect action</x:v>
      </x:c>
      <x:c r="C12" s="70" t="str">
        <x:v>Unexpected automated state/route or repeated error</x:v>
      </x:c>
      <x:c r="D12" s="70" t="str">
        <x:v>Disable/bypass affected automation if supported; protect case state.</x:v>
      </x:c>
      <x:c r="E12" s="70" t="str">
        <x:v>Return to H1 human-controlled route.</x:v>
      </x:c>
      <x:c r="F12" s="70" t="str">
        <x:v>Product / Engineering / Operations</x:v>
      </x:c>
      <x:c r="G12" s="70" t="str">
        <x:v>Correct/reconcile affected cases; test before re-enable.</x:v>
      </x:c>
      <x:c r="H12" s="70" t="str">
        <x:v>Trace automated action, reversal/correction and approval.</x:v>
      </x:c>
      <x:c r="I12" s="70" t="str">
        <x:v>Design Defined</x:v>
      </x:c>
      <x:c r="J12" s="71" t="str">
        <x:v>H2 must remain separable from core H1.</x:v>
      </x:c>
    </x:row>
    <x:row r="13">
      <x:c r="A13" s="69" t="str">
        <x:v>RUN-009</x:v>
      </x:c>
      <x:c r="B13" s="70" t="str">
        <x:v>H3 AI service unavailable — if approved</x:v>
      </x:c>
      <x:c r="C13" s="70" t="str">
        <x:v>AI timeout/provider outage</x:v>
      </x:c>
      <x:c r="D13" s="70" t="str">
        <x:v>Record failure; do not block case journey.</x:v>
      </x:c>
      <x:c r="E13" s="70" t="str">
        <x:v>Continue without AI summary using human/manual process.</x:v>
      </x:c>
      <x:c r="F13" s="70" t="str">
        <x:v>Operations / AI Owner / Engineering</x:v>
      </x:c>
      <x:c r="G13" s="70" t="str">
        <x:v>Confirm service recovery; no automatic trust restoration without checks.</x:v>
      </x:c>
      <x:c r="H13" s="70" t="str">
        <x:v>Retain failure evidence without unnecessary case content.</x:v>
      </x:c>
      <x:c r="I13" s="70" t="str">
        <x:v>Prototype Evidence Available</x:v>
      </x:c>
      <x:c r="J13" s="71" t="str">
        <x:v>Aligned to Step 28 and UAT-20.</x:v>
      </x:c>
    </x:row>
    <x:row r="14">
      <x:c r="A14" s="69" t="str">
        <x:v>RUN-010</x:v>
      </x:c>
      <x:c r="B14" s="70" t="str">
        <x:v>H3 AI output unsafe/unusable — if approved</x:v>
      </x:c>
      <x:c r="C14" s="70" t="str">
        <x:v>Reviewer rejects/disregards or identifies unsupported content</x:v>
      </x:c>
      <x:c r="D14" s="70" t="str">
        <x:v>Do not use output for material action; select Reject/Disregard.</x:v>
      </x:c>
      <x:c r="E14" s="70" t="str">
        <x:v>Human reviews source evidence and continues without AI.</x:v>
      </x:c>
      <x:c r="F14" s="70" t="str">
        <x:v>AI Owner / Product / Risk; Security/Privacy if relevant</x:v>
      </x:c>
      <x:c r="G14" s="70" t="str">
        <x:v>Investigate pattern/context/model change; re-evaluate before restart if material.</x:v>
      </x:c>
      <x:c r="H14" s="70" t="str">
        <x:v>Record output reference, context/config version and human disposition.</x:v>
      </x:c>
      <x:c r="I14" s="70" t="str">
        <x:v>Prototype Evidence Available</x:v>
      </x:c>
      <x:c r="J14" s="71" t="str">
        <x:v>Human review remains mandatory.</x:v>
      </x:c>
    </x:row>
    <x:row r="15">
      <x:c r="A15" s="69" t="str">
        <x:v>RUN-011</x:v>
      </x:c>
      <x:c r="B15" s="70" t="str">
        <x:v>Recent release introduces degradation</x:v>
      </x:c>
      <x:c r="C15" s="70" t="str">
        <x:v>Early-life monitoring/incident trend after change</x:v>
      </x:c>
      <x:c r="D15" s="70" t="str">
        <x:v>Hold further rollout/change; assess rollback/remediation.</x:v>
      </x:c>
      <x:c r="E15" s="70" t="str">
        <x:v>Use Step 33 rollback/fallback route.</x:v>
      </x:c>
      <x:c r="F15" s="70" t="str">
        <x:v>Release / Engineering / Operations</x:v>
      </x:c>
      <x:c r="G15" s="70" t="str">
        <x:v>Restore stable state and perform agreed smoke checks.</x:v>
      </x:c>
      <x:c r="H15" s="70" t="str">
        <x:v>Link incident to release/change and affected records.</x:v>
      </x:c>
      <x:c r="I15" s="70" t="str">
        <x:v>Design Defined</x:v>
      </x:c>
      <x:c r="J15" s="71" t="str">
        <x:v>Supports controlled change learning.</x:v>
      </x:c>
    </x:row>
    <x:row r="16">
      <x:c r="A16" s="72" t="str">
        <x:v>RUN-012</x:v>
      </x:c>
      <x:c r="B16" s="73" t="str">
        <x:v>Monitoring/logging unavailable</x:v>
      </x:c>
      <x:c r="C16" s="73" t="str">
        <x:v>Gap in service/security observability</x:v>
      </x:c>
      <x:c r="D16" s="73" t="str">
        <x:v>Assess whether safe operation can continue given lost visibility.</x:v>
      </x:c>
      <x:c r="E16" s="73" t="str">
        <x:v>Restrict high-risk operations if monitoring/audit evidence is essential.</x:v>
      </x:c>
      <x:c r="F16" s="73" t="str">
        <x:v>Operations / Security / Engineering</x:v>
      </x:c>
      <x:c r="G16" s="73" t="str">
        <x:v>Restore telemetry; verify gap and reconcile evidence where possible.</x:v>
      </x:c>
      <x:c r="H16" s="73" t="str">
        <x:v>Record period of reduced visibility and affected assurance.</x:v>
      </x:c>
      <x:c r="I16" s="73" t="str">
        <x:v>Design Defined</x:v>
      </x:c>
      <x:c r="J16" s="74" t="str">
        <x:v>Loss of monitoring can itself be an operational risk.</x:v>
      </x:c>
    </x:row>
  </x:sheetData>
  <x:mergeCells>
    <x:mergeCell ref="A1:J1"/>
    <x:mergeCell ref="A2:J2"/>
  </x:mergeCells>
  <x:conditionalFormatting sqref="I5:I30">
    <x:cfRule type="expression" dxfId="9" priority="1">
      <x:formula>I5="Validated"</x:formula>
    </x:cfRule>
    <x:cfRule type="expression" dxfId="10" priority="2">
      <x:formula>I5="Prototype Evidence Available"</x:formula>
    </x:cfRule>
    <x:cfRule type="expression" dxfId="11" priority="3">
      <x:formula>I5="Design Defined"</x:formula>
    </x:cfRule>
  </x:conditionalFormatting>
  <x:dataValidations count="1">
    <x:dataValidation type="list" sqref="I5:I30">
      <x:formula1>"Design Defined,Prototype Evidence Available,Validated,Operational"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36" hidden="0" customWidth="1"/>
    <x:col min="5" max="5" width="44" hidden="0" customWidth="1"/>
    <x:col min="6" max="6" width="30" hidden="0" customWidth="1"/>
    <x:col min="7" max="7" width="15" hidden="0" customWidth="1"/>
    <x:col min="8" max="8" width="18" hidden="0" customWidth="1"/>
    <x:col min="9" max="9" width="38" hidden="0" customWidth="1"/>
    <x:col min="11" max="11" width="18" hidden="0" customWidth="1"/>
    <x:col min="12" max="12" width="12" hidden="0" customWidth="1"/>
  </x:cols>
  <x:sheetData>
    <x:row r="1">
      <x:c r="A1" s="5" t="str">
        <x:v>PayFix AI 2.0 — Operational Handover Readiness Checklist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Operational handover is not complete because there is no implemented live service. The checklist defines the evidence required before service ownership can be accepted.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33" t="str">
        <x:v>Overall Handover Position</x:v>
      </x:c>
      <x:c r="B4" s="45" t="str">
        <x:v>NOT READY FOR LIVE-SERVICE HANDOVER</x:v>
      </x:c>
      <x:c r="K4" s="21" t="str">
        <x:v>Handover Status</x:v>
      </x:c>
      <x:c r="L4" s="21" t="str">
        <x:v>Count</x:v>
      </x:c>
    </x:row>
    <x:row r="5">
      <x:c r="K5" s="33" t="str">
        <x:v>Design Complete</x:v>
      </x:c>
      <x:c r="L5" t="n">
        <x:f>COUNTIF(C7:C20,"Design Complete")</x:f>
        <x:v>3</x:v>
      </x:c>
    </x:row>
    <x:row r="6">
      <x:c r="A6" s="66" t="str">
        <x:v>Handover ID</x:v>
      </x:c>
      <x:c r="B6" s="67" t="str">
        <x:v>Handover Criterion</x:v>
      </x:c>
      <x:c r="C6" s="67" t="str">
        <x:v>Current Status</x:v>
      </x:c>
      <x:c r="D6" s="67" t="str">
        <x:v>Evidence / Basis</x:v>
      </x:c>
      <x:c r="E6" s="67" t="str">
        <x:v>Required Before Acceptance</x:v>
      </x:c>
      <x:c r="F6" s="67" t="str">
        <x:v>Owner / Approver</x:v>
      </x:c>
      <x:c r="G6" s="67" t="str">
        <x:v>Blocking?</x:v>
      </x:c>
      <x:c r="H6" s="67" t="str">
        <x:v>Related Step</x:v>
      </x:c>
      <x:c r="I6" s="68" t="str">
        <x:v>Notes</x:v>
      </x:c>
      <x:c r="K6" s="33" t="str">
        <x:v>Not Ready</x:v>
      </x:c>
      <x:c r="L6" t="n">
        <x:f>COUNTIF(C7:C20,"Not Ready")</x:f>
        <x:v>11</x:v>
      </x:c>
    </x:row>
    <x:row r="7">
      <x:c r="A7" s="69" t="str">
        <x:v>HOV-001</x:v>
      </x:c>
      <x:c r="B7" s="70" t="str">
        <x:v>Service scope, ownership and support boundaries agreed</x:v>
      </x:c>
      <x:c r="C7" s="70" t="str">
        <x:v>Design Complete</x:v>
      </x:c>
      <x:c r="D7" s="70" t="str">
        <x:v>Step 34 ownership/support model</x:v>
      </x:c>
      <x:c r="E7" s="70" t="str">
        <x:v>Nominate accountable live-service roles and confirm responsibilities.</x:v>
      </x:c>
      <x:c r="F7" s="70" t="str">
        <x:v>Service Owner / Product</x:v>
      </x:c>
      <x:c r="G7" s="70" t="str">
        <x:v>Yes</x:v>
      </x:c>
      <x:c r="H7" s="70" t="str">
        <x:v>Step 34</x:v>
      </x:c>
      <x:c r="I7" s="71" t="str">
        <x:v>Design evidence exists; assignment does not.</x:v>
      </x:c>
      <x:c r="K7" s="33" t="str">
        <x:v>Ready</x:v>
      </x:c>
      <x:c r="L7" t="n">
        <x:f>COUNTIF(C7:C20,"Ready")</x:f>
        <x:v>0</x:v>
      </x:c>
    </x:row>
    <x:row r="8">
      <x:c r="A8" s="69" t="str">
        <x:v>HOV-002</x:v>
      </x:c>
      <x:c r="B8" s="70" t="str">
        <x:v>Release implemented in target production environment</x:v>
      </x:c>
      <x:c r="C8" s="70" t="str">
        <x:v>Not Ready</x:v>
      </x:c>
      <x:c r="D8" s="70" t="str">
        <x:v>No production deployment</x:v>
      </x:c>
      <x:c r="E8" s="70" t="str">
        <x:v>Complete authorised Step 33 release.</x:v>
      </x:c>
      <x:c r="F8" s="70" t="str">
        <x:v>Release Authority / Engineering</x:v>
      </x:c>
      <x:c r="G8" s="70" t="str">
        <x:v>Yes</x:v>
      </x:c>
      <x:c r="H8" s="70" t="str">
        <x:v>Step 33</x:v>
      </x:c>
      <x:c r="I8" s="71" t="str">
        <x:v>No production deployment claimed.</x:v>
      </x:c>
      <x:c r="K8" s="33" t="str">
        <x:v>Not Applicable</x:v>
      </x:c>
      <x:c r="L8" t="n">
        <x:f>COUNTIF(C7:C20,"Not Applicable")</x:f>
        <x:v>0</x:v>
      </x:c>
    </x:row>
    <x:row r="9">
      <x:c r="A9" s="69" t="str">
        <x:v>HOV-003</x:v>
      </x:c>
      <x:c r="B9" s="70" t="str">
        <x:v>Full-service UAT and business acceptance complete</x:v>
      </x:c>
      <x:c r="C9" s="70" t="str">
        <x:v>Not Ready</x:v>
      </x:c>
      <x:c r="D9" s="70" t="str">
        <x:v>Step 31: not executed</x:v>
      </x:c>
      <x:c r="E9" s="70" t="str">
        <x:v>Complete observed UAT and business acceptance.</x:v>
      </x:c>
      <x:c r="F9" s="70" t="str">
        <x:v>Business / Product</x:v>
      </x:c>
      <x:c r="G9" s="70" t="str">
        <x:v>Yes</x:v>
      </x:c>
      <x:c r="H9" s="70" t="str">
        <x:v>Steps 29–31</x:v>
      </x:c>
      <x:c r="I9" s="71" t="str">
        <x:v>Prototype evidence is separate.</x:v>
      </x:c>
    </x:row>
    <x:row r="10">
      <x:c r="A10" s="69" t="str">
        <x:v>HOV-004</x:v>
      </x:c>
      <x:c r="B10" s="70" t="str">
        <x:v>Security/privacy production assurance accepted</x:v>
      </x:c>
      <x:c r="C10" s="70" t="str">
        <x:v>Not Ready</x:v>
      </x:c>
      <x:c r="D10" s="70" t="str">
        <x:v>Step 32 gates open</x:v>
      </x:c>
      <x:c r="E10" s="70" t="str">
        <x:v>Close required Step 32 assurance and approvals.</x:v>
      </x:c>
      <x:c r="F10" s="70" t="str">
        <x:v>Security / Privacy</x:v>
      </x:c>
      <x:c r="G10" s="70" t="str">
        <x:v>Yes</x:v>
      </x:c>
      <x:c r="H10" s="70" t="str">
        <x:v>Step 32</x:v>
      </x:c>
      <x:c r="I10" s="71" t="str">
        <x:v>Production assurance not granted.</x:v>
      </x:c>
    </x:row>
    <x:row r="11">
      <x:c r="A11" s="69" t="str">
        <x:v>HOV-005</x:v>
      </x:c>
      <x:c r="B11" s="70" t="str">
        <x:v>Monitoring and alerting implemented</x:v>
      </x:c>
      <x:c r="C11" s="70" t="str">
        <x:v>Not Ready</x:v>
      </x:c>
      <x:c r="D11" s="70" t="str">
        <x:v>Step 34 monitoring catalogue only</x:v>
      </x:c>
      <x:c r="E11" s="70" t="str">
        <x:v>Configure and test production monitoring/alerts.</x:v>
      </x:c>
      <x:c r="F11" s="70" t="str">
        <x:v>Operations / Engineering / Security</x:v>
      </x:c>
      <x:c r="G11" s="70" t="str">
        <x:v>Yes</x:v>
      </x:c>
      <x:c r="H11" s="70" t="str">
        <x:v>Step 34</x:v>
      </x:c>
      <x:c r="I11" s="71" t="str">
        <x:v>No production telemetry is claimed.</x:v>
      </x:c>
    </x:row>
    <x:row r="12">
      <x:c r="A12" s="69" t="str">
        <x:v>HOV-006</x:v>
      </x:c>
      <x:c r="B12" s="70" t="str">
        <x:v>Service desk/support channels operational</x:v>
      </x:c>
      <x:c r="C12" s="70" t="str">
        <x:v>Not Ready</x:v>
      </x:c>
      <x:c r="D12" s="70" t="str">
        <x:v>Support model designed</x:v>
      </x:c>
      <x:c r="E12" s="70" t="str">
        <x:v>Create tooling, channels, access and ownership.</x:v>
      </x:c>
      <x:c r="F12" s="70" t="str">
        <x:v>Operations</x:v>
      </x:c>
      <x:c r="G12" s="70" t="str">
        <x:v>Yes</x:v>
      </x:c>
      <x:c r="H12" s="70" t="str">
        <x:v>Step 34</x:v>
      </x:c>
      <x:c r="I12" s="71" t="str">
        <x:v>Operating hours/targets remain organisation-specific.</x:v>
      </x:c>
    </x:row>
    <x:row r="13">
      <x:c r="A13" s="69" t="str">
        <x:v>HOV-007</x:v>
      </x:c>
      <x:c r="B13" s="70" t="str">
        <x:v>Incident and problem workflow operational</x:v>
      </x:c>
      <x:c r="C13" s="70" t="str">
        <x:v>Design Complete</x:v>
      </x:c>
      <x:c r="D13" s="70" t="str">
        <x:v>Step 34 workflow/registers designed</x:v>
      </x:c>
      <x:c r="E13" s="70" t="str">
        <x:v>Configure operational tooling and assign accountable roles.</x:v>
      </x:c>
      <x:c r="F13" s="70" t="str">
        <x:v>Operations / Incident Management</x:v>
      </x:c>
      <x:c r="G13" s="70" t="str">
        <x:v>Yes</x:v>
      </x:c>
      <x:c r="H13" s="70" t="str">
        <x:v>Step 34</x:v>
      </x:c>
      <x:c r="I13" s="71" t="str">
        <x:v>Registers remain intentionally empty.</x:v>
      </x:c>
    </x:row>
    <x:row r="14">
      <x:c r="A14" s="69" t="str">
        <x:v>HOV-008</x:v>
      </x:c>
      <x:c r="B14" s="70" t="str">
        <x:v>Runbooks validated against implemented service</x:v>
      </x:c>
      <x:c r="C14" s="70" t="str">
        <x:v>Not Ready</x:v>
      </x:c>
      <x:c r="D14" s="70" t="str">
        <x:v>Design-level runbooks only</x:v>
      </x:c>
      <x:c r="E14" s="70" t="str">
        <x:v>Exercise/validate relevant runbooks and fallback paths.</x:v>
      </x:c>
      <x:c r="F14" s="70" t="str">
        <x:v>Operations / Engineering / Security</x:v>
      </x:c>
      <x:c r="G14" s="70" t="str">
        <x:v>Yes</x:v>
      </x:c>
      <x:c r="H14" s="70" t="str">
        <x:v>Steps 33–34</x:v>
      </x:c>
      <x:c r="I14" s="71" t="str">
        <x:v>Design is not operational validation.</x:v>
      </x:c>
    </x:row>
    <x:row r="15">
      <x:c r="A15" s="69" t="str">
        <x:v>HOV-009</x:v>
      </x:c>
      <x:c r="B15" s="70" t="str">
        <x:v>Backup/recovery and resilience evidence accepted</x:v>
      </x:c>
      <x:c r="C15" s="70" t="str">
        <x:v>Not Ready</x:v>
      </x:c>
      <x:c r="D15" s="70" t="str">
        <x:v>Implementation evidence outstanding</x:v>
      </x:c>
      <x:c r="E15" s="70" t="str">
        <x:v>Complete recovery tests and operational acceptance.</x:v>
      </x:c>
      <x:c r="F15" s="70" t="str">
        <x:v>Operations / Engineering</x:v>
      </x:c>
      <x:c r="G15" s="70" t="str">
        <x:v>Yes</x:v>
      </x:c>
      <x:c r="H15" s="70" t="str">
        <x:v>Steps 32–34</x:v>
      </x:c>
      <x:c r="I15" s="71" t="str">
        <x:v>No arbitrary RTO/RPO is invented.</x:v>
      </x:c>
    </x:row>
    <x:row r="16">
      <x:c r="A16" s="69" t="str">
        <x:v>HOV-010</x:v>
      </x:c>
      <x:c r="B16" s="70" t="str">
        <x:v>Training for users/support/admins completed</x:v>
      </x:c>
      <x:c r="C16" s="70" t="str">
        <x:v>Not Ready</x:v>
      </x:c>
      <x:c r="D16" s="70" t="str">
        <x:v>Step 33 training planned, not delivered</x:v>
      </x:c>
      <x:c r="E16" s="70" t="str">
        <x:v>Deliver required role-based training and retain evidence.</x:v>
      </x:c>
      <x:c r="F16" s="70" t="str">
        <x:v>Product / Operations / Training</x:v>
      </x:c>
      <x:c r="G16" s="70" t="str">
        <x:v>Yes</x:v>
      </x:c>
      <x:c r="H16" s="70" t="str">
        <x:v>Step 33</x:v>
      </x:c>
      <x:c r="I16" s="71" t="str">
        <x:v>Completion is not fabricated.</x:v>
      </x:c>
    </x:row>
    <x:row r="17">
      <x:c r="A17" s="69" t="str">
        <x:v>HOV-011</x:v>
      </x:c>
      <x:c r="B17" s="70" t="str">
        <x:v>Known issues, risks and workarounds documented</x:v>
      </x:c>
      <x:c r="C17" s="70" t="str">
        <x:v>Not Ready</x:v>
      </x:c>
      <x:c r="D17" s="70" t="str">
        <x:v>No live release exists</x:v>
      </x:c>
      <x:c r="E17" s="70" t="str">
        <x:v>Populate from actual release/UAT/production evidence.</x:v>
      </x:c>
      <x:c r="F17" s="70" t="str">
        <x:v>Product / Operations</x:v>
      </x:c>
      <x:c r="G17" s="70" t="str">
        <x:v>Yes</x:v>
      </x:c>
      <x:c r="H17" s="70" t="str">
        <x:v>Steps 31–34</x:v>
      </x:c>
      <x:c r="I17" s="71" t="str">
        <x:v>Do not create fake known issues.</x:v>
      </x:c>
    </x:row>
    <x:row r="18">
      <x:c r="A18" s="69" t="str">
        <x:v>HOV-012</x:v>
      </x:c>
      <x:c r="B18" s="70" t="str">
        <x:v>Service documentation accessible and controlled</x:v>
      </x:c>
      <x:c r="C18" s="70" t="str">
        <x:v>Design Complete</x:v>
      </x:c>
      <x:c r="D18" s="70" t="str">
        <x:v>Steps 24–34 portfolio artefacts</x:v>
      </x:c>
      <x:c r="E18" s="70" t="str">
        <x:v>Publish approved operational versions and ownership.</x:v>
      </x:c>
      <x:c r="F18" s="70" t="str">
        <x:v>Service Owner / Product</x:v>
      </x:c>
      <x:c r="G18" s="70" t="str">
        <x:v>Yes</x:v>
      </x:c>
      <x:c r="H18" s="70" t="str">
        <x:v>Steps 24–34</x:v>
      </x:c>
      <x:c r="I18" s="71" t="str">
        <x:v>Portfolio docs are design evidence, not live SOP approval.</x:v>
      </x:c>
    </x:row>
    <x:row r="19">
      <x:c r="A19" s="69" t="str">
        <x:v>HOV-013</x:v>
      </x:c>
      <x:c r="B19" s="70" t="str">
        <x:v>AI operational controls accepted — only if H3 approved</x:v>
      </x:c>
      <x:c r="C19" s="70" t="str">
        <x:v>Not Ready</x:v>
      </x:c>
      <x:c r="D19" s="70" t="str">
        <x:v>H3 production approval not granted</x:v>
      </x:c>
      <x:c r="E19" s="70" t="str">
        <x:v>Validate provider, monitoring, reviewer training, fallback and change controls.</x:v>
      </x:c>
      <x:c r="F19" s="70" t="str">
        <x:v>AI Owner / Risk / Security / Privacy</x:v>
      </x:c>
      <x:c r="G19" s="70" t="str">
        <x:v>Conditional</x:v>
      </x:c>
      <x:c r="H19" s="70" t="str">
        <x:v>Steps 27,28,32–34</x:v>
      </x:c>
      <x:c r="I19" s="71" t="str">
        <x:v>Not required for H1/H2-only live service.</x:v>
      </x:c>
    </x:row>
    <x:row r="20">
      <x:c r="A20" s="72" t="str">
        <x:v>HOV-014</x:v>
      </x:c>
      <x:c r="B20" s="73" t="str">
        <x:v>Operational acceptance decision recorded</x:v>
      </x:c>
      <x:c r="C20" s="73" t="str">
        <x:v>Not Ready</x:v>
      </x:c>
      <x:c r="D20" s="73" t="str">
        <x:v>No live-service acceptance decision</x:v>
      </x:c>
      <x:c r="E20" s="73" t="str">
        <x:v>Authorised Service Owner/Operations decision after evidence review.</x:v>
      </x:c>
      <x:c r="F20" s="73" t="str">
        <x:v>Service Owner / Operations</x:v>
      </x:c>
      <x:c r="G20" s="73" t="str">
        <x:v>Yes</x:v>
      </x:c>
      <x:c r="H20" s="73" t="str">
        <x:v>Step 34</x:v>
      </x:c>
      <x:c r="I20" s="74" t="str">
        <x:v>Current handover position remains Not Ready.</x:v>
      </x:c>
    </x:row>
  </x:sheetData>
  <x:mergeCells>
    <x:mergeCell ref="A1:I1"/>
    <x:mergeCell ref="A2:I2"/>
  </x:mergeCells>
  <x:conditionalFormatting sqref="C7:C40">
    <x:cfRule type="expression" dxfId="12" priority="1">
      <x:formula>C7="Ready"</x:formula>
    </x:cfRule>
    <x:cfRule type="expression" dxfId="13" priority="2">
      <x:formula>C7="Design Complete"</x:formula>
    </x:cfRule>
    <x:cfRule type="expression" dxfId="14" priority="3">
      <x:formula>C7="Not Ready"</x:formula>
    </x:cfRule>
  </x:conditionalFormatting>
  <x:dataValidations count="2">
    <x:dataValidation type="list" sqref="C7:C40">
      <x:formula1>"Design Complete,Not Ready,Ready,Not Applicable"</x:formula1>
    </x:dataValidation>
    <x:dataValidation type="list" sqref="G7:G40">
      <x:formula1>"Yes,No,Conditional"</x:formula1>
    </x:dataValidation>
  </x:dataValidations>
  <x:pageMargins left="0.7" right="0.7" top="0.75" bottom="0.75" header="0.3" footer="0.3"/>
  <x:drawing xmlns:r="http://schemas.openxmlformats.org/officeDocument/2006/relationships" r:id="R4646af528a9e40fd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PayFix AI 2.0 — Step 34 Live Service and Support Summary</x:v>
      </x:c>
      <x:c r="B1" s="5"/>
      <x:c r="C1" s="5"/>
      <x:c r="D1" s="5"/>
      <x:c r="E1" s="5"/>
      <x:c r="F1" s="5"/>
      <x:c r="G1" s="5"/>
      <x:c r="H1" s="5"/>
    </x:row>
    <x:row r="3">
      <x:c r="A3" s="33" t="str">
        <x:v>Live-Service Position</x:v>
      </x:c>
      <x:c r="B3" s="45" t="str">
        <x:v>NOT READY FOR OPERATIONAL HANDOVER</x:v>
      </x:c>
      <x:c r="D3" s="21" t="str">
        <x:v>Operational Model</x:v>
      </x:c>
      <x:c r="E3" s="21"/>
      <x:c r="F3" s="21"/>
      <x:c r="G3" s="21"/>
      <x:c r="H3" s="21"/>
    </x:row>
    <x:row r="5">
      <x:c r="A5" s="33" t="str">
        <x:v>Production Service</x:v>
      </x:c>
      <x:c r="B5" s="51" t="str">
        <x:v>Not Live</x:v>
      </x:c>
      <x:c r="D5" s="39" t="str">
        <x:v>Detect → Record → Triage → Contain / Restore Safe Service → Escalate → Resolve → Verify → Close
Where an issue is recurring/systemic or requires deeper analysis:
Incident evidence → Problem analysis → Root cause / known error → Permanent improvement → Validation → Update requirements/runbooks/monitoring.</x:v>
      </x:c>
      <x:c r="E5" s="39"/>
      <x:c r="F5" s="39"/>
      <x:c r="G5" s="39"/>
      <x:c r="H5" s="39"/>
    </x:row>
    <x:row r="6">
      <x:c r="D6" s="39"/>
      <x:c r="E6" s="39"/>
      <x:c r="F6" s="39"/>
      <x:c r="G6" s="39"/>
      <x:c r="H6" s="39"/>
    </x:row>
    <x:row r="7">
      <x:c r="A7" s="33" t="str">
        <x:v>Production Approval</x:v>
      </x:c>
      <x:c r="B7" s="43" t="str">
        <x:v>Not Granted</x:v>
      </x:c>
      <x:c r="D7" s="39"/>
      <x:c r="E7" s="39"/>
      <x:c r="F7" s="39"/>
      <x:c r="G7" s="39"/>
      <x:c r="H7" s="39"/>
    </x:row>
    <x:row r="8">
      <x:c r="D8" s="39"/>
      <x:c r="E8" s="39"/>
      <x:c r="F8" s="39"/>
      <x:c r="G8" s="39"/>
      <x:c r="H8" s="39"/>
    </x:row>
    <x:row r="9">
      <x:c r="A9" s="66" t="str">
        <x:v>Live-Service Design Metric</x:v>
      </x:c>
      <x:c r="B9" s="68" t="str">
        <x:v>Count</x:v>
      </x:c>
      <x:c r="D9" s="39"/>
      <x:c r="E9" s="39"/>
      <x:c r="F9" s="39"/>
      <x:c r="G9" s="39"/>
      <x:c r="H9" s="39"/>
    </x:row>
    <x:row r="10">
      <x:c r="A10" s="90" t="str">
        <x:v>Ownership roles/functions</x:v>
      </x:c>
      <x:c r="B10" s="91" t="n">
        <x:f>COUNTA(Service_Ownership!A5:A15)</x:f>
        <x:v>11</x:v>
      </x:c>
      <x:c r="D10" s="39"/>
      <x:c r="E10" s="39"/>
      <x:c r="F10" s="39"/>
      <x:c r="G10" s="39"/>
      <x:c r="H10" s="39"/>
    </x:row>
    <x:row r="11">
      <x:c r="A11" s="90" t="str">
        <x:v>Monitoring signals designed</x:v>
      </x:c>
      <x:c r="B11" s="91" t="n">
        <x:f>COUNTA(Monitoring_Catalogue!A5:A22)</x:f>
        <x:v>18</x:v>
      </x:c>
    </x:row>
    <x:row r="12">
      <x:c r="A12" s="90" t="str">
        <x:v>Support/escalation routes</x:v>
      </x:c>
      <x:c r="B12" s="91" t="n">
        <x:f>COUNTA(Support_Escalation!A5:A11)</x:f>
        <x:v>7</x:v>
      </x:c>
      <x:c r="D12" s="21" t="str">
        <x:v>Key Live-Service Boundaries</x:v>
      </x:c>
      <x:c r="E12" s="21"/>
      <x:c r="F12" s="21"/>
      <x:c r="G12" s="21"/>
      <x:c r="H12" s="21"/>
    </x:row>
    <x:row r="13">
      <x:c r="A13" s="90" t="str">
        <x:v>Runbook/resilience scenarios</x:v>
      </x:c>
      <x:c r="B13" s="91" t="n">
        <x:f>COUNTA(Runbook_Resilience!A5:A16)</x:f>
        <x:v>12</x:v>
      </x:c>
    </x:row>
    <x:row r="14">
      <x:c r="A14" s="90" t="str">
        <x:v>Handover criteria</x:v>
      </x:c>
      <x:c r="B14" s="91" t="n">
        <x:f>COUNTA(Handover_Readiness!A7:A20)</x:f>
        <x:v>14</x:v>
      </x:c>
      <x:c r="D14" s="58" t="str">
        <x:v>• No production incidents, support performance or service availability results are fabricated.
• Monitoring signals are designed, but numeric thresholds/SLAs remain to be baselined and approved.
• H1 core service must operate without AI.
• H2 automation must be safely bypassable where implemented.
• H3 AI remains conditional; if approved, human review and non-AI fallback remain mandatory.
• Security/privacy events use authorised specialist escalation.
• Operational handover occurs only after implementation, assurance, UAT, training, runbook validation and ownership evidence.</x:v>
      </x:c>
      <x:c r="E14" s="58"/>
      <x:c r="F14" s="58"/>
      <x:c r="G14" s="58"/>
      <x:c r="H14" s="58"/>
    </x:row>
    <x:row r="15">
      <x:c r="A15" s="90" t="str">
        <x:v>Handover criteria Design Complete</x:v>
      </x:c>
      <x:c r="B15" s="91" t="n">
        <x:f>COUNTIF(Handover_Readiness!C7:C20,"Design Complete")</x:f>
        <x:v>3</x:v>
      </x:c>
      <x:c r="D15" s="58"/>
      <x:c r="E15" s="58"/>
      <x:c r="F15" s="58"/>
      <x:c r="G15" s="58"/>
      <x:c r="H15" s="58"/>
    </x:row>
    <x:row r="16">
      <x:c r="A16" s="90" t="str">
        <x:v>Handover criteria Not Ready</x:v>
      </x:c>
      <x:c r="B16" s="91" t="n">
        <x:f>COUNTIF(Handover_Readiness!C7:C20,"Not Ready")</x:f>
        <x:v>11</x:v>
      </x:c>
      <x:c r="D16" s="58"/>
      <x:c r="E16" s="58"/>
      <x:c r="F16" s="58"/>
      <x:c r="G16" s="58"/>
      <x:c r="H16" s="58"/>
    </x:row>
    <x:row r="17">
      <x:c r="A17" s="92" t="str">
        <x:v>Production incidents recorded</x:v>
      </x:c>
      <x:c r="B17" s="93" t="n">
        <x:f>COUNTIF(Incident_Problem!A6:A7,"INC-*")</x:f>
        <x:v>0</x:v>
      </x:c>
      <x:c r="D17" s="58"/>
      <x:c r="E17" s="58"/>
      <x:c r="F17" s="58"/>
      <x:c r="G17" s="58"/>
      <x:c r="H17" s="58"/>
    </x:row>
    <x:row r="18">
      <x:c r="D18" s="58"/>
      <x:c r="E18" s="58"/>
      <x:c r="F18" s="58"/>
      <x:c r="G18" s="58"/>
      <x:c r="H18" s="58"/>
    </x:row>
    <x:row r="19">
      <x:c r="D19" s="58"/>
      <x:c r="E19" s="58"/>
      <x:c r="F19" s="58"/>
      <x:c r="G19" s="58"/>
      <x:c r="H19" s="58"/>
    </x:row>
    <x:row r="20">
      <x:c r="D20" s="58"/>
      <x:c r="E20" s="58"/>
      <x:c r="F20" s="58"/>
      <x:c r="G20" s="58"/>
      <x:c r="H20" s="58"/>
    </x:row>
    <x:row r="22">
      <x:c r="D22" s="21" t="str">
        <x:v>Step 34 Conclusion</x:v>
      </x:c>
      <x:c r="E22" s="21"/>
      <x:c r="F22" s="21"/>
      <x:c r="G22" s="21"/>
      <x:c r="H22" s="21"/>
    </x:row>
    <x:row r="24">
      <x:c r="D24" s="63" t="str">
        <x:v>The live-service operating model is designed across ownership, monitoring, incident/problem management, support escalation, resilience, runbooks and operational handover. The service is NOT READY FOR OPERATIONAL HANDOVER because there is no implemented production service, full-service UAT/business acceptance, production assurance, validated monitoring/runbooks, operational support assignment or authorised handover decision. Production Service: NOT LIVE. Production Approval: NOT GRANTED.</x:v>
      </x:c>
      <x:c r="E24" s="63"/>
      <x:c r="F24" s="63"/>
      <x:c r="G24" s="63"/>
      <x:c r="H24" s="63"/>
    </x:row>
    <x:row r="25">
      <x:c r="D25" s="63"/>
      <x:c r="E25" s="63"/>
      <x:c r="F25" s="63"/>
      <x:c r="G25" s="63"/>
      <x:c r="H25" s="63"/>
    </x:row>
    <x:row r="26">
      <x:c r="D26" s="63"/>
      <x:c r="E26" s="63"/>
      <x:c r="F26" s="63"/>
      <x:c r="G26" s="63"/>
      <x:c r="H26" s="63"/>
    </x:row>
    <x:row r="27">
      <x:c r="D27" s="63"/>
      <x:c r="E27" s="63"/>
      <x:c r="F27" s="63"/>
      <x:c r="G27" s="63"/>
      <x:c r="H27" s="63"/>
    </x:row>
    <x:row r="28">
      <x:c r="D28" s="63"/>
      <x:c r="E28" s="63"/>
      <x:c r="F28" s="63"/>
      <x:c r="G28" s="63"/>
      <x:c r="H28" s="63"/>
    </x:row>
    <x:row r="29">
      <x:c r="D29" s="63"/>
      <x:c r="E29" s="63"/>
      <x:c r="F29" s="63"/>
      <x:c r="G29" s="63"/>
      <x:c r="H29" s="63"/>
    </x:row>
  </x:sheetData>
  <x:mergeCells>
    <x:mergeCell ref="A1:H1"/>
    <x:mergeCell ref="D3:H3"/>
    <x:mergeCell ref="D5:H10"/>
    <x:mergeCell ref="D12:H12"/>
    <x:mergeCell ref="D14:H20"/>
    <x:mergeCell ref="D22:H22"/>
    <x:mergeCell ref="D24:H29"/>
  </x:mergeCells>
  <x:pageMargins left="0.7" right="0.7" top="0.75" bottom="0.75" header="0.3" footer="0.3"/>
  <x:drawing xmlns:r="http://schemas.openxmlformats.org/officeDocument/2006/relationships" r:id="R152c20e814064013"/>
</x:worksheet>
</file>