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e43c5c916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efits_Register" sheetId="1" r:id="R5f99ca03c3fe4988"/>
    <x:sheet xmlns:r="http://schemas.openxmlformats.org/officeDocument/2006/relationships" name="KPI_Framework" sheetId="2" r:id="R719a2b3a0e954dce"/>
    <x:sheet xmlns:r="http://schemas.openxmlformats.org/officeDocument/2006/relationships" name="Baseline_Measures" sheetId="3" r:id="R47faac9430304fbd"/>
    <x:sheet xmlns:r="http://schemas.openxmlformats.org/officeDocument/2006/relationships" name="Measurement_Plan" sheetId="4" r:id="R8caada643cd949da"/>
    <x:sheet xmlns:r="http://schemas.openxmlformats.org/officeDocument/2006/relationships" name="PIR_Plan" sheetId="5" r:id="R66cad39609a5482f"/>
    <x:sheet xmlns:r="http://schemas.openxmlformats.org/officeDocument/2006/relationships" name="Benefits_Summary" sheetId="6" r:id="Rbc7d068349a5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%"/>
    <x:numFmt numFmtId="202" formatCode="0"/>
    <x:numFmt numFmtId="203" formatCode="0.0"/>
    <x:numFmt numFmtId="204" formatCode="0.00"/>
    <x:numFmt numFmtId="205" formatCode="£#,##0.0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4" fontId="0" fillId="0" borderId="6" xfId="0" applyNumberFormat="1" applyFont="1" applyFill="1" applyBorder="1" applyAlignment="1">
      <x:alignment vertical="top" wrapText="1"/>
    </x:xf>
    <x:xf numFmtId="205" fontId="0" fillId="0" borderId="6" xfId="0" applyNumberFormat="1" applyFont="1" applyFill="1" applyBorder="1" applyAlignment="1">
      <x:alignment vertical="top" wrapText="1"/>
    </x:xf>
    <x:xf numFmtId="205" fontId="0" fillId="0" borderId="9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3" fontId="0" fillId="0" borderId="15" xfId="0" applyNumberFormat="1" applyFont="1" applyFill="1" applyBorder="1" applyAlignment="1">
      <x:alignment vertical="top" wrapText="1"/>
    </x:xf>
    <x:xf numFmtId="204" fontId="0" fillId="0" borderId="15" xfId="0" applyNumberFormat="1" applyFont="1" applyFill="1" applyBorder="1" applyAlignment="1">
      <x:alignment vertical="top" wrapText="1"/>
    </x:xf>
    <x:xf numFmtId="205" fontId="0" fillId="0" borderId="15" xfId="0" applyNumberFormat="1" applyFont="1" applyFill="1" applyBorder="1" applyAlignment="1">
      <x:alignment vertical="top" wrapText="1"/>
    </x:xf>
    <x:xf numFmtId="205" fontId="0" fillId="0" borderId="18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/>
    </x:xf>
    <x:xf numFmtId="0" fontId="4" fillId="4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1b171a8254e0a" /><Relationship Type="http://schemas.openxmlformats.org/officeDocument/2006/relationships/theme" Target="/xl/theme/theme1.xml" Id="R412d3bc04f4d48bc" /><Relationship Type="http://schemas.openxmlformats.org/officeDocument/2006/relationships/sharedStrings" Target="/xl/sharedStrings.xml" Id="Ra6d86f1934c64510" /><Relationship Type="http://schemas.openxmlformats.org/officeDocument/2006/relationships/worksheet" Target="/xl/worksheets/sheet1.xml" Id="R5f99ca03c3fe4988" /><Relationship Type="http://schemas.openxmlformats.org/officeDocument/2006/relationships/worksheet" Target="/xl/worksheets/sheet2.xml" Id="R719a2b3a0e954dce" /><Relationship Type="http://schemas.openxmlformats.org/officeDocument/2006/relationships/worksheet" Target="/xl/worksheets/sheet3.xml" Id="R47faac9430304fbd" /><Relationship Type="http://schemas.openxmlformats.org/officeDocument/2006/relationships/worksheet" Target="/xl/worksheets/sheet4.xml" Id="R8caada643cd949da" /><Relationship Type="http://schemas.openxmlformats.org/officeDocument/2006/relationships/worksheet" Target="/xl/worksheets/sheet5.xml" Id="R66cad39609a5482f" /><Relationship Type="http://schemas.openxmlformats.org/officeDocument/2006/relationships/worksheet" Target="/xl/worksheets/sheet6.xml" Id="Rbc7d068349a546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a379882d534a69" /><Relationship Type="http://schemas.openxmlformats.org/officeDocument/2006/relationships/chart" Target="/xl/drawings/charts/chart2.xml" Id="Ra5cb6e441229446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5b0be599e464bf8" /><Relationship Type="http://schemas.openxmlformats.org/officeDocument/2006/relationships/chart" Target="/xl/drawings/charts/chart4.xml" Id="R5a358a779c7543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Baseline — Percentage Indicators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'Baseline_Measures'!$J$5:$J$9</c:f>
              <c:strCache>
                <c:ptCount val="0"/>
              </c:strCache>
            </c:strRef>
          </c:cat>
          <c:val>
            <c:numRef>
              <c:f>'Baseline_Measures'!$K$5:$K$9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Baseline — Average Process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'Baseline_Measures'!$R$5:$R$7</c:f>
              <c:strCache>
                <c:ptCount val="0"/>
              </c:strCache>
            </c:strRef>
          </c:cat>
          <c:val>
            <c:numRef>
              <c:f>'Baseline_Measures'!$S$5:$S$7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Benefits Realisation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'Benefits_Summary'!$J$4:$J$5</c:f>
              <c:strCache>
                <c:ptCount val="0"/>
              </c:strCache>
            </c:strRef>
          </c:cat>
          <c:val>
            <c:numRef>
              <c:f>'Benefits_Summary'!$K$4:$K$5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KPI Evidence Position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'Benefits_Summary'!$J$21:$J$23</c:f>
              <c:strCache>
                <c:ptCount val="0"/>
              </c:strCache>
            </c:strRef>
          </c:cat>
          <c:val>
            <c:numRef>
              <c:f>'Benefits_Summary'!$K$21:$K$23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a379882d534a69"/>
        </a:graphicData>
      </a:graphic>
    </xdr:graphicFrame>
    <xdr:clientData/>
  </xdr:twoCellAnchor>
  <xdr:twoCellAnchor>
    <xdr:from>
      <xdr:col>17</xdr:col>
      <xdr:colOff>0</xdr:colOff>
      <xdr:row>8</xdr:row>
      <xdr:rowOff>0</xdr:rowOff>
    </xdr:from>
    <xdr:to>
      <xdr:col>24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cb6e441229446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b0be599e464bf8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358a779c7543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b80e790d55d43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2917338e39094eb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24" hidden="0" customWidth="1"/>
    <x:col min="5" max="5" width="44" hidden="0" customWidth="1"/>
    <x:col min="6" max="6" width="24" hidden="0" customWidth="1"/>
    <x:col min="7" max="7" width="40" hidden="0" customWidth="1"/>
    <x:col min="8" max="8" width="28" hidden="0" customWidth="1"/>
    <x:col min="9" max="9" width="34" hidden="0" customWidth="1"/>
    <x:col min="10" max="10" width="20" hidden="0" customWidth="1"/>
    <x:col min="11" max="11" width="22" hidden="0" customWidth="1"/>
    <x:col min="12" max="12" width="44" hidden="0" customWidth="1"/>
  </x:cols>
  <x:sheetData>
    <x:row r="1" ht="30" customHeight="1">
      <x:c r="A1" s="5" t="str">
        <x:v>PayFix AI 2.0 — Benefits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Benefits are hypotheses to be measured after an authorised implementation. Observed synthetic baseline evidence is retained, but no future benefit target or realised improvement is fabricated.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96" t="str">
        <x:v>Benefit ID</x:v>
      </x:c>
      <x:c r="B4" s="97" t="str">
        <x:v>Expected Benefit / Outcome</x:v>
      </x:c>
      <x:c r="C4" s="97" t="str">
        <x:v>Benefit Type</x:v>
      </x:c>
      <x:c r="D4" s="97" t="str">
        <x:v>Primary KPI(s)</x:v>
      </x:c>
      <x:c r="E4" s="97" t="str">
        <x:v>Observed Baseline / Current Evidence</x:v>
      </x:c>
      <x:c r="F4" s="97" t="str">
        <x:v>Desired Direction</x:v>
      </x:c>
      <x:c r="G4" s="97" t="str">
        <x:v>Target Position</x:v>
      </x:c>
      <x:c r="H4" s="97" t="str">
        <x:v>Benefit Owner</x:v>
      </x:c>
      <x:c r="I4" s="97" t="str">
        <x:v>Earliest Valid Evidence Point</x:v>
      </x:c>
      <x:c r="J4" s="97" t="str">
        <x:v>Realisation Status</x:v>
      </x:c>
      <x:c r="K4" s="97" t="str">
        <x:v>Related Delivery Scope</x:v>
      </x:c>
      <x:c r="L4" s="98" t="str">
        <x:v>Notes / Dependencies</x:v>
      </x:c>
    </x:row>
    <x:row r="5">
      <x:c r="A5" s="99" t="str">
        <x:v>BEN-001</x:v>
      </x:c>
      <x:c r="B5" s="100" t="str">
        <x:v>Reduce end-to-end dispute resolution time</x:v>
      </x:c>
      <x:c r="C5" s="100" t="str">
        <x:v>Efficiency / Customer</x:v>
      </x:c>
      <x:c r="D5" s="100" t="str">
        <x:v>KPI-001</x:v>
      </x:c>
      <x:c r="E5" s="100" t="str">
        <x:v>Average resolution time: 128.4 hours (finalised synthetic cases)</x:v>
      </x:c>
      <x:c r="F5" s="100" t="str">
        <x:v>Lower</x:v>
      </x:c>
      <x:c r="G5" s="100" t="str">
        <x:v>TBD after implementation and stakeholder agreement</x:v>
      </x:c>
      <x:c r="H5" s="100" t="str">
        <x:v>Product / Business Operations</x:v>
      </x:c>
      <x:c r="I5" s="100" t="str">
        <x:v>After stable full-service operation</x:v>
      </x:c>
      <x:c r="J5" s="100" t="str">
        <x:v>Not Yet Measured</x:v>
      </x:c>
      <x:c r="K5" s="100" t="str">
        <x:v>H1/H2</x:v>
      </x:c>
      <x:c r="L5" s="101" t="str">
        <x:v>Baseline is synthetic analysis, not production performance.</x:v>
      </x:c>
    </x:row>
    <x:row r="6">
      <x:c r="A6" s="99" t="str">
        <x:v>BEN-002</x:v>
      </x:c>
      <x:c r="B6" s="100" t="str">
        <x:v>Reduce the proportion of finalised cases breaching the approved service target</x:v>
      </x:c>
      <x:c r="C6" s="100" t="str">
        <x:v>Service Performance</x:v>
      </x:c>
      <x:c r="D6" s="100" t="str">
        <x:v>KPI-002</x:v>
      </x:c>
      <x:c r="E6" s="100" t="str">
        <x:v>SLA breached: 1,040 of 2,093 finalised cases = 49.7%</x:v>
      </x:c>
      <x:c r="F6" s="100" t="str">
        <x:v>Lower</x:v>
      </x:c>
      <x:c r="G6" s="100" t="str">
        <x:v>TBD after approved production service target is confirmed</x:v>
      </x:c>
      <x:c r="H6" s="100" t="str">
        <x:v>Business Operations / Product</x:v>
      </x:c>
      <x:c r="I6" s="100" t="str">
        <x:v>After stable full-service operation</x:v>
      </x:c>
      <x:c r="J6" s="100" t="str">
        <x:v>Not Yet Measured</x:v>
      </x:c>
      <x:c r="K6" s="100" t="str">
        <x:v>H1/H2</x:v>
      </x:c>
      <x:c r="L6" s="101" t="str">
        <x:v>Denominator is finalised cases only.</x:v>
      </x:c>
    </x:row>
    <x:row r="7">
      <x:c r="A7" s="99" t="str">
        <x:v>BEN-003</x:v>
      </x:c>
      <x:c r="B7" s="100" t="str">
        <x:v>Reduce unnecessary manual handoffs between teams/roles</x:v>
      </x:c>
      <x:c r="C7" s="100" t="str">
        <x:v>Efficiency / Process</x:v>
      </x:c>
      <x:c r="D7" s="100" t="str">
        <x:v>KPI-003</x:v>
      </x:c>
      <x:c r="E7" s="100" t="str">
        <x:v>Average manual handoffs: 1.49 per case</x:v>
      </x:c>
      <x:c r="F7" s="100" t="str">
        <x:v>Lower</x:v>
      </x:c>
      <x:c r="G7" s="100" t="str">
        <x:v>TBD after real-service baseline/target agreement</x:v>
      </x:c>
      <x:c r="H7" s="100" t="str">
        <x:v>Business Operations / Product</x:v>
      </x:c>
      <x:c r="I7" s="100" t="str">
        <x:v>After stable full-service operation</x:v>
      </x:c>
      <x:c r="J7" s="100" t="str">
        <x:v>Not Yet Measured</x:v>
      </x:c>
      <x:c r="K7" s="100" t="str">
        <x:v>H1/H2</x:v>
      </x:c>
      <x:c r="L7" s="101" t="str">
        <x:v>Improvement should not remove necessary specialist or approval controls.</x:v>
      </x:c>
    </x:row>
    <x:row r="8">
      <x:c r="A8" s="99" t="str">
        <x:v>BEN-004</x:v>
      </x:c>
      <x:c r="B8" s="100" t="str">
        <x:v>Reduce avoidable rework while preserving control quality</x:v>
      </x:c>
      <x:c r="C8" s="100" t="str">
        <x:v>Efficiency / Quality</x:v>
      </x:c>
      <x:c r="D8" s="100" t="str">
        <x:v>KPI-004</x:v>
      </x:c>
      <x:c r="E8" s="100" t="str">
        <x:v>Average rework: 0.66 per case</x:v>
      </x:c>
      <x:c r="F8" s="100" t="str">
        <x:v>Lower</x:v>
      </x:c>
      <x:c r="G8" s="100" t="str">
        <x:v>TBD after implementation and root-cause validation</x:v>
      </x:c>
      <x:c r="H8" s="100" t="str">
        <x:v>Product / Operations / BA</x:v>
      </x:c>
      <x:c r="I8" s="100" t="str">
        <x:v>After stable full-service operation</x:v>
      </x:c>
      <x:c r="J8" s="100" t="str">
        <x:v>Not Yet Measured</x:v>
      </x:c>
      <x:c r="K8" s="100" t="str">
        <x:v>H1/H2</x:v>
      </x:c>
      <x:c r="L8" s="101" t="str">
        <x:v>Rework must be distinguished from legitimate re-review.</x:v>
      </x:c>
    </x:row>
    <x:row r="9">
      <x:c r="A9" s="99" t="str">
        <x:v>BEN-005</x:v>
      </x:c>
      <x:c r="B9" s="100" t="str">
        <x:v>Reduce avoidable customer contacts needed to progress a dispute</x:v>
      </x:c>
      <x:c r="C9" s="100" t="str">
        <x:v>Customer / Efficiency</x:v>
      </x:c>
      <x:c r="D9" s="100" t="str">
        <x:v>KPI-005</x:v>
      </x:c>
      <x:c r="E9" s="100" t="str">
        <x:v>Average customer contacts: 2.20 per case</x:v>
      </x:c>
      <x:c r="F9" s="100" t="str">
        <x:v>Lower</x:v>
      </x:c>
      <x:c r="G9" s="100" t="str">
        <x:v>TBD after implementation and customer-service review</x:v>
      </x:c>
      <x:c r="H9" s="100" t="str">
        <x:v>Product / Customer Operations</x:v>
      </x:c>
      <x:c r="I9" s="100" t="str">
        <x:v>After stable full-service operation</x:v>
      </x:c>
      <x:c r="J9" s="100" t="str">
        <x:v>Not Yet Measured</x:v>
      </x:c>
      <x:c r="K9" s="100" t="str">
        <x:v>H1/H2</x:v>
      </x:c>
      <x:c r="L9" s="101" t="str">
        <x:v>Reduction must not come from suppressing necessary communications.</x:v>
      </x:c>
    </x:row>
    <x:row r="10">
      <x:c r="A10" s="99" t="str">
        <x:v>BEN-006</x:v>
      </x:c>
      <x:c r="B10" s="100" t="str">
        <x:v>Improve routing and ownership so fewer cases require avoidable escalation</x:v>
      </x:c>
      <x:c r="C10" s="100" t="str">
        <x:v>Process / Service Quality</x:v>
      </x:c>
      <x:c r="D10" s="100" t="str">
        <x:v>KPI-006</x:v>
      </x:c>
      <x:c r="E10" s="100" t="str">
        <x:v>Escalated cases: 28.4% in synthetic baseline</x:v>
      </x:c>
      <x:c r="F10" s="100" t="str">
        <x:v>Lower where escalation is avoidable</x:v>
      </x:c>
      <x:c r="G10" s="100" t="str">
        <x:v>TBD; legitimate escalation must remain available</x:v>
      </x:c>
      <x:c r="H10" s="100" t="str">
        <x:v>Business Operations / Product</x:v>
      </x:c>
      <x:c r="I10" s="100" t="str">
        <x:v>After stable full-service operation</x:v>
      </x:c>
      <x:c r="J10" s="100" t="str">
        <x:v>Not Yet Measured</x:v>
      </x:c>
      <x:c r="K10" s="100" t="str">
        <x:v>H1/H2</x:v>
      </x:c>
      <x:c r="L10" s="101" t="str">
        <x:v>Do not treat all escalation as failure.</x:v>
      </x:c>
    </x:row>
    <x:row r="11">
      <x:c r="A11" s="99" t="str">
        <x:v>BEN-007</x:v>
      </x:c>
      <x:c r="B11" s="100" t="str">
        <x:v>Reduce complaint-generating service friction while preserving valid complaint rights</x:v>
      </x:c>
      <x:c r="C11" s="100" t="str">
        <x:v>Customer / Quality</x:v>
      </x:c>
      <x:c r="D11" s="100" t="str">
        <x:v>KPI-007</x:v>
      </x:c>
      <x:c r="E11" s="100" t="str">
        <x:v>Complaint indicator: 19.4% in synthetic baseline</x:v>
      </x:c>
      <x:c r="F11" s="100" t="str">
        <x:v>Lower where service-caused friction is addressed</x:v>
      </x:c>
      <x:c r="G11" s="100" t="str">
        <x:v>TBD after complaint-cause analysis and stakeholder agreement</x:v>
      </x:c>
      <x:c r="H11" s="100" t="str">
        <x:v>Complaints / Product / Operations</x:v>
      </x:c>
      <x:c r="I11" s="100" t="str">
        <x:v>After stable full-service operation</x:v>
      </x:c>
      <x:c r="J11" s="100" t="str">
        <x:v>Not Yet Measured</x:v>
      </x:c>
      <x:c r="K11" s="100" t="str">
        <x:v>H1/H2</x:v>
      </x:c>
      <x:c r="L11" s="101" t="str">
        <x:v>Complaint rate is an indicator, not direct proof of service quality.</x:v>
      </x:c>
    </x:row>
    <x:row r="12">
      <x:c r="A12" s="99" t="str">
        <x:v>BEN-008</x:v>
      </x:c>
      <x:c r="B12" s="100" t="str">
        <x:v>Improve visibility, traceability and auditability of case ownership, evidence, decisions and approvals</x:v>
      </x:c>
      <x:c r="C12" s="100" t="str">
        <x:v>Control / Compliance</x:v>
      </x:c>
      <x:c r="D12" s="100" t="str">
        <x:v>KPI-008, KPI-009</x:v>
      </x:c>
      <x:c r="E12" s="100" t="str">
        <x:v>Design evidence exists; no quantified production baseline</x:v>
      </x:c>
      <x:c r="F12" s="100" t="str">
        <x:v>Higher completeness / fewer control exceptions</x:v>
      </x:c>
      <x:c r="G12" s="100" t="str">
        <x:v>TBD after operational control baseline is established</x:v>
      </x:c>
      <x:c r="H12" s="100" t="str">
        <x:v>Service Owner / Audit / Product</x:v>
      </x:c>
      <x:c r="I12" s="100" t="str">
        <x:v>After production audit/monitoring data exists</x:v>
      </x:c>
      <x:c r="J12" s="100" t="str">
        <x:v>Not Yet Measured</x:v>
      </x:c>
      <x:c r="K12" s="100" t="str">
        <x:v>H1/H2</x:v>
      </x:c>
      <x:c r="L12" s="101" t="str">
        <x:v>Benefit is primarily control quality; numeric target requires real implementation data.</x:v>
      </x:c>
    </x:row>
    <x:row r="13">
      <x:c r="A13" s="99" t="str">
        <x:v>BEN-009</x:v>
      </x:c>
      <x:c r="B13" s="100" t="str">
        <x:v>Provide useful AI-generated evidence/handoff summaries without transferring decision authority to AI</x:v>
      </x:c>
      <x:c r="C13" s="100" t="str">
        <x:v>AI Assistive / Efficiency</x:v>
      </x:c>
      <x:c r="D13" s="100" t="str">
        <x:v>KPI-010, KPI-011, KPI-012</x:v>
      </x:c>
      <x:c r="E13" s="100" t="str">
        <x:v>Step 28 controlled prototype: 23 useful/accepted outputs, 3 disregarded; 0 critical failures</x:v>
      </x:c>
      <x:c r="F13" s="100" t="str">
        <x:v>Maintain usefulness while preserving mandatory human review</x:v>
      </x:c>
      <x:c r="G13" s="100" t="str">
        <x:v>No production target set; pilot thresholds require separate approval</x:v>
      </x:c>
      <x:c r="H13" s="100" t="str">
        <x:v>AI Service Owner / Product / Risk</x:v>
      </x:c>
      <x:c r="I13" s="100" t="str">
        <x:v>Only after separately approved H3 production pilot</x:v>
      </x:c>
      <x:c r="J13" s="100" t="str">
        <x:v>Not Yet Measured</x:v>
      </x:c>
      <x:c r="K13" s="100" t="str">
        <x:v>H3 only</x:v>
      </x:c>
      <x:c r="L13" s="101" t="str">
        <x:v>Prototype evidence is not a production benefit.</x:v>
      </x:c>
    </x:row>
    <x:row r="14">
      <x:c r="A14" s="102" t="str">
        <x:v>BEN-010</x:v>
      </x:c>
      <x:c r="B14" s="103" t="str">
        <x:v>Improve service resilience by allowing safe continuation when automation or AI is unavailable</x:v>
      </x:c>
      <x:c r="C14" s="103" t="str">
        <x:v>Resilience / Operational</x:v>
      </x:c>
      <x:c r="D14" s="103" t="str">
        <x:v>KPI-013</x:v>
      </x:c>
      <x:c r="E14" s="103" t="str">
        <x:v>Fallback/resilience designed in Steps 28, 33 and 34; no production baseline</x:v>
      </x:c>
      <x:c r="F14" s="103" t="str">
        <x:v>Higher successful controlled fallback / fewer blocked core journeys</x:v>
      </x:c>
      <x:c r="G14" s="103" t="str">
        <x:v>TBD after implementation and resilience validation</x:v>
      </x:c>
      <x:c r="H14" s="103" t="str">
        <x:v>Service Owner / Operations / Engineering</x:v>
      </x:c>
      <x:c r="I14" s="103" t="str">
        <x:v>After production resilience tests and live evidence</x:v>
      </x:c>
      <x:c r="J14" s="103" t="str">
        <x:v>Not Yet Measured</x:v>
      </x:c>
      <x:c r="K14" s="103" t="str">
        <x:v>H1/H2; H3 where approved</x:v>
      </x:c>
      <x:c r="L14" s="104" t="str">
        <x:v>H1 core must remain independent of AI.</x:v>
      </x:c>
    </x:row>
  </x:sheetData>
  <x:mergeCells>
    <x:mergeCell ref="A1:L1"/>
    <x:mergeCell ref="A2:L2"/>
  </x:mergeCells>
  <x:conditionalFormatting sqref="J5:J40">
    <x:cfRule type="expression" dxfId="0" priority="1">
      <x:formula>J5="Realised"</x:formula>
    </x:cfRule>
    <x:cfRule type="expression" dxfId="1" priority="2">
      <x:formula>J5="Partially Realised"</x:formula>
    </x:cfRule>
    <x:cfRule type="expression" dxfId="2" priority="3">
      <x:formula>J5="Not Yet Measured"</x:formula>
    </x:cfRule>
  </x:conditionalFormatting>
  <x:dataValidations count="1">
    <x:dataValidation type="list" sqref="J5:J40">
      <x:formula1>"Not Yet Measured,In Measurement,Partially Realised,Realised,Not Realised,Withdrawn"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8" hidden="0" customWidth="1"/>
    <x:col min="4" max="4" width="44" hidden="0" customWidth="1"/>
    <x:col min="5" max="5" width="28" hidden="0" customWidth="1"/>
    <x:col min="6" max="6" width="24" hidden="0" customWidth="1"/>
    <x:col min="7" max="7" width="24" hidden="0" customWidth="1"/>
    <x:col min="8" max="8" width="36" hidden="0" customWidth="1"/>
    <x:col min="9" max="9" width="30" hidden="0" customWidth="1"/>
    <x:col min="10" max="10" width="28" hidden="0" customWidth="1"/>
    <x:col min="11" max="11" width="30" hidden="0" customWidth="1"/>
    <x:col min="12" max="12" width="38" hidden="0" customWidth="1"/>
    <x:col min="13" max="13" width="24" hidden="0" customWidth="1"/>
  </x:cols>
  <x:sheetData>
    <x:row r="1">
      <x:c r="A1" s="5" t="str">
        <x:v>PayFix AI 2.0 — KPI and Performance Measurement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KPIs define what should be measured and how. Where the project has no trustworthy production target, the target remains explicitly TBD rather than being invented.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96" t="str">
        <x:v>KPI ID</x:v>
      </x:c>
      <x:c r="B4" s="97" t="str">
        <x:v>KPI Name</x:v>
      </x:c>
      <x:c r="C4" s="97" t="str">
        <x:v>Purpose</x:v>
      </x:c>
      <x:c r="D4" s="97" t="str">
        <x:v>Definition / Formula</x:v>
      </x:c>
      <x:c r="E4" s="97" t="str">
        <x:v>Baseline Value</x:v>
      </x:c>
      <x:c r="F4" s="97" t="str">
        <x:v>Baseline Evidence Type</x:v>
      </x:c>
      <x:c r="G4" s="97" t="str">
        <x:v>Desired Direction</x:v>
      </x:c>
      <x:c r="H4" s="97" t="str">
        <x:v>Target</x:v>
      </x:c>
      <x:c r="I4" s="97" t="str">
        <x:v>Proposed Review Cadence</x:v>
      </x:c>
      <x:c r="J4" s="97" t="str">
        <x:v>Primary Owner</x:v>
      </x:c>
      <x:c r="K4" s="97" t="str">
        <x:v>Data Source</x:v>
      </x:c>
      <x:c r="L4" s="97" t="str">
        <x:v>Decision Use</x:v>
      </x:c>
      <x:c r="M4" s="98" t="str">
        <x:v>Status</x:v>
      </x:c>
    </x:row>
    <x:row r="5">
      <x:c r="A5" s="99" t="str">
        <x:v>KPI-001</x:v>
      </x:c>
      <x:c r="B5" s="100" t="str">
        <x:v>Average Resolution Time</x:v>
      </x:c>
      <x:c r="C5" s="100" t="str">
        <x:v>Measure end-to-end timeliness for finalised disputes</x:v>
      </x:c>
      <x:c r="D5" s="100" t="str">
        <x:v>Average(final resolution timestamp - case start timestamp) for finalised cases</x:v>
      </x:c>
      <x:c r="E5" s="100" t="str">
        <x:v>128.4 hours</x:v>
      </x:c>
      <x:c r="F5" s="100" t="str">
        <x:v>Synthetic baseline analysis</x:v>
      </x:c>
      <x:c r="G5" s="100" t="str">
        <x:v>Lower</x:v>
      </x:c>
      <x:c r="H5" s="100" t="str">
        <x:v>TBD after implementation</x:v>
      </x:c>
      <x:c r="I5" s="100" t="str">
        <x:v>Weekly operational + periodic benefits review</x:v>
      </x:c>
      <x:c r="J5" s="100" t="str">
        <x:v>Business Operations / Product</x:v>
      </x:c>
      <x:c r="K5" s="100" t="str">
        <x:v>Case lifecycle events</x:v>
      </x:c>
      <x:c r="L5" s="100" t="str">
        <x:v>Identify delays and assess BEN-001</x:v>
      </x:c>
      <x:c r="M5" s="101" t="str">
        <x:v>Baseline Established</x:v>
      </x:c>
    </x:row>
    <x:row r="6">
      <x:c r="A6" s="99" t="str">
        <x:v>KPI-002</x:v>
      </x:c>
      <x:c r="B6" s="100" t="str">
        <x:v>SLA Breach Rate</x:v>
      </x:c>
      <x:c r="C6" s="100" t="str">
        <x:v>Measure proportion of finalised cases exceeding the approved service target</x:v>
      </x:c>
      <x:c r="D6" s="100" t="str">
        <x:v>Finalised cases breaching approved target / all finalised cases</x:v>
      </x:c>
      <x:c r="E6" s="100" t="str">
        <x:v>49.7% (1,040 / 2,093)</x:v>
      </x:c>
      <x:c r="F6" s="100" t="str">
        <x:v>Synthetic baseline analysis</x:v>
      </x:c>
      <x:c r="G6" s="100" t="str">
        <x:v>Lower</x:v>
      </x:c>
      <x:c r="H6" s="100" t="str">
        <x:v>TBD after approved service target</x:v>
      </x:c>
      <x:c r="I6" s="100" t="str">
        <x:v>Weekly operational + periodic benefits review</x:v>
      </x:c>
      <x:c r="J6" s="100" t="str">
        <x:v>Business Operations</x:v>
      </x:c>
      <x:c r="K6" s="100" t="str">
        <x:v>Case lifecycle timestamps</x:v>
      </x:c>
      <x:c r="L6" s="100" t="str">
        <x:v>Assess BEN-002 and service performance</x:v>
      </x:c>
      <x:c r="M6" s="101" t="str">
        <x:v>Baseline Established</x:v>
      </x:c>
    </x:row>
    <x:row r="7">
      <x:c r="A7" s="99" t="str">
        <x:v>KPI-003</x:v>
      </x:c>
      <x:c r="B7" s="100" t="str">
        <x:v>Average Manual Handoffs</x:v>
      </x:c>
      <x:c r="C7" s="100" t="str">
        <x:v>Measure movement between handlers/teams</x:v>
      </x:c>
      <x:c r="D7" s="100" t="str">
        <x:v>Total manual handoffs / cases</x:v>
      </x:c>
      <x:c r="E7" s="100" t="str">
        <x:v>1.49 per case</x:v>
      </x:c>
      <x:c r="F7" s="100" t="str">
        <x:v>Synthetic baseline analysis</x:v>
      </x:c>
      <x:c r="G7" s="100" t="str">
        <x:v>Lower where avoidable</x:v>
      </x:c>
      <x:c r="H7" s="100" t="str">
        <x:v>TBD after live baseline validation</x:v>
      </x:c>
      <x:c r="I7" s="100" t="str">
        <x:v>Periodic process review</x:v>
      </x:c>
      <x:c r="J7" s="100" t="str">
        <x:v>Business Operations / Product</x:v>
      </x:c>
      <x:c r="K7" s="100" t="str">
        <x:v>Ownership / handoff events</x:v>
      </x:c>
      <x:c r="L7" s="100" t="str">
        <x:v>Assess BEN-003 and routing design</x:v>
      </x:c>
      <x:c r="M7" s="101" t="str">
        <x:v>Baseline Established</x:v>
      </x:c>
    </x:row>
    <x:row r="8">
      <x:c r="A8" s="99" t="str">
        <x:v>KPI-004</x:v>
      </x:c>
      <x:c r="B8" s="100" t="str">
        <x:v>Average Rework</x:v>
      </x:c>
      <x:c r="C8" s="100" t="str">
        <x:v>Measure repeated processing/rework activity</x:v>
      </x:c>
      <x:c r="D8" s="100" t="str">
        <x:v>Total recorded rework events / cases</x:v>
      </x:c>
      <x:c r="E8" s="100" t="str">
        <x:v>0.66 per case</x:v>
      </x:c>
      <x:c r="F8" s="100" t="str">
        <x:v>Synthetic baseline analysis</x:v>
      </x:c>
      <x:c r="G8" s="100" t="str">
        <x:v>Lower where avoidable</x:v>
      </x:c>
      <x:c r="H8" s="100" t="str">
        <x:v>TBD after root-cause validation</x:v>
      </x:c>
      <x:c r="I8" s="100" t="str">
        <x:v>Periodic process review</x:v>
      </x:c>
      <x:c r="J8" s="100" t="str">
        <x:v>Product / Operations / BA</x:v>
      </x:c>
      <x:c r="K8" s="100" t="str">
        <x:v>Lifecycle / rework events</x:v>
      </x:c>
      <x:c r="L8" s="100" t="str">
        <x:v>Assess BEN-004 and process quality</x:v>
      </x:c>
      <x:c r="M8" s="101" t="str">
        <x:v>Baseline Established</x:v>
      </x:c>
    </x:row>
    <x:row r="9">
      <x:c r="A9" s="99" t="str">
        <x:v>KPI-005</x:v>
      </x:c>
      <x:c r="B9" s="100" t="str">
        <x:v>Average Customer Contacts</x:v>
      </x:c>
      <x:c r="C9" s="100" t="str">
        <x:v>Measure contact effort needed to progress/resolve cases</x:v>
      </x:c>
      <x:c r="D9" s="100" t="str">
        <x:v>Total customer contacts / cases</x:v>
      </x:c>
      <x:c r="E9" s="100" t="str">
        <x:v>2.20 per case</x:v>
      </x:c>
      <x:c r="F9" s="100" t="str">
        <x:v>Synthetic baseline analysis</x:v>
      </x:c>
      <x:c r="G9" s="100" t="str">
        <x:v>Lower where avoidable</x:v>
      </x:c>
      <x:c r="H9" s="100" t="str">
        <x:v>TBD after customer-service review</x:v>
      </x:c>
      <x:c r="I9" s="100" t="str">
        <x:v>Periodic customer/service review</x:v>
      </x:c>
      <x:c r="J9" s="100" t="str">
        <x:v>Customer Operations / Product</x:v>
      </x:c>
      <x:c r="K9" s="100" t="str">
        <x:v>Communication events</x:v>
      </x:c>
      <x:c r="L9" s="100" t="str">
        <x:v>Assess BEN-005</x:v>
      </x:c>
      <x:c r="M9" s="101" t="str">
        <x:v>Baseline Established</x:v>
      </x:c>
    </x:row>
    <x:row r="10">
      <x:c r="A10" s="99" t="str">
        <x:v>KPI-006</x:v>
      </x:c>
      <x:c r="B10" s="100" t="str">
        <x:v>Escalation Rate</x:v>
      </x:c>
      <x:c r="C10" s="100" t="str">
        <x:v>Track proportion of cases escalated</x:v>
      </x:c>
      <x:c r="D10" s="100" t="str">
        <x:v>Escalated cases / eligible cases</x:v>
      </x:c>
      <x:c r="E10" s="100" t="str">
        <x:v>28.4%</x:v>
      </x:c>
      <x:c r="F10" s="100" t="str">
        <x:v>Synthetic baseline analysis</x:v>
      </x:c>
      <x:c r="G10" s="100" t="str">
        <x:v>Lower only where escalation is avoidable</x:v>
      </x:c>
      <x:c r="H10" s="100" t="str">
        <x:v>TBD after escalation-cause analysis</x:v>
      </x:c>
      <x:c r="I10" s="100" t="str">
        <x:v>Periodic process review</x:v>
      </x:c>
      <x:c r="J10" s="100" t="str">
        <x:v>Business Operations / Product</x:v>
      </x:c>
      <x:c r="K10" s="100" t="str">
        <x:v>Case escalation/referral events</x:v>
      </x:c>
      <x:c r="L10" s="100" t="str">
        <x:v>Assess BEN-006; identify bottlenecks</x:v>
      </x:c>
      <x:c r="M10" s="101" t="str">
        <x:v>Baseline Established</x:v>
      </x:c>
    </x:row>
    <x:row r="11">
      <x:c r="A11" s="99" t="str">
        <x:v>KPI-007</x:v>
      </x:c>
      <x:c r="B11" s="100" t="str">
        <x:v>Complaint Indicator Rate</x:v>
      </x:c>
      <x:c r="C11" s="100" t="str">
        <x:v>Track complaint-linked cases as a service-quality signal</x:v>
      </x:c>
      <x:c r="D11" s="100" t="str">
        <x:v>Complaint-linked cases / cases</x:v>
      </x:c>
      <x:c r="E11" s="100" t="str">
        <x:v>19.4%</x:v>
      </x:c>
      <x:c r="F11" s="100" t="str">
        <x:v>Synthetic baseline analysis</x:v>
      </x:c>
      <x:c r="G11" s="100" t="str">
        <x:v>Lower where service-caused friction is addressed</x:v>
      </x:c>
      <x:c r="H11" s="100" t="str">
        <x:v>TBD after cause analysis</x:v>
      </x:c>
      <x:c r="I11" s="100" t="str">
        <x:v>Periodic quality review</x:v>
      </x:c>
      <x:c r="J11" s="100" t="str">
        <x:v>Complaints / Product</x:v>
      </x:c>
      <x:c r="K11" s="100" t="str">
        <x:v>Complaint linkage data</x:v>
      </x:c>
      <x:c r="L11" s="100" t="str">
        <x:v>Assess BEN-007; trigger deeper analysis</x:v>
      </x:c>
      <x:c r="M11" s="101" t="str">
        <x:v>Baseline Established</x:v>
      </x:c>
    </x:row>
    <x:row r="12">
      <x:c r="A12" s="99" t="str">
        <x:v>KPI-008</x:v>
      </x:c>
      <x:c r="B12" s="100" t="str">
        <x:v>Ownership Completeness</x:v>
      </x:c>
      <x:c r="C12" s="100" t="str">
        <x:v>Measure whether active cases have a valid accountable owner</x:v>
      </x:c>
      <x:c r="D12" s="100" t="str">
        <x:v>Active cases with valid current owner / active cases</x:v>
      </x:c>
      <x:c r="E12" s="100" t="str">
        <x:v>No trustworthy numeric baseline</x:v>
      </x:c>
      <x:c r="F12" s="100" t="str">
        <x:v>Design requirement</x:v>
      </x:c>
      <x:c r="G12" s="100" t="str">
        <x:v>Higher</x:v>
      </x:c>
      <x:c r="H12" s="100" t="str">
        <x:v>TBD after implementation</x:v>
      </x:c>
      <x:c r="I12" s="100" t="str">
        <x:v>Operational control review</x:v>
      </x:c>
      <x:c r="J12" s="100" t="str">
        <x:v>Operations / Product</x:v>
      </x:c>
      <x:c r="K12" s="100" t="str">
        <x:v>Case ownership state</x:v>
      </x:c>
      <x:c r="L12" s="100" t="str">
        <x:v>Assess control quality / BEN-008</x:v>
      </x:c>
      <x:c r="M12" s="101" t="str">
        <x:v>Measure Defined</x:v>
      </x:c>
    </x:row>
    <x:row r="13">
      <x:c r="A13" s="99" t="str">
        <x:v>KPI-009</x:v>
      </x:c>
      <x:c r="B13" s="100" t="str">
        <x:v>Audit Event Completeness</x:v>
      </x:c>
      <x:c r="C13" s="100" t="str">
        <x:v>Measure whether required material actions generate expected audit evidence</x:v>
      </x:c>
      <x:c r="D13" s="100" t="str">
        <x:v>Required audited actions with valid audit event / required audited actions</x:v>
      </x:c>
      <x:c r="E13" s="100" t="str">
        <x:v>No production baseline</x:v>
      </x:c>
      <x:c r="F13" s="100" t="str">
        <x:v>Design requirement</x:v>
      </x:c>
      <x:c r="G13" s="100" t="str">
        <x:v>Higher</x:v>
      </x:c>
      <x:c r="H13" s="100" t="str">
        <x:v>TBD after implementation</x:v>
      </x:c>
      <x:c r="I13" s="100" t="str">
        <x:v>Security / assurance review</x:v>
      </x:c>
      <x:c r="J13" s="100" t="str">
        <x:v>Security / Operations</x:v>
      </x:c>
      <x:c r="K13" s="100" t="str">
        <x:v>Audit event pipeline</x:v>
      </x:c>
      <x:c r="L13" s="100" t="str">
        <x:v>Assess BEN-008 and control integrity</x:v>
      </x:c>
      <x:c r="M13" s="101" t="str">
        <x:v>Measure Defined</x:v>
      </x:c>
    </x:row>
    <x:row r="14">
      <x:c r="A14" s="99" t="str">
        <x:v>KPI-010</x:v>
      </x:c>
      <x:c r="B14" s="100" t="str">
        <x:v>AI Reviewer Accept Rate — H3 only</x:v>
      </x:c>
      <x:c r="C14" s="100" t="str">
        <x:v>Observe how often authorised reviewers accept draft AI output without correction</x:v>
      </x:c>
      <x:c r="D14" s="100" t="str">
        <x:v>Accepted outputs / reviewed outputs</x:v>
      </x:c>
      <x:c r="E14" s="100" t="str">
        <x:v>Prototype evidence only: 23 accepted of 26 scenarios</x:v>
      </x:c>
      <x:c r="F14" s="100" t="str">
        <x:v>Controlled pilot evidence</x:v>
      </x:c>
      <x:c r="G14" s="100" t="str">
        <x:v>No target set in portfolio</x:v>
      </x:c>
      <x:c r="H14" s="100" t="str">
        <x:v>Requires separate H3 approval</x:v>
      </x:c>
      <x:c r="I14" s="100" t="str">
        <x:v>Per evaluation cycle if H3 approved</x:v>
      </x:c>
      <x:c r="J14" s="100" t="str">
        <x:v>AI Owner / Product / Risk</x:v>
      </x:c>
      <x:c r="K14" s="100" t="str">
        <x:v>AI evaluation/reviewer dispositions</x:v>
      </x:c>
      <x:c r="L14" s="100" t="str">
        <x:v>Detect usability/quality change; not a standalone success metric</x:v>
      </x:c>
      <x:c r="M14" s="101" t="str">
        <x:v>Prototype Evidence Only</x:v>
      </x:c>
    </x:row>
    <x:row r="15">
      <x:c r="A15" s="99" t="str">
        <x:v>KPI-011</x:v>
      </x:c>
      <x:c r="B15" s="100" t="str">
        <x:v>AI Disregard / Reject Rate — H3 only</x:v>
      </x:c>
      <x:c r="C15" s="100" t="str">
        <x:v>Track outputs reviewers decide should not be used</x:v>
      </x:c>
      <x:c r="D15" s="100" t="str">
        <x:v>Rejected or disregarded outputs / reviewed outputs</x:v>
      </x:c>
      <x:c r="E15" s="100" t="str">
        <x:v>Prototype evidence: 3 disregarded of 26 scenarios</x:v>
      </x:c>
      <x:c r="F15" s="100" t="str">
        <x:v>Controlled pilot evidence</x:v>
      </x:c>
      <x:c r="G15" s="100" t="str">
        <x:v>Monitor, investigate material patterns</x:v>
      </x:c>
      <x:c r="H15" s="100" t="str">
        <x:v>No target set in portfolio</x:v>
      </x:c>
      <x:c r="I15" s="100" t="str">
        <x:v>Per evaluation cycle if H3 approved</x:v>
      </x:c>
      <x:c r="J15" s="100" t="str">
        <x:v>AI Owner / Product / Risk</x:v>
      </x:c>
      <x:c r="K15" s="100" t="str">
        <x:v>AI evaluation/reviewer dispositions</x:v>
      </x:c>
      <x:c r="L15" s="100" t="str">
        <x:v>Trigger investigation; preserve human authority</x:v>
      </x:c>
      <x:c r="M15" s="101" t="str">
        <x:v>Prototype Evidence Only</x:v>
      </x:c>
    </x:row>
    <x:row r="16">
      <x:c r="A16" s="99" t="str">
        <x:v>KPI-012</x:v>
      </x:c>
      <x:c r="B16" s="100" t="str">
        <x:v>Critical AI Failure Count — H3 only</x:v>
      </x:c>
      <x:c r="C16" s="100" t="str">
        <x:v>Track material AI failures defined by approved evaluation framework</x:v>
      </x:c>
      <x:c r="D16" s="100" t="str">
        <x:v>Count of observed critical AI failures</x:v>
      </x:c>
      <x:c r="E16" s="100" t="str">
        <x:v>Prototype evidence: 0</x:v>
      </x:c>
      <x:c r="F16" s="100" t="str">
        <x:v>Controlled pilot evidence</x:v>
      </x:c>
      <x:c r="G16" s="100" t="str">
        <x:v>Remain zero in approved use</x:v>
      </x:c>
      <x:c r="H16" s="100" t="str">
        <x:v>No production threshold set</x:v>
      </x:c>
      <x:c r="I16" s="100" t="str">
        <x:v>Immediate review on occurrence + periodic evaluation</x:v>
      </x:c>
      <x:c r="J16" s="100" t="str">
        <x:v>AI Owner / Risk / Security</x:v>
      </x:c>
      <x:c r="K16" s="100" t="str">
        <x:v>AI evaluation / incident evidence</x:v>
      </x:c>
      <x:c r="L16" s="100" t="str">
        <x:v>Pause/reassess where material failure occurs</x:v>
      </x:c>
      <x:c r="M16" s="101" t="str">
        <x:v>Prototype Evidence Only</x:v>
      </x:c>
    </x:row>
    <x:row r="17">
      <x:c r="A17" s="99" t="str">
        <x:v>KPI-013</x:v>
      </x:c>
      <x:c r="B17" s="100" t="str">
        <x:v>Controlled Fallback Success</x:v>
      </x:c>
      <x:c r="C17" s="100" t="str">
        <x:v>Measure whether core processing can continue safely when optional automation/AI is unavailable</x:v>
      </x:c>
      <x:c r="D17" s="100" t="str">
        <x:v>Successful approved fallback executions / fallback events</x:v>
      </x:c>
      <x:c r="E17" s="100" t="str">
        <x:v>No production baseline</x:v>
      </x:c>
      <x:c r="F17" s="100" t="str">
        <x:v>Design + prototype evidence</x:v>
      </x:c>
      <x:c r="G17" s="100" t="str">
        <x:v>Higher</x:v>
      </x:c>
      <x:c r="H17" s="100" t="str">
        <x:v>TBD after implementation</x:v>
      </x:c>
      <x:c r="I17" s="100" t="str">
        <x:v>Operational resilience review</x:v>
      </x:c>
      <x:c r="J17" s="100" t="str">
        <x:v>Operations / Engineering / Product</x:v>
      </x:c>
      <x:c r="K17" s="100" t="str">
        <x:v>Incident/runbook/fallback evidence</x:v>
      </x:c>
      <x:c r="L17" s="100" t="str">
        <x:v>Assess BEN-010 and resilience</x:v>
      </x:c>
      <x:c r="M17" s="101" t="str">
        <x:v>Measure Defined</x:v>
      </x:c>
    </x:row>
    <x:row r="18">
      <x:c r="A18" s="102" t="str">
        <x:v>KPI-014</x:v>
      </x:c>
      <x:c r="B18" s="103" t="str">
        <x:v>Pending Case Share</x:v>
      </x:c>
      <x:c r="C18" s="103" t="str">
        <x:v>Track workload not yet finalised at the measurement point</x:v>
      </x:c>
      <x:c r="D18" s="103" t="str">
        <x:v>Pending cases / total cases</x:v>
      </x:c>
      <x:c r="E18" s="103" t="str">
        <x:v>407 / 2,500 = 16.28%</x:v>
      </x:c>
      <x:c r="F18" s="103" t="str">
        <x:v>Synthetic baseline analysis</x:v>
      </x:c>
      <x:c r="G18" s="103" t="str">
        <x:v>Context-dependent; monitor rather than assume lower is always better</x:v>
      </x:c>
      <x:c r="H18" s="103" t="str">
        <x:v>TBD after live process baseline</x:v>
      </x:c>
      <x:c r="I18" s="103" t="str">
        <x:v>Operational review</x:v>
      </x:c>
      <x:c r="J18" s="103" t="str">
        <x:v>Business Operations</x:v>
      </x:c>
      <x:c r="K18" s="103" t="str">
        <x:v>Case status data</x:v>
      </x:c>
      <x:c r="L18" s="103" t="str">
        <x:v>Context for backlog/flow interpretation</x:v>
      </x:c>
      <x:c r="M18" s="104" t="str">
        <x:v>Baseline Established</x:v>
      </x:c>
    </x:row>
  </x:sheetData>
  <x:mergeCells>
    <x:mergeCell ref="A1:M1"/>
    <x:mergeCell ref="A2:M2"/>
  </x:mergeCells>
  <x:conditionalFormatting sqref="M5:M40">
    <x:cfRule type="expression" dxfId="3" priority="1">
      <x:formula>M5="Baseline Established"</x:formula>
    </x:cfRule>
    <x:cfRule type="expression" dxfId="4" priority="2">
      <x:formula>M5="Measure Defined"</x:formula>
    </x:cfRule>
    <x:cfRule type="expression" dxfId="5" priority="3">
      <x:formula>M5="Prototype Evidence Only"</x:formula>
    </x:cfRule>
  </x:conditionalFormatting>
  <x:dataValidations count="1">
    <x:dataValidation type="list" sqref="M5:M40">
      <x:formula1>"Baseline Established,Measure Defined,Prototype Evidence Only,Operational"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2" hidden="0" customWidth="1"/>
    <x:col min="5" max="5" width="40" hidden="0" customWidth="1"/>
    <x:col min="6" max="6" width="20" hidden="0" customWidth="1"/>
    <x:col min="7" max="7" width="30" hidden="0" customWidth="1"/>
    <x:col min="8" max="8" width="40" hidden="0" customWidth="1"/>
  </x:cols>
  <x:sheetData>
    <x:row r="1">
      <x:c r="A1" s="5" t="str">
        <x:v>PayFix AI 2.0 — Observed Synthetic Baseline Measures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These are observed results from the synthetic baseline dataset used earlier in the project. They are not production performance and must not be represented as realised business outcomes.</x:v>
      </x:c>
      <x:c r="B2" s="13"/>
      <x:c r="C2" s="13"/>
      <x:c r="D2" s="13"/>
      <x:c r="E2" s="13"/>
      <x:c r="F2" s="13"/>
      <x:c r="G2" s="13"/>
      <x:c r="H2" s="13"/>
    </x:row>
    <x:row r="4">
      <x:c r="A4" s="96" t="str">
        <x:v>Measure ID</x:v>
      </x:c>
      <x:c r="B4" s="97" t="str">
        <x:v>Baseline Measure</x:v>
      </x:c>
      <x:c r="C4" s="97" t="str">
        <x:v>Observed Value</x:v>
      </x:c>
      <x:c r="D4" s="97" t="str">
        <x:v>Unit / Denominator</x:v>
      </x:c>
      <x:c r="E4" s="97" t="str">
        <x:v>Interpretation</x:v>
      </x:c>
      <x:c r="F4" s="97" t="str">
        <x:v>Related KPI</x:v>
      </x:c>
      <x:c r="G4" s="97" t="str">
        <x:v>Evidence Source</x:v>
      </x:c>
      <x:c r="H4" s="98" t="str">
        <x:v>Caution</x:v>
      </x:c>
      <x:c r="J4" s="21" t="str">
        <x:v>Percentage Baseline</x:v>
      </x:c>
      <x:c r="K4" s="21" t="str">
        <x:v>Value</x:v>
      </x:c>
      <x:c r="R4" s="21" t="str">
        <x:v>Average Process Measure</x:v>
      </x:c>
      <x:c r="S4" s="21" t="str">
        <x:v>Value</x:v>
      </x:c>
    </x:row>
    <x:row r="5">
      <x:c r="A5" s="99" t="str">
        <x:v>BL-001</x:v>
      </x:c>
      <x:c r="B5" s="100" t="str">
        <x:v>Total synthetic cases</x:v>
      </x:c>
      <x:c r="C5" s="114" t="n">
        <x:v>2500</x:v>
      </x:c>
      <x:c r="D5" s="100" t="str">
        <x:v>cases</x:v>
      </x:c>
      <x:c r="E5" s="100" t="str">
        <x:v>Synthetic analysis population</x:v>
      </x:c>
      <x:c r="F5" s="100" t="str">
        <x:v>Context</x:v>
      </x:c>
      <x:c r="G5" s="100" t="str">
        <x:v>Step 16/17 synthetic dataset</x:v>
      </x:c>
      <x:c r="H5" s="101" t="str">
        <x:v>Not a production volume forecast.</x:v>
      </x:c>
      <x:c r="J5" t="str">
        <x:v>SLA breach rate</x:v>
      </x:c>
      <x:c r="K5" s="32" t="n">
        <x:f>C10</x:f>
        <x:v>0.4968944099378882</x:v>
      </x:c>
      <x:c r="R5" t="str">
        <x:v>Manual handoffs</x:v>
      </x:c>
      <x:c r="S5" t="n">
        <x:f>C12</x:f>
        <x:v>1.49</x:v>
      </x:c>
    </x:row>
    <x:row r="6">
      <x:c r="A6" s="99" t="str">
        <x:v>BL-002</x:v>
      </x:c>
      <x:c r="B6" s="100" t="str">
        <x:v>Finalised cases</x:v>
      </x:c>
      <x:c r="C6" s="114" t="n">
        <x:v>2093</x:v>
      </x:c>
      <x:c r="D6" s="100" t="str">
        <x:v>cases</x:v>
      </x:c>
      <x:c r="E6" s="100" t="str">
        <x:v>Cases with final outcome in baseline data</x:v>
      </x:c>
      <x:c r="F6" s="100" t="str">
        <x:v>KPI-001, KPI-002</x:v>
      </x:c>
      <x:c r="G6" s="100" t="str">
        <x:v>Step 17 baseline analysis</x:v>
      </x:c>
      <x:c r="H6" s="101" t="str">
        <x:v>Used as denominator for finalised-case SLA rate.</x:v>
      </x:c>
      <x:c r="J6" t="str">
        <x:v>Escalation rate</x:v>
      </x:c>
      <x:c r="K6" s="32" t="n">
        <x:f>C15</x:f>
        <x:v>0.284</x:v>
      </x:c>
      <x:c r="R6" t="str">
        <x:v>Rework</x:v>
      </x:c>
      <x:c r="S6" t="n">
        <x:f>C13</x:f>
        <x:v>0.66</x:v>
      </x:c>
    </x:row>
    <x:row r="7">
      <x:c r="A7" s="99" t="str">
        <x:v>BL-003</x:v>
      </x:c>
      <x:c r="B7" s="100" t="str">
        <x:v>Pending cases</x:v>
      </x:c>
      <x:c r="C7" s="114" t="n">
        <x:v>407</x:v>
      </x:c>
      <x:c r="D7" s="100" t="str">
        <x:v>cases</x:v>
      </x:c>
      <x:c r="E7" s="100" t="str">
        <x:v>Cases not finalised at baseline measurement point</x:v>
      </x:c>
      <x:c r="F7" s="100" t="str">
        <x:v>KPI-014</x:v>
      </x:c>
      <x:c r="G7" s="100" t="str">
        <x:v>Step 17 baseline analysis</x:v>
      </x:c>
      <x:c r="H7" s="101" t="str">
        <x:v>Pending does not mean no breach.</x:v>
      </x:c>
      <x:c r="J7" t="str">
        <x:v>Complaint indicator</x:v>
      </x:c>
      <x:c r="K7" s="32" t="n">
        <x:f>C16</x:f>
        <x:v>0.194</x:v>
      </x:c>
      <x:c r="R7" t="str">
        <x:v>Customer contacts</x:v>
      </x:c>
      <x:c r="S7" t="n">
        <x:f>C14</x:f>
        <x:v>2.2</x:v>
      </x:c>
    </x:row>
    <x:row r="8">
      <x:c r="A8" s="99" t="str">
        <x:v>BL-004</x:v>
      </x:c>
      <x:c r="B8" s="100" t="str">
        <x:v>Pending case share</x:v>
      </x:c>
      <x:c r="C8" s="115" t="n">
        <x:f>C7/C5</x:f>
        <x:v>0.1628</x:v>
      </x:c>
      <x:c r="D8" s="100" t="str">
        <x:v>% of all cases</x:v>
      </x:c>
      <x:c r="E8" s="100" t="str">
        <x:v>407 / 2,500</x:v>
      </x:c>
      <x:c r="F8" s="100" t="str">
        <x:v>KPI-014</x:v>
      </x:c>
      <x:c r="G8" s="100" t="str">
        <x:v>Derived from Step 17 baseline</x:v>
      </x:c>
      <x:c r="H8" s="101" t="str">
        <x:v>Context measure; not automatically a benefit target.</x:v>
      </x:c>
      <x:c r="J8" t="str">
        <x:v>Fraud referral rate</x:v>
      </x:c>
      <x:c r="K8" s="32" t="n">
        <x:f>C17</x:f>
        <x:v>0.162</x:v>
      </x:c>
    </x:row>
    <x:row r="9">
      <x:c r="A9" s="99" t="str">
        <x:v>BL-005</x:v>
      </x:c>
      <x:c r="B9" s="100" t="str">
        <x:v>SLA-breached finalised cases</x:v>
      </x:c>
      <x:c r="C9" s="114" t="n">
        <x:v>1040</x:v>
      </x:c>
      <x:c r="D9" s="100" t="str">
        <x:v>cases</x:v>
      </x:c>
      <x:c r="E9" s="100" t="str">
        <x:v>Finalised cases flagged as breaching the synthetic service target</x:v>
      </x:c>
      <x:c r="F9" s="100" t="str">
        <x:v>KPI-002</x:v>
      </x:c>
      <x:c r="G9" s="100" t="str">
        <x:v>Step 17 baseline analysis</x:v>
      </x:c>
      <x:c r="H9" s="101" t="str">
        <x:v>Denominator is finalised cases only.</x:v>
      </x:c>
      <x:c r="J9" t="str">
        <x:v>Pending case share</x:v>
      </x:c>
      <x:c r="K9" s="32" t="n">
        <x:f>C8</x:f>
        <x:v>0.1628</x:v>
      </x:c>
    </x:row>
    <x:row r="10">
      <x:c r="A10" s="99" t="str">
        <x:v>BL-006</x:v>
      </x:c>
      <x:c r="B10" s="100" t="str">
        <x:v>SLA breach rate</x:v>
      </x:c>
      <x:c r="C10" s="116" t="n">
        <x:f>C9/C6</x:f>
        <x:v>0.4968944099378882</x:v>
      </x:c>
      <x:c r="D10" s="100" t="str">
        <x:v>% of finalised cases</x:v>
      </x:c>
      <x:c r="E10" s="100" t="str">
        <x:v>1,040 / 2,093</x:v>
      </x:c>
      <x:c r="F10" s="100" t="str">
        <x:v>KPI-002</x:v>
      </x:c>
      <x:c r="G10" s="100" t="str">
        <x:v>Derived from Step 17 baseline</x:v>
      </x:c>
      <x:c r="H10" s="101" t="str">
        <x:v>Use finalised-case denominator.</x:v>
      </x:c>
    </x:row>
    <x:row r="11">
      <x:c r="A11" s="99" t="str">
        <x:v>BL-007</x:v>
      </x:c>
      <x:c r="B11" s="100" t="str">
        <x:v>Average resolution time</x:v>
      </x:c>
      <x:c r="C11" s="117" t="n">
        <x:v>128.4</x:v>
      </x:c>
      <x:c r="D11" s="100" t="str">
        <x:v>hours</x:v>
      </x:c>
      <x:c r="E11" s="100" t="str">
        <x:v>Average for finalised cases</x:v>
      </x:c>
      <x:c r="F11" s="100" t="str">
        <x:v>KPI-001</x:v>
      </x:c>
      <x:c r="G11" s="100" t="str">
        <x:v>Step 17 baseline analysis</x:v>
      </x:c>
      <x:c r="H11" s="101" t="str">
        <x:v>Synthetic baseline only.</x:v>
      </x:c>
    </x:row>
    <x:row r="12">
      <x:c r="A12" s="99" t="str">
        <x:v>BL-008</x:v>
      </x:c>
      <x:c r="B12" s="100" t="str">
        <x:v>Average manual handoffs</x:v>
      </x:c>
      <x:c r="C12" s="118" t="n">
        <x:v>1.49</x:v>
      </x:c>
      <x:c r="D12" s="100" t="str">
        <x:v>per case</x:v>
      </x:c>
      <x:c r="E12" s="100" t="str">
        <x:v>Average handoff count</x:v>
      </x:c>
      <x:c r="F12" s="100" t="str">
        <x:v>KPI-003</x:v>
      </x:c>
      <x:c r="G12" s="100" t="str">
        <x:v>Step 17 baseline analysis</x:v>
      </x:c>
      <x:c r="H12" s="101" t="str">
        <x:v>Some handoffs may be legitimate.</x:v>
      </x:c>
    </x:row>
    <x:row r="13">
      <x:c r="A13" s="99" t="str">
        <x:v>BL-009</x:v>
      </x:c>
      <x:c r="B13" s="100" t="str">
        <x:v>Average rework</x:v>
      </x:c>
      <x:c r="C13" s="118" t="n">
        <x:v>0.66</x:v>
      </x:c>
      <x:c r="D13" s="100" t="str">
        <x:v>per case</x:v>
      </x:c>
      <x:c r="E13" s="100" t="str">
        <x:v>Average recorded rework</x:v>
      </x:c>
      <x:c r="F13" s="100" t="str">
        <x:v>KPI-004</x:v>
      </x:c>
      <x:c r="G13" s="100" t="str">
        <x:v>Step 17 baseline analysis</x:v>
      </x:c>
      <x:c r="H13" s="101" t="str">
        <x:v>Distinguish avoidable rework from necessary review.</x:v>
      </x:c>
    </x:row>
    <x:row r="14">
      <x:c r="A14" s="99" t="str">
        <x:v>BL-010</x:v>
      </x:c>
      <x:c r="B14" s="100" t="str">
        <x:v>Average customer contacts</x:v>
      </x:c>
      <x:c r="C14" s="118" t="n">
        <x:v>2.2</x:v>
      </x:c>
      <x:c r="D14" s="100" t="str">
        <x:v>per case</x:v>
      </x:c>
      <x:c r="E14" s="100" t="str">
        <x:v>Average customer contact count</x:v>
      </x:c>
      <x:c r="F14" s="100" t="str">
        <x:v>KPI-005</x:v>
      </x:c>
      <x:c r="G14" s="100" t="str">
        <x:v>Step 17 baseline analysis</x:v>
      </x:c>
      <x:c r="H14" s="101" t="str">
        <x:v>Necessary communications should not be suppressed.</x:v>
      </x:c>
    </x:row>
    <x:row r="15">
      <x:c r="A15" s="99" t="str">
        <x:v>BL-011</x:v>
      </x:c>
      <x:c r="B15" s="100" t="str">
        <x:v>Escalation rate</x:v>
      </x:c>
      <x:c r="C15" s="116" t="n">
        <x:v>0.284</x:v>
      </x:c>
      <x:c r="D15" s="100" t="str">
        <x:v>% of cases</x:v>
      </x:c>
      <x:c r="E15" s="100" t="str">
        <x:v>Cases marked escalated</x:v>
      </x:c>
      <x:c r="F15" s="100" t="str">
        <x:v>KPI-006</x:v>
      </x:c>
      <x:c r="G15" s="100" t="str">
        <x:v>Step 17 baseline analysis</x:v>
      </x:c>
      <x:c r="H15" s="101" t="str">
        <x:v>Escalation may be appropriate.</x:v>
      </x:c>
    </x:row>
    <x:row r="16">
      <x:c r="A16" s="99" t="str">
        <x:v>BL-012</x:v>
      </x:c>
      <x:c r="B16" s="100" t="str">
        <x:v>Complaint indicator rate</x:v>
      </x:c>
      <x:c r="C16" s="116" t="n">
        <x:v>0.194</x:v>
      </x:c>
      <x:c r="D16" s="100" t="str">
        <x:v>% of cases</x:v>
      </x:c>
      <x:c r="E16" s="100" t="str">
        <x:v>Cases with complaint indicator/link</x:v>
      </x:c>
      <x:c r="F16" s="100" t="str">
        <x:v>KPI-007</x:v>
      </x:c>
      <x:c r="G16" s="100" t="str">
        <x:v>Step 17 baseline analysis</x:v>
      </x:c>
      <x:c r="H16" s="101" t="str">
        <x:v>Association indicator, not causal proof.</x:v>
      </x:c>
    </x:row>
    <x:row r="17">
      <x:c r="A17" s="99" t="str">
        <x:v>BL-013</x:v>
      </x:c>
      <x:c r="B17" s="100" t="str">
        <x:v>Fraud referral rate</x:v>
      </x:c>
      <x:c r="C17" s="116" t="n">
        <x:v>0.162</x:v>
      </x:c>
      <x:c r="D17" s="100" t="str">
        <x:v>% of cases</x:v>
      </x:c>
      <x:c r="E17" s="100" t="str">
        <x:v>Cases referred for fraud review</x:v>
      </x:c>
      <x:c r="F17" s="100" t="str">
        <x:v>Context</x:v>
      </x:c>
      <x:c r="G17" s="100" t="str">
        <x:v>Step 17 baseline analysis</x:v>
      </x:c>
      <x:c r="H17" s="101" t="str">
        <x:v>Not a target for reduction; referrals may be necessary.</x:v>
      </x:c>
    </x:row>
    <x:row r="18">
      <x:c r="A18" s="99" t="str">
        <x:v>BL-014</x:v>
      </x:c>
      <x:c r="B18" s="100" t="str">
        <x:v>Total disputed value</x:v>
      </x:c>
      <x:c r="C18" s="119" t="n">
        <x:v>296376.68</x:v>
      </x:c>
      <x:c r="D18" s="100" t="str">
        <x:v>GBP</x:v>
      </x:c>
      <x:c r="E18" s="100" t="str">
        <x:v>Total disputed amount in synthetic baseline</x:v>
      </x:c>
      <x:c r="F18" s="100" t="str">
        <x:v>Context</x:v>
      </x:c>
      <x:c r="G18" s="100" t="str">
        <x:v>Step 17 baseline analysis</x:v>
      </x:c>
      <x:c r="H18" s="101" t="str">
        <x:v>Synthetic monetary total; not a forecast.</x:v>
      </x:c>
    </x:row>
    <x:row r="19">
      <x:c r="A19" s="102" t="str">
        <x:v>BL-015</x:v>
      </x:c>
      <x:c r="B19" s="103" t="str">
        <x:v>Total refund value</x:v>
      </x:c>
      <x:c r="C19" s="120" t="n">
        <x:v>125924.5</x:v>
      </x:c>
      <x:c r="D19" s="103" t="str">
        <x:v>GBP</x:v>
      </x:c>
      <x:c r="E19" s="103" t="str">
        <x:v>Total refund amount in synthetic baseline</x:v>
      </x:c>
      <x:c r="F19" s="103" t="str">
        <x:v>Context</x:v>
      </x:c>
      <x:c r="G19" s="103" t="str">
        <x:v>Step 17 baseline analysis</x:v>
      </x:c>
      <x:c r="H19" s="104" t="str">
        <x:v>Synthetic monetary total; not a benefit value.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b80e790d55d43e9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2" hidden="0" customWidth="1"/>
    <x:col min="4" max="4" width="44" hidden="0" customWidth="1"/>
    <x:col min="5" max="5" width="38" hidden="0" customWidth="1"/>
    <x:col min="6" max="6" width="48" hidden="0" customWidth="1"/>
    <x:col min="7" max="7" width="30" hidden="0" customWidth="1"/>
    <x:col min="8" max="8" width="42" hidden="0" customWidth="1"/>
    <x:col min="9" max="9" width="42" hidden="0" customWidth="1"/>
    <x:col min="10" max="10" width="28" hidden="0" customWidth="1"/>
    <x:col min="11" max="11" width="44" hidden="0" customWidth="1"/>
    <x:col min="12" max="12" width="20" hidden="0" customWidth="1"/>
  </x:cols>
  <x:sheetData>
    <x:row r="1">
      <x:c r="A1" s="5" t="str">
        <x:v>PayFix AI 2.0 — Benefits Measurement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This plan specifies how benefits should be evidenced after implementation. It does not pre-populate future actuals or declare that any benefit has been realised.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96" t="str">
        <x:v>Plan ID</x:v>
      </x:c>
      <x:c r="B4" s="97" t="str">
        <x:v>Benefit ID</x:v>
      </x:c>
      <x:c r="C4" s="97" t="str">
        <x:v>KPI ID(s)</x:v>
      </x:c>
      <x:c r="D4" s="97" t="str">
        <x:v>Measurement Question</x:v>
      </x:c>
      <x:c r="E4" s="97" t="str">
        <x:v>Baseline Position</x:v>
      </x:c>
      <x:c r="F4" s="97" t="str">
        <x:v>Future Measurement Method</x:v>
      </x:c>
      <x:c r="G4" s="97" t="str">
        <x:v>Proposed Review Cadence</x:v>
      </x:c>
      <x:c r="H4" s="97" t="str">
        <x:v>Comparison Approach</x:v>
      </x:c>
      <x:c r="I4" s="97" t="str">
        <x:v>Evidence Required</x:v>
      </x:c>
      <x:c r="J4" s="97" t="str">
        <x:v>Owner</x:v>
      </x:c>
      <x:c r="K4" s="97" t="str">
        <x:v>Decision / Action if Trend Adverse</x:v>
      </x:c>
      <x:c r="L4" s="98" t="str">
        <x:v>Status</x:v>
      </x:c>
    </x:row>
    <x:row r="5">
      <x:c r="A5" s="99" t="str">
        <x:v>MP-001</x:v>
      </x:c>
      <x:c r="B5" s="100" t="str">
        <x:v>BEN-001</x:v>
      </x:c>
      <x:c r="C5" s="100" t="str">
        <x:v>KPI-001</x:v>
      </x:c>
      <x:c r="D5" s="100" t="str">
        <x:v>Has average resolution time improved after implementation?</x:v>
      </x:c>
      <x:c r="E5" s="100" t="str">
        <x:v>128.4 hours synthetic baseline</x:v>
      </x:c>
      <x:c r="F5" s="100" t="str">
        <x:v>Calculate the same definition using production finalised cases after stabilisation.</x:v>
      </x:c>
      <x:c r="G5" s="100" t="str">
        <x:v>Periodic benefits review</x:v>
      </x:c>
      <x:c r="H5" s="100" t="str">
        <x:v>Compare like-for-like definitions and case population; explain material mix changes.</x:v>
      </x:c>
      <x:c r="I5" s="100" t="str">
        <x:v>Production lifecycle data, query logic and review record</x:v>
      </x:c>
      <x:c r="J5" s="100" t="str">
        <x:v>Product / Business Operations</x:v>
      </x:c>
      <x:c r="K5" s="100" t="str">
        <x:v>Investigate bottlenecks, queue/ownership or integration issues.</x:v>
      </x:c>
      <x:c r="L5" s="101" t="str">
        <x:v>Designed</x:v>
      </x:c>
    </x:row>
    <x:row r="6">
      <x:c r="A6" s="99" t="str">
        <x:v>MP-002</x:v>
      </x:c>
      <x:c r="B6" s="100" t="str">
        <x:v>BEN-002</x:v>
      </x:c>
      <x:c r="C6" s="100" t="str">
        <x:v>KPI-002</x:v>
      </x:c>
      <x:c r="D6" s="100" t="str">
        <x:v>Has the finalised-case breach rate improved against the approved service target?</x:v>
      </x:c>
      <x:c r="E6" s="100" t="str">
        <x:v>49.7% synthetic finalised-case baseline</x:v>
      </x:c>
      <x:c r="F6" s="100" t="str">
        <x:v>Measure finalised cases against the approved production service target.</x:v>
      </x:c>
      <x:c r="G6" s="100" t="str">
        <x:v>Weekly operational + benefits review</x:v>
      </x:c>
      <x:c r="H6" s="100" t="str">
        <x:v>Keep denominator and target definition explicit.</x:v>
      </x:c>
      <x:c r="I6" s="100" t="str">
        <x:v>Production timestamps, target definition, breach logic</x:v>
      </x:c>
      <x:c r="J6" s="100" t="str">
        <x:v>Business Operations</x:v>
      </x:c>
      <x:c r="K6" s="100" t="str">
        <x:v>Analyse breach causes and prioritise improvement.</x:v>
      </x:c>
      <x:c r="L6" s="101" t="str">
        <x:v>Designed</x:v>
      </x:c>
    </x:row>
    <x:row r="7">
      <x:c r="A7" s="99" t="str">
        <x:v>MP-003</x:v>
      </x:c>
      <x:c r="B7" s="100" t="str">
        <x:v>BEN-003</x:v>
      </x:c>
      <x:c r="C7" s="100" t="str">
        <x:v>KPI-003</x:v>
      </x:c>
      <x:c r="D7" s="100" t="str">
        <x:v>Have avoidable manual handoffs reduced without weakening specialist controls?</x:v>
      </x:c>
      <x:c r="E7" s="100" t="str">
        <x:v>1.49 per case synthetic baseline</x:v>
      </x:c>
      <x:c r="F7" s="100" t="str">
        <x:v>Measure handoffs and categorise necessary vs avoidable transfer reasons.</x:v>
      </x:c>
      <x:c r="G7" s="100" t="str">
        <x:v>Periodic process review</x:v>
      </x:c>
      <x:c r="H7" s="100" t="str">
        <x:v>Do not reward removal of required approval/specialist handoffs.</x:v>
      </x:c>
      <x:c r="I7" s="100" t="str">
        <x:v>Ownership/handoff events + reason categories</x:v>
      </x:c>
      <x:c r="J7" s="100" t="str">
        <x:v>Operations / Product / BA</x:v>
      </x:c>
      <x:c r="K7" s="100" t="str">
        <x:v>Review routing rules, ownership design and training.</x:v>
      </x:c>
      <x:c r="L7" s="101" t="str">
        <x:v>Designed</x:v>
      </x:c>
    </x:row>
    <x:row r="8">
      <x:c r="A8" s="99" t="str">
        <x:v>MP-004</x:v>
      </x:c>
      <x:c r="B8" s="100" t="str">
        <x:v>BEN-004</x:v>
      </x:c>
      <x:c r="C8" s="100" t="str">
        <x:v>KPI-004</x:v>
      </x:c>
      <x:c r="D8" s="100" t="str">
        <x:v>Has avoidable rework reduced?</x:v>
      </x:c>
      <x:c r="E8" s="100" t="str">
        <x:v>0.66 per case synthetic baseline</x:v>
      </x:c>
      <x:c r="F8" s="100" t="str">
        <x:v>Measure rework with reason codes and root-cause analysis.</x:v>
      </x:c>
      <x:c r="G8" s="100" t="str">
        <x:v>Periodic process review</x:v>
      </x:c>
      <x:c r="H8" s="100" t="str">
        <x:v>Separate legitimate re-review from avoidable rework.</x:v>
      </x:c>
      <x:c r="I8" s="100" t="str">
        <x:v>Rework events, reasons, problem records</x:v>
      </x:c>
      <x:c r="J8" s="100" t="str">
        <x:v>Product / Operations / BA</x:v>
      </x:c>
      <x:c r="K8" s="100" t="str">
        <x:v>Prioritise recurring root causes.</x:v>
      </x:c>
      <x:c r="L8" s="101" t="str">
        <x:v>Designed</x:v>
      </x:c>
    </x:row>
    <x:row r="9">
      <x:c r="A9" s="99" t="str">
        <x:v>MP-005</x:v>
      </x:c>
      <x:c r="B9" s="100" t="str">
        <x:v>BEN-005</x:v>
      </x:c>
      <x:c r="C9" s="100" t="str">
        <x:v>KPI-005</x:v>
      </x:c>
      <x:c r="D9" s="100" t="str">
        <x:v>Has avoidable customer contact effort reduced while communications remain appropriate?</x:v>
      </x:c>
      <x:c r="E9" s="100" t="str">
        <x:v>2.20 contacts per case synthetic baseline</x:v>
      </x:c>
      <x:c r="F9" s="100" t="str">
        <x:v>Measure contact count and reason by completed journey.</x:v>
      </x:c>
      <x:c r="G9" s="100" t="str">
        <x:v>Periodic customer/service review</x:v>
      </x:c>
      <x:c r="H9" s="100" t="str">
        <x:v>Interpret alongside complaint/communication outcomes.</x:v>
      </x:c>
      <x:c r="I9" s="100" t="str">
        <x:v>Communication events and reason codes</x:v>
      </x:c>
      <x:c r="J9" s="100" t="str">
        <x:v>Customer Operations / Product</x:v>
      </x:c>
      <x:c r="K9" s="100" t="str">
        <x:v>Review evidence request, status communication and UX friction.</x:v>
      </x:c>
      <x:c r="L9" s="101" t="str">
        <x:v>Designed</x:v>
      </x:c>
    </x:row>
    <x:row r="10">
      <x:c r="A10" s="99" t="str">
        <x:v>MP-006</x:v>
      </x:c>
      <x:c r="B10" s="100" t="str">
        <x:v>BEN-006</x:v>
      </x:c>
      <x:c r="C10" s="100" t="str">
        <x:v>KPI-006</x:v>
      </x:c>
      <x:c r="D10" s="100" t="str">
        <x:v>Are escalations becoming more appropriate and less avoidable?</x:v>
      </x:c>
      <x:c r="E10" s="100" t="str">
        <x:v>28.4% synthetic baseline</x:v>
      </x:c>
      <x:c r="F10" s="100" t="str">
        <x:v>Measure escalation rate plus reason/outcome.</x:v>
      </x:c>
      <x:c r="G10" s="100" t="str">
        <x:v>Periodic process review</x:v>
      </x:c>
      <x:c r="H10" s="100" t="str">
        <x:v>Rate alone is insufficient; legitimate escalations remain valid.</x:v>
      </x:c>
      <x:c r="I10" s="100" t="str">
        <x:v>Escalation events, reasons and outcomes</x:v>
      </x:c>
      <x:c r="J10" s="100" t="str">
        <x:v>Business Operations / Product</x:v>
      </x:c>
      <x:c r="K10" s="100" t="str">
        <x:v>Analyse avoidable routing/authority gaps.</x:v>
      </x:c>
      <x:c r="L10" s="101" t="str">
        <x:v>Designed</x:v>
      </x:c>
    </x:row>
    <x:row r="11">
      <x:c r="A11" s="99" t="str">
        <x:v>MP-007</x:v>
      </x:c>
      <x:c r="B11" s="100" t="str">
        <x:v>BEN-007</x:v>
      </x:c>
      <x:c r="C11" s="100" t="str">
        <x:v>KPI-007</x:v>
      </x:c>
      <x:c r="D11" s="100" t="str">
        <x:v>Is service-caused complaint friction reducing?</x:v>
      </x:c>
      <x:c r="E11" s="100" t="str">
        <x:v>19.4% synthetic complaint indicator</x:v>
      </x:c>
      <x:c r="F11" s="100" t="str">
        <x:v>Measure complaint-linked cases and complaint themes.</x:v>
      </x:c>
      <x:c r="G11" s="100" t="str">
        <x:v>Periodic quality review</x:v>
      </x:c>
      <x:c r="H11" s="100" t="str">
        <x:v>Avoid claiming causality without case/theme analysis.</x:v>
      </x:c>
      <x:c r="I11" s="100" t="str">
        <x:v>Complaint linkage, themes and resolution evidence</x:v>
      </x:c>
      <x:c r="J11" s="100" t="str">
        <x:v>Complaints / Product</x:v>
      </x:c>
      <x:c r="K11" s="100" t="str">
        <x:v>Investigate recurring service/process causes.</x:v>
      </x:c>
      <x:c r="L11" s="101" t="str">
        <x:v>Designed</x:v>
      </x:c>
    </x:row>
    <x:row r="12">
      <x:c r="A12" s="99" t="str">
        <x:v>MP-008</x:v>
      </x:c>
      <x:c r="B12" s="100" t="str">
        <x:v>BEN-008</x:v>
      </x:c>
      <x:c r="C12" s="100" t="str">
        <x:v>KPI-008, KPI-009</x:v>
      </x:c>
      <x:c r="D12" s="100" t="str">
        <x:v>Are ownership and audit controls operating as designed?</x:v>
      </x:c>
      <x:c r="E12" s="100" t="str">
        <x:v>No quantified production baseline</x:v>
      </x:c>
      <x:c r="F12" s="100" t="str">
        <x:v>Measure ownership completeness and required audit-event completeness.</x:v>
      </x:c>
      <x:c r="G12" s="100" t="str">
        <x:v>Operational assurance review</x:v>
      </x:c>
      <x:c r="H12" s="100" t="str">
        <x:v>Establish production baseline first; investigate exceptions rather than invent target.</x:v>
      </x:c>
      <x:c r="I12" s="100" t="str">
        <x:v>Case ownership state, audit-event validation, exception logs</x:v>
      </x:c>
      <x:c r="J12" s="100" t="str">
        <x:v>Service Owner / Audit / Operations</x:v>
      </x:c>
      <x:c r="K12" s="100" t="str">
        <x:v>Correct control gaps; update monitoring/requirements where needed.</x:v>
      </x:c>
      <x:c r="L12" s="101" t="str">
        <x:v>Designed</x:v>
      </x:c>
    </x:row>
    <x:row r="13">
      <x:c r="A13" s="99" t="str">
        <x:v>MP-009</x:v>
      </x:c>
      <x:c r="B13" s="100" t="str">
        <x:v>BEN-009</x:v>
      </x:c>
      <x:c r="C13" s="100" t="str">
        <x:v>KPI-010, KPI-011, KPI-012</x:v>
      </x:c>
      <x:c r="D13" s="100" t="str">
        <x:v>If H3 is approved, is AI assistance useful while remaining safe and human-controlled?</x:v>
      </x:c>
      <x:c r="E13" s="100" t="str">
        <x:v>Step 28 prototype evidence only</x:v>
      </x:c>
      <x:c r="F13" s="100" t="str">
        <x:v>Use controlled production-pilot evaluation with human dispositions and defined critical-failure review.</x:v>
      </x:c>
      <x:c r="G13" s="100" t="str">
        <x:v>Per approved H3 evaluation cycle</x:v>
      </x:c>
      <x:c r="H13" s="100" t="str">
        <x:v>Do not equate acceptance rate alone with safety or business value.</x:v>
      </x:c>
      <x:c r="I13" s="100" t="str">
        <x:v>AI context/output references, reviewer disposition, incident/evaluation evidence</x:v>
      </x:c>
      <x:c r="J13" s="100" t="str">
        <x:v>AI Owner / Product / Risk</x:v>
      </x:c>
      <x:c r="K13" s="100" t="str">
        <x:v>Pause, constrain or withdraw AI use if material concerns emerge.</x:v>
      </x:c>
      <x:c r="L13" s="101" t="str">
        <x:v>Conditional — H3</x:v>
      </x:c>
    </x:row>
    <x:row r="14">
      <x:c r="A14" s="102" t="str">
        <x:v>MP-010</x:v>
      </x:c>
      <x:c r="B14" s="103" t="str">
        <x:v>BEN-010</x:v>
      </x:c>
      <x:c r="C14" s="103" t="str">
        <x:v>KPI-013</x:v>
      </x:c>
      <x:c r="D14" s="103" t="str">
        <x:v>Can core processing continue safely during optional automation/AI failure?</x:v>
      </x:c>
      <x:c r="E14" s="103" t="str">
        <x:v>Design/prototype evidence only</x:v>
      </x:c>
      <x:c r="F14" s="103" t="str">
        <x:v>Measure fallback events and successful safe continuation/recovery.</x:v>
      </x:c>
      <x:c r="G14" s="103" t="str">
        <x:v>Resilience review after tests/incidents</x:v>
      </x:c>
      <x:c r="H14" s="103" t="str">
        <x:v>Evaluate safety and data integrity, not just technical availability.</x:v>
      </x:c>
      <x:c r="I14" s="103" t="str">
        <x:v>Runbook tests, incident evidence, reconciliation results</x:v>
      </x:c>
      <x:c r="J14" s="103" t="str">
        <x:v>Service Owner / Operations / Engineering</x:v>
      </x:c>
      <x:c r="K14" s="103" t="str">
        <x:v>Improve fallback, runbook or architecture controls.</x:v>
      </x:c>
      <x:c r="L14" s="104" t="str">
        <x:v>Designed</x:v>
      </x:c>
    </x:row>
  </x:sheetData>
  <x:mergeCells>
    <x:mergeCell ref="A1:L1"/>
    <x:mergeCell ref="A2:L2"/>
  </x:mergeCells>
  <x:conditionalFormatting sqref="L5:L30">
    <x:cfRule type="expression" dxfId="6" priority="1">
      <x:formula>L5="Designed"</x:formula>
    </x:cfRule>
    <x:cfRule type="expression" dxfId="7" priority="2">
      <x:formula>L5="Operational"</x:formula>
    </x:cfRule>
    <x:cfRule type="expression" dxfId="8" priority="3">
      <x:formula>L5="Conditional — H3"</x:formula>
    </x:cfRule>
  </x:conditionalFormatting>
  <x:dataValidations count="1">
    <x:dataValidation type="list" sqref="L5:L30">
      <x:formula1>"Designed,Operational,Conditional — H3,Retired"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4" hidden="0" customWidth="1"/>
    <x:col min="4" max="4" width="42" hidden="0" customWidth="1"/>
    <x:col min="5" max="5" width="30" hidden="0" customWidth="1"/>
    <x:col min="6" max="6" width="34" hidden="0" customWidth="1"/>
    <x:col min="7" max="7" width="42" hidden="0" customWidth="1"/>
    <x:col min="8" max="8" width="24" hidden="0" customWidth="1"/>
    <x:col min="9" max="9" width="20" hidden="0" customWidth="1"/>
    <x:col min="10" max="10" width="36" hidden="0" customWidth="1"/>
    <x:col min="11" max="11" width="28" hidden="0" customWidth="1"/>
  </x:cols>
  <x:sheetData>
    <x:row r="1">
      <x:c r="A1" s="5" t="str">
        <x:v>PayFix AI 2.0 — Post-Implementation Review (PIR)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No PIR has been performed because PayFix AI 2.0 has not been implemented in production. This sheet defines the review questions and evidence that would be used after an authorised release.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96" t="str">
        <x:v>PIR ID</x:v>
      </x:c>
      <x:c r="B4" s="97" t="str">
        <x:v>Review Area</x:v>
      </x:c>
      <x:c r="C4" s="97" t="str">
        <x:v>Review Question</x:v>
      </x:c>
      <x:c r="D4" s="97" t="str">
        <x:v>Evidence Needed</x:v>
      </x:c>
      <x:c r="E4" s="97" t="str">
        <x:v>When to Review</x:v>
      </x:c>
      <x:c r="F4" s="97" t="str">
        <x:v>Owner / Participants</x:v>
      </x:c>
      <x:c r="G4" s="97" t="str">
        <x:v>Possible Decision / Action</x:v>
      </x:c>
      <x:c r="H4" s="97" t="str">
        <x:v>Related Benefit/KPI</x:v>
      </x:c>
      <x:c r="I4" s="97" t="str">
        <x:v>Current Status</x:v>
      </x:c>
      <x:c r="J4" s="97" t="str">
        <x:v>Actual Finding</x:v>
      </x:c>
      <x:c r="K4" s="98" t="str">
        <x:v>Evidence Reference</x:v>
      </x:c>
    </x:row>
    <x:row r="5">
      <x:c r="A5" s="99" t="str">
        <x:v>PIR-001</x:v>
      </x:c>
      <x:c r="B5" s="100" t="str">
        <x:v>Release Outcomes</x:v>
      </x:c>
      <x:c r="C5" s="100" t="str">
        <x:v>Was the agreed release scope implemented and accepted as intended?</x:v>
      </x:c>
      <x:c r="D5" s="100" t="str">
        <x:v>Release record, UAT/business acceptance, open conditions</x:v>
      </x:c>
      <x:c r="E5" s="100" t="str">
        <x:v>After implementation and stabilisation</x:v>
      </x:c>
      <x:c r="F5" s="100" t="str">
        <x:v>Product, Business, Operations, Engineering</x:v>
      </x:c>
      <x:c r="G5" s="100" t="str">
        <x:v>Confirm scope delivered; address gaps/conditions</x:v>
      </x:c>
      <x:c r="H5" s="100" t="str">
        <x:v>Cross-cutting</x:v>
      </x:c>
      <x:c r="I5" s="100" t="str">
        <x:v>Not Started</x:v>
      </x:c>
      <x:c r="J5" s="100" t="str"/>
      <x:c r="K5" s="101" t="str"/>
    </x:row>
    <x:row r="6">
      <x:c r="A6" s="99" t="str">
        <x:v>PIR-002</x:v>
      </x:c>
      <x:c r="B6" s="100" t="str">
        <x:v>Process Performance</x:v>
      </x:c>
      <x:c r="C6" s="100" t="str">
        <x:v>What changed in resolution time, breach rate, handoffs and rework?</x:v>
      </x:c>
      <x:c r="D6" s="100" t="str">
        <x:v>KPI-001 to KPI-004 production results</x:v>
      </x:c>
      <x:c r="E6" s="100" t="str">
        <x:v>After sufficient operational data exists</x:v>
      </x:c>
      <x:c r="F6" s="100" t="str">
        <x:v>BA, Product, Operations</x:v>
      </x:c>
      <x:c r="G6" s="100" t="str">
        <x:v>Continue, investigate or reprioritise improvement</x:v>
      </x:c>
      <x:c r="H6" s="100" t="str">
        <x:v>BEN-001 to BEN-004</x:v>
      </x:c>
      <x:c r="I6" s="100" t="str">
        <x:v>Not Started</x:v>
      </x:c>
      <x:c r="J6" s="100" t="str"/>
      <x:c r="K6" s="101" t="str"/>
    </x:row>
    <x:row r="7">
      <x:c r="A7" s="99" t="str">
        <x:v>PIR-003</x:v>
      </x:c>
      <x:c r="B7" s="100" t="str">
        <x:v>Customer Experience</x:v>
      </x:c>
      <x:c r="C7" s="100" t="str">
        <x:v>What changed in customer contacts and complaint themes?</x:v>
      </x:c>
      <x:c r="D7" s="100" t="str">
        <x:v>KPI-005, KPI-007 plus qualitative feedback</x:v>
      </x:c>
      <x:c r="E7" s="100" t="str">
        <x:v>After sufficient operational data exists</x:v>
      </x:c>
      <x:c r="F7" s="100" t="str">
        <x:v>Product, Customer Ops, Complaints, BA</x:v>
      </x:c>
      <x:c r="G7" s="100" t="str">
        <x:v>Address service friction / communication issues</x:v>
      </x:c>
      <x:c r="H7" s="100" t="str">
        <x:v>BEN-005, BEN-007</x:v>
      </x:c>
      <x:c r="I7" s="100" t="str">
        <x:v>Not Started</x:v>
      </x:c>
      <x:c r="J7" s="100" t="str"/>
      <x:c r="K7" s="101" t="str"/>
    </x:row>
    <x:row r="8">
      <x:c r="A8" s="99" t="str">
        <x:v>PIR-004</x:v>
      </x:c>
      <x:c r="B8" s="100" t="str">
        <x:v>Routing / Escalation</x:v>
      </x:c>
      <x:c r="C8" s="100" t="str">
        <x:v>Are escalations appropriate and are ownership/routing issues reduced?</x:v>
      </x:c>
      <x:c r="D8" s="100" t="str">
        <x:v>KPI-006, ownership exceptions, referral outcomes</x:v>
      </x:c>
      <x:c r="E8" s="100" t="str">
        <x:v>After sufficient operational data exists</x:v>
      </x:c>
      <x:c r="F8" s="100" t="str">
        <x:v>Business Operations, Product, BA</x:v>
      </x:c>
      <x:c r="G8" s="100" t="str">
        <x:v>Refine ownership/routing/process controls</x:v>
      </x:c>
      <x:c r="H8" s="100" t="str">
        <x:v>BEN-003, BEN-006</x:v>
      </x:c>
      <x:c r="I8" s="100" t="str">
        <x:v>Not Started</x:v>
      </x:c>
      <x:c r="J8" s="100" t="str"/>
      <x:c r="K8" s="101" t="str"/>
    </x:row>
    <x:row r="9">
      <x:c r="A9" s="99" t="str">
        <x:v>PIR-005</x:v>
      </x:c>
      <x:c r="B9" s="100" t="str">
        <x:v>Control &amp; Audit</x:v>
      </x:c>
      <x:c r="C9" s="100" t="str">
        <x:v>Are authority, ownership and audit controls operating correctly?</x:v>
      </x:c>
      <x:c r="D9" s="100" t="str">
        <x:v>KPI-008, KPI-009, audit/security evidence</x:v>
      </x:c>
      <x:c r="E9" s="100" t="str">
        <x:v>After operational assurance period</x:v>
      </x:c>
      <x:c r="F9" s="100" t="str">
        <x:v>Service Owner, Audit, Security, Product</x:v>
      </x:c>
      <x:c r="G9" s="100" t="str">
        <x:v>Strengthen controls / training / monitoring</x:v>
      </x:c>
      <x:c r="H9" s="100" t="str">
        <x:v>BEN-008</x:v>
      </x:c>
      <x:c r="I9" s="100" t="str">
        <x:v>Not Started</x:v>
      </x:c>
      <x:c r="J9" s="100" t="str"/>
      <x:c r="K9" s="101" t="str"/>
    </x:row>
    <x:row r="10">
      <x:c r="A10" s="99" t="str">
        <x:v>PIR-006</x:v>
      </x:c>
      <x:c r="B10" s="100" t="str">
        <x:v>Live Service</x:v>
      </x:c>
      <x:c r="C10" s="100" t="str">
        <x:v>What incidents/problems/support themes emerged and what should change?</x:v>
      </x:c>
      <x:c r="D10" s="100" t="str">
        <x:v>Incident, problem, support and monitoring evidence</x:v>
      </x:c>
      <x:c r="E10" s="100" t="str">
        <x:v>After live-service evidence exists</x:v>
      </x:c>
      <x:c r="F10" s="100" t="str">
        <x:v>Service Owner, Operations, Engineering, BA</x:v>
      </x:c>
      <x:c r="G10" s="100" t="str">
        <x:v>Create backlog/process/runbook improvements</x:v>
      </x:c>
      <x:c r="H10" s="100" t="str">
        <x:v>Cross-cutting</x:v>
      </x:c>
      <x:c r="I10" s="100" t="str">
        <x:v>Not Started</x:v>
      </x:c>
      <x:c r="J10" s="100" t="str"/>
      <x:c r="K10" s="101" t="str"/>
    </x:row>
    <x:row r="11">
      <x:c r="A11" s="99" t="str">
        <x:v>PIR-007</x:v>
      </x:c>
      <x:c r="B11" s="100" t="str">
        <x:v>Security &amp; Privacy</x:v>
      </x:c>
      <x:c r="C11" s="100" t="str">
        <x:v>Did implementation reveal new security/privacy risks or control gaps?</x:v>
      </x:c>
      <x:c r="D11" s="100" t="str">
        <x:v>Security/privacy incidents, assurance reviews, DPIA updates</x:v>
      </x:c>
      <x:c r="E11" s="100" t="str">
        <x:v>After production operation and on material change</x:v>
      </x:c>
      <x:c r="F11" s="100" t="str">
        <x:v>Security, Privacy, Product</x:v>
      </x:c>
      <x:c r="G11" s="100" t="str">
        <x:v>Update controls, DPIA, access or operating model</x:v>
      </x:c>
      <x:c r="H11" s="100" t="str">
        <x:v>Cross-cutting</x:v>
      </x:c>
      <x:c r="I11" s="100" t="str">
        <x:v>Not Started</x:v>
      </x:c>
      <x:c r="J11" s="100" t="str"/>
      <x:c r="K11" s="101" t="str"/>
    </x:row>
    <x:row r="12">
      <x:c r="A12" s="99" t="str">
        <x:v>PIR-008</x:v>
      </x:c>
      <x:c r="B12" s="100" t="str">
        <x:v>Benefits Realisation</x:v>
      </x:c>
      <x:c r="C12" s="100" t="str">
        <x:v>Which expected benefits are evidenced, uncertain or not realised?</x:v>
      </x:c>
      <x:c r="D12" s="100" t="str">
        <x:v>Benefits register, KPI trends, qualitative evidence</x:v>
      </x:c>
      <x:c r="E12" s="100" t="str">
        <x:v>After sufficient evidence period</x:v>
      </x:c>
      <x:c r="F12" s="100" t="str">
        <x:v>Benefit Owners, Product, BA</x:v>
      </x:c>
      <x:c r="G12" s="100" t="str">
        <x:v>Confirm/adjust benefits and future investment priorities</x:v>
      </x:c>
      <x:c r="H12" s="100" t="str">
        <x:v>All benefits</x:v>
      </x:c>
      <x:c r="I12" s="100" t="str">
        <x:v>Not Started</x:v>
      </x:c>
      <x:c r="J12" s="100" t="str"/>
      <x:c r="K12" s="101" t="str"/>
    </x:row>
    <x:row r="13">
      <x:c r="A13" s="99" t="str">
        <x:v>PIR-009</x:v>
      </x:c>
      <x:c r="B13" s="100" t="str">
        <x:v>AI Pilot — if H3 approved</x:v>
      </x:c>
      <x:c r="C13" s="100" t="str">
        <x:v>Did controlled AI assistance add value while maintaining human authority and safety?</x:v>
      </x:c>
      <x:c r="D13" s="100" t="str">
        <x:v>KPI-010 to KPI-012, reviewer evidence, incidents, fallback</x:v>
      </x:c>
      <x:c r="E13" s="100" t="str">
        <x:v>Per approved pilot review</x:v>
      </x:c>
      <x:c r="F13" s="100" t="str">
        <x:v>AI Owner, Product, Risk, Security, Privacy</x:v>
      </x:c>
      <x:c r="G13" s="100" t="str">
        <x:v>Continue, constrain, retrain/reconfigure, pause or withdraw</x:v>
      </x:c>
      <x:c r="H13" s="100" t="str">
        <x:v>BEN-009</x:v>
      </x:c>
      <x:c r="I13" s="100" t="str">
        <x:v>Conditional — H3</x:v>
      </x:c>
      <x:c r="J13" s="100" t="str"/>
      <x:c r="K13" s="101" t="str"/>
    </x:row>
    <x:row r="14">
      <x:c r="A14" s="102" t="str">
        <x:v>PIR-010</x:v>
      </x:c>
      <x:c r="B14" s="103" t="str">
        <x:v>Lessons Learned</x:v>
      </x:c>
      <x:c r="C14" s="103" t="str">
        <x:v>What should be retained, changed or stopped in the next delivery increment?</x:v>
      </x:c>
      <x:c r="D14" s="103" t="str">
        <x:v>Project/service evidence, stakeholder feedback and outcomes</x:v>
      </x:c>
      <x:c r="E14" s="103" t="str">
        <x:v>At formal PIR / major iteration review</x:v>
      </x:c>
      <x:c r="F14" s="103" t="str">
        <x:v>Cross-functional stakeholders</x:v>
      </x:c>
      <x:c r="G14" s="103" t="str">
        <x:v>Update backlog, ways of working and future roadmap</x:v>
      </x:c>
      <x:c r="H14" s="103" t="str">
        <x:v>Cross-cutting</x:v>
      </x:c>
      <x:c r="I14" s="103" t="str">
        <x:v>Not Started</x:v>
      </x:c>
      <x:c r="J14" s="103" t="str"/>
      <x:c r="K14" s="104" t="str"/>
    </x:row>
  </x:sheetData>
  <x:mergeCells>
    <x:mergeCell ref="A1:K1"/>
    <x:mergeCell ref="A2:K2"/>
  </x:mergeCells>
  <x:conditionalFormatting sqref="I5:I30">
    <x:cfRule type="expression" dxfId="9" priority="1">
      <x:formula>I5="Complete"</x:formula>
    </x:cfRule>
    <x:cfRule type="expression" dxfId="10" priority="2">
      <x:formula>I5="Not Started"</x:formula>
    </x:cfRule>
    <x:cfRule type="expression" dxfId="11" priority="3">
      <x:formula>I5="Conditional — H3"</x:formula>
    </x:cfRule>
  </x:conditionalFormatting>
  <x:dataValidations count="1">
    <x:dataValidation type="list" sqref="I5:I30">
      <x:formula1>"Not Started,In Review,Complete,Conditional — H3"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4" max="4" width="30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10" max="10" width="24" hidden="0" customWidth="1"/>
    <x:col min="11" max="11" width="12" hidden="0" customWidth="1"/>
  </x:cols>
  <x:sheetData>
    <x:row r="1">
      <x:c r="A1" s="5" t="str">
        <x:v>PayFix AI 2.0 — Step 35 Benefits and Performance Summary</x:v>
      </x:c>
      <x:c r="B1" s="5"/>
      <x:c r="C1" s="5"/>
      <x:c r="D1" s="5"/>
      <x:c r="E1" s="5"/>
      <x:c r="F1" s="5"/>
      <x:c r="G1" s="5"/>
      <x:c r="H1" s="5"/>
    </x:row>
    <x:row r="3">
      <x:c r="A3" s="69" t="str">
        <x:v>Benefits Realisation Position</x:v>
      </x:c>
      <x:c r="B3" s="76" t="str">
        <x:v>NOT YET MEASURED</x:v>
      </x:c>
      <x:c r="D3" s="21" t="str">
        <x:v>Synthetic Baseline Snapshot</x:v>
      </x:c>
      <x:c r="E3" s="21"/>
      <x:c r="F3" s="21"/>
      <x:c r="G3" s="21"/>
      <x:c r="H3" s="21"/>
      <x:c r="J3" s="21" t="str">
        <x:v>Benefit Status</x:v>
      </x:c>
      <x:c r="K3" s="21" t="str">
        <x:v>Count</x:v>
      </x:c>
    </x:row>
    <x:row r="4">
      <x:c r="J4" t="str">
        <x:v>Realised</x:v>
      </x:c>
      <x:c r="K4" t="n">
        <x:f>COUNTIF(Benefits_Register!J5:J14,"Realised")</x:f>
        <x:v>0</x:v>
      </x:c>
    </x:row>
    <x:row r="5">
      <x:c r="A5" s="69" t="str">
        <x:v>Production Service</x:v>
      </x:c>
      <x:c r="B5" s="75" t="str">
        <x:v>Not Live</x:v>
      </x:c>
      <x:c r="D5" s="136" t="str">
        <x:v>Average resolution time</x:v>
      </x:c>
      <x:c r="E5" s="137" t="str">
        <x:v>128.4 hours</x:v>
      </x:c>
      <x:c r="J5" t="str">
        <x:v>Not Yet Measured</x:v>
      </x:c>
      <x:c r="K5" t="n">
        <x:f>COUNTIF(Benefits_Register!J5:J14,"Not Yet Measured")</x:f>
        <x:v>10</x:v>
      </x:c>
    </x:row>
    <x:row r="6">
      <x:c r="D6" s="128" t="str">
        <x:v>SLA breach rate</x:v>
      </x:c>
      <x:c r="E6" s="138" t="str">
        <x:v>49.7% of finalised cases</x:v>
      </x:c>
    </x:row>
    <x:row r="7">
      <x:c r="A7" s="69" t="str">
        <x:v>Production Approval</x:v>
      </x:c>
      <x:c r="B7" s="81" t="str">
        <x:v>Not Granted</x:v>
      </x:c>
      <x:c r="D7" s="128" t="str">
        <x:v>Average manual handoffs</x:v>
      </x:c>
      <x:c r="E7" s="138" t="str">
        <x:v>1.49 per case</x:v>
      </x:c>
    </x:row>
    <x:row r="8">
      <x:c r="D8" s="128" t="str">
        <x:v>Average rework</x:v>
      </x:c>
      <x:c r="E8" s="138" t="str">
        <x:v>0.66 per case</x:v>
      </x:c>
    </x:row>
    <x:row r="9">
      <x:c r="A9" s="96" t="str">
        <x:v>Benefits / KPI Metric</x:v>
      </x:c>
      <x:c r="B9" s="98" t="str">
        <x:v>Count</x:v>
      </x:c>
      <x:c r="D9" s="128" t="str">
        <x:v>Average customer contacts</x:v>
      </x:c>
      <x:c r="E9" s="138" t="str">
        <x:v>2.20 per case</x:v>
      </x:c>
    </x:row>
    <x:row r="10">
      <x:c r="A10" s="128" t="str">
        <x:v>Benefits registered</x:v>
      </x:c>
      <x:c r="B10" s="129" t="n">
        <x:f>COUNTA(Benefits_Register!A5:A14)</x:f>
        <x:v>10</x:v>
      </x:c>
      <x:c r="D10" s="128" t="str">
        <x:v>Escalation rate</x:v>
      </x:c>
      <x:c r="E10" s="138" t="str">
        <x:v>28.4%</x:v>
      </x:c>
    </x:row>
    <x:row r="11">
      <x:c r="A11" s="128" t="str">
        <x:v>Benefits realised</x:v>
      </x:c>
      <x:c r="B11" s="129" t="n">
        <x:f>COUNTIF(Benefits_Register!J5:J14,"Realised")</x:f>
        <x:v>0</x:v>
      </x:c>
      <x:c r="D11" s="128" t="str">
        <x:v>Complaint indicator rate</x:v>
      </x:c>
      <x:c r="E11" s="138" t="str">
        <x:v>19.4%</x:v>
      </x:c>
    </x:row>
    <x:row r="12">
      <x:c r="A12" s="128" t="str">
        <x:v>Benefits not yet measured</x:v>
      </x:c>
      <x:c r="B12" s="129" t="n">
        <x:f>COUNTIF(Benefits_Register!J5:J14,"Not Yet Measured")</x:f>
        <x:v>10</x:v>
      </x:c>
      <x:c r="D12" s="130" t="str">
        <x:v>Pending cases</x:v>
      </x:c>
      <x:c r="E12" s="139" t="str">
        <x:v>407 of 2,500 (16.28%)</x:v>
      </x:c>
    </x:row>
    <x:row r="13">
      <x:c r="A13" s="128" t="str">
        <x:v>KPIs defined</x:v>
      </x:c>
      <x:c r="B13" s="129" t="n">
        <x:f>COUNTA(KPI_Framework!A5:A18)</x:f>
        <x:v>14</x:v>
      </x:c>
    </x:row>
    <x:row r="14">
      <x:c r="A14" s="128" t="str">
        <x:v>KPIs with synthetic baseline</x:v>
      </x:c>
      <x:c r="B14" s="129" t="n">
        <x:f>COUNTIF(KPI_Framework!M5:M18,"Baseline Established")</x:f>
        <x:v>8</x:v>
      </x:c>
      <x:c r="D14" s="21" t="str">
        <x:v>Benefits Measurement Rules</x:v>
      </x:c>
      <x:c r="E14" s="21"/>
      <x:c r="F14" s="21"/>
      <x:c r="G14" s="21"/>
      <x:c r="H14" s="21"/>
    </x:row>
    <x:row r="15">
      <x:c r="A15" s="128" t="str">
        <x:v>KPIs with prototype evidence only</x:v>
      </x:c>
      <x:c r="B15" s="129" t="n">
        <x:f>COUNTIF(KPI_Framework!M5:M18,"Prototype Evidence Only")</x:f>
        <x:v>3</x:v>
      </x:c>
    </x:row>
    <x:row r="16">
      <x:c r="A16" s="128" t="str">
        <x:v>KPIs defined without production baseline</x:v>
      </x:c>
      <x:c r="B16" s="129" t="n">
        <x:f>COUNTIF(KPI_Framework!M5:M18,"Measure Defined")</x:f>
        <x:v>3</x:v>
      </x:c>
      <x:c r="D16" s="88" t="str">
        <x:v>• Synthetic baseline evidence is used only as the project comparison baseline; it is not production performance.
• No benefit target is invented where stakeholder-approved target evidence does not exist.
• Benefits are not declared realised until comparable post-implementation evidence exists.
• Operational changes in case mix, service targets or measurement definitions must be made explicit before comparison.
• AI prototype results remain prototype evidence and do not count as realised production benefit.
• Negative or neutral results are retained; the benefits register is not rewritten to make implementation appear successful.
• Post-implementation review evidence feeds future backlog, process and service decisions.</x:v>
      </x:c>
      <x:c r="E16" s="88"/>
      <x:c r="F16" s="88"/>
      <x:c r="G16" s="88"/>
      <x:c r="H16" s="88"/>
    </x:row>
    <x:row r="17">
      <x:c r="A17" s="128" t="str">
        <x:v>PIR review areas defined</x:v>
      </x:c>
      <x:c r="B17" s="129" t="n">
        <x:f>COUNTA(PIR_Plan!A5:A14)</x:f>
        <x:v>10</x:v>
      </x:c>
      <x:c r="D17" s="88"/>
      <x:c r="E17" s="88"/>
      <x:c r="F17" s="88"/>
      <x:c r="G17" s="88"/>
      <x:c r="H17" s="88"/>
    </x:row>
    <x:row r="18">
      <x:c r="A18" s="130" t="str">
        <x:v>Completed PIR reviews</x:v>
      </x:c>
      <x:c r="B18" s="131" t="n">
        <x:f>COUNTIF(PIR_Plan!I5:I14,"Complete")</x:f>
        <x:v>0</x:v>
      </x:c>
      <x:c r="D18" s="88"/>
      <x:c r="E18" s="88"/>
      <x:c r="F18" s="88"/>
      <x:c r="G18" s="88"/>
      <x:c r="H18" s="88"/>
    </x:row>
    <x:row r="19">
      <x:c r="D19" s="88"/>
      <x:c r="E19" s="88"/>
      <x:c r="F19" s="88"/>
      <x:c r="G19" s="88"/>
      <x:c r="H19" s="88"/>
    </x:row>
    <x:row r="20">
      <x:c r="D20" s="88"/>
      <x:c r="E20" s="88"/>
      <x:c r="F20" s="88"/>
      <x:c r="G20" s="88"/>
      <x:c r="H20" s="88"/>
      <x:c r="J20" s="21" t="str">
        <x:v>KPI Evidence Status</x:v>
      </x:c>
      <x:c r="K20" s="21" t="str">
        <x:v>Count</x:v>
      </x:c>
    </x:row>
    <x:row r="21">
      <x:c r="D21" s="88"/>
      <x:c r="E21" s="88"/>
      <x:c r="F21" s="88"/>
      <x:c r="G21" s="88"/>
      <x:c r="H21" s="88"/>
      <x:c r="J21" t="str">
        <x:v>Baseline Established</x:v>
      </x:c>
      <x:c r="K21" t="n">
        <x:f>COUNTIF(KPI_Framework!M5:M18,"Baseline Established")</x:f>
        <x:v>8</x:v>
      </x:c>
    </x:row>
    <x:row r="22">
      <x:c r="D22" s="88"/>
      <x:c r="E22" s="88"/>
      <x:c r="F22" s="88"/>
      <x:c r="G22" s="88"/>
      <x:c r="H22" s="88"/>
      <x:c r="J22" t="str">
        <x:v>Measure Defined</x:v>
      </x:c>
      <x:c r="K22" t="n">
        <x:f>COUNTIF(KPI_Framework!M5:M18,"Measure Defined")</x:f>
        <x:v>3</x:v>
      </x:c>
    </x:row>
    <x:row r="23">
      <x:c r="J23" t="str">
        <x:v>Prototype Evidence Only</x:v>
      </x:c>
      <x:c r="K23" t="n">
        <x:f>COUNTIF(KPI_Framework!M5:M18,"Prototype Evidence Only")</x:f>
        <x:v>3</x:v>
      </x:c>
    </x:row>
    <x:row r="24">
      <x:c r="D24" s="21" t="str">
        <x:v>Step 35 Conclusion</x:v>
      </x:c>
      <x:c r="E24" s="21"/>
      <x:c r="F24" s="21"/>
      <x:c r="G24" s="21"/>
      <x:c r="H24" s="21"/>
    </x:row>
    <x:row r="26">
      <x:c r="D26" s="93" t="str">
        <x:v>PayFix AI 2.0 now has a benefits and performance measurement framework linking expected outcomes to KPIs, synthetic baseline evidence, future measurement methods, benefit ownership and post-implementation review. No realised benefits are claimed because the service has not been implemented in production. Targets remain TBD where stakeholder-approved values do not exist. Benefits Realisation: NOT YET MEASURED. Production Service: NOT LIVE. Production Approval: NOT GRANTED.</x:v>
      </x:c>
      <x:c r="E26" s="93"/>
      <x:c r="F26" s="93"/>
      <x:c r="G26" s="93"/>
      <x:c r="H26" s="93"/>
    </x:row>
    <x:row r="27">
      <x:c r="D27" s="93"/>
      <x:c r="E27" s="93"/>
      <x:c r="F27" s="93"/>
      <x:c r="G27" s="93"/>
      <x:c r="H27" s="93"/>
    </x:row>
    <x:row r="28">
      <x:c r="D28" s="93"/>
      <x:c r="E28" s="93"/>
      <x:c r="F28" s="93"/>
      <x:c r="G28" s="93"/>
      <x:c r="H28" s="93"/>
    </x:row>
    <x:row r="29">
      <x:c r="D29" s="93"/>
      <x:c r="E29" s="93"/>
      <x:c r="F29" s="93"/>
      <x:c r="G29" s="93"/>
      <x:c r="H29" s="93"/>
    </x:row>
    <x:row r="30">
      <x:c r="D30" s="93"/>
      <x:c r="E30" s="93"/>
      <x:c r="F30" s="93"/>
      <x:c r="G30" s="93"/>
      <x:c r="H30" s="93"/>
    </x:row>
    <x:row r="31">
      <x:c r="D31" s="93"/>
      <x:c r="E31" s="93"/>
      <x:c r="F31" s="93"/>
      <x:c r="G31" s="93"/>
      <x:c r="H31" s="93"/>
    </x:row>
  </x:sheetData>
  <x:mergeCells>
    <x:mergeCell ref="A1:H1"/>
    <x:mergeCell ref="D3:H3"/>
    <x:mergeCell ref="D14:H14"/>
    <x:mergeCell ref="D16:H22"/>
    <x:mergeCell ref="D24:H24"/>
    <x:mergeCell ref="D26:H31"/>
  </x:mergeCells>
  <x:pageMargins left="0.7" right="0.7" top="0.75" bottom="0.75" header="0.3" footer="0.3"/>
  <x:drawing xmlns:r="http://schemas.openxmlformats.org/officeDocument/2006/relationships" r:id="R2917338e39094ebb"/>
</x:worksheet>
</file>