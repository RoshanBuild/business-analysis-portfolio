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6525e6d5173e4d8e" /></Relationships>
</file>

<file path=xl/workbook.xml><?xml version="1.0" encoding="utf-8"?>
<x:workbook xmlns:x="http://schemas.openxmlformats.org/spreadsheetml/2006/main">
  <x:sheets>
    <x:sheet xmlns:r="http://schemas.openxmlformats.org/officeDocument/2006/relationships" name="Executive_Summary" sheetId="1" r:id="Rabcefa5878414935"/>
    <x:sheet xmlns:r="http://schemas.openxmlformats.org/officeDocument/2006/relationships" name="Lifecycle_Register" sheetId="2" r:id="Rc06eed3d277f44eb"/>
    <x:sheet xmlns:r="http://schemas.openxmlformats.org/officeDocument/2006/relationships" name="Key_Decisions" sheetId="3" r:id="R51aad9b9fa904056"/>
    <x:sheet xmlns:r="http://schemas.openxmlformats.org/officeDocument/2006/relationships" name="Limitations_Open_Items" sheetId="4" r:id="R42ca273a1efe4030"/>
    <x:sheet xmlns:r="http://schemas.openxmlformats.org/officeDocument/2006/relationships" name="Evidence_Index" sheetId="5" r:id="Rcad11ddf593c4f08"/>
    <x:sheet xmlns:r="http://schemas.openxmlformats.org/officeDocument/2006/relationships" name="Closure_Summary" sheetId="6" r:id="Rae6e62a00a3c4bdb"/>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4"/>
      <x:color rgb="FFFFFFFF"/>
      <x:name val="Carlito"/>
    </x:font>
    <x:font>
      <x:i/>
      <x:sz val="11"/>
      <x:color rgb="FF1F1F1F"/>
      <x:name val="Carlito"/>
    </x:font>
    <x:font>
      <x:b/>
      <x:sz val="11"/>
      <x:color rgb="FF1F1F1F"/>
      <x:name val="Carlito"/>
    </x:font>
    <x:font>
      <x:b/>
      <x:sz val="11"/>
      <x:name val="Carlito"/>
    </x:font>
    <x:font>
      <x:b/>
      <x:sz val="11"/>
      <x:color rgb="FF9C0006"/>
      <x:name val="Carlito"/>
    </x:font>
    <x:font>
      <x:b/>
      <x:sz val="11"/>
      <x:color rgb="FFFFFFFF"/>
      <x:name val="Carlito"/>
    </x:font>
  </x:fonts>
  <x:fills count="9">
    <x:fill>
      <x:patternFill patternType="none"/>
    </x:fill>
    <x:fill>
      <x:patternFill patternType="gray125"/>
    </x:fill>
    <x:fill>
      <x:patternFill patternType="solid">
        <x:fgColor rgb="FF17365D"/>
      </x:patternFill>
    </x:fill>
    <x:fill>
      <x:patternFill patternType="solid">
        <x:fgColor rgb="FFEEF6FC"/>
      </x:patternFill>
    </x:fill>
    <x:fill>
      <x:patternFill patternType="solid">
        <x:fgColor rgb="FFD9EAF7"/>
      </x:patternFill>
    </x:fill>
    <x:fill>
      <x:patternFill patternType="solid">
        <x:fgColor rgb="FFE2F0D9"/>
      </x:patternFill>
    </x:fill>
    <x:fill>
      <x:patternFill patternType="solid">
        <x:fgColor rgb="FFFFF2CC"/>
      </x:patternFill>
    </x:fill>
    <x:fill>
      <x:patternFill patternType="solid">
        <x:fgColor rgb="FFFCE4D6"/>
      </x:patternFill>
    </x:fill>
    <x:fill>
      <x:patternFill patternType="solid">
        <x:fgColor rgb="FFE4DFEC"/>
      </x:patternFill>
    </x:fill>
  </x:fills>
  <x:borders count="20">
    <x:border/>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s>
  <x:cellStyleXfs count="1">
    <x:xf numFmtId="0" fontId="0" fillId="0" borderId="0"/>
  </x:cellStyleXfs>
  <x:cellXfs count="10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0" fillId="6" borderId="0" xfId="0" applyNumberFormat="1" applyFont="1" applyFill="1" applyBorder="1"/>
    <x:xf numFmtId="0" fontId="4" fillId="6" borderId="0" xfId="0" applyNumberFormat="1" applyFont="1" applyFill="1" applyBorder="1"/>
    <x:xf numFmtId="0" fontId="0" fillId="6" borderId="1" xfId="0" applyNumberFormat="1" applyFont="1" applyFill="1" applyBorder="1"/>
    <x:xf numFmtId="0" fontId="4" fillId="6" borderId="1" xfId="0" applyNumberFormat="1" applyFont="1" applyFill="1" applyBorder="1"/>
    <x:xf numFmtId="0" fontId="0" fillId="7" borderId="0" xfId="0" applyNumberFormat="1" applyFont="1" applyFill="1" applyBorder="1"/>
    <x:xf numFmtId="0" fontId="5" fillId="7" borderId="0" xfId="0" applyNumberFormat="1" applyFont="1" applyFill="1" applyBorder="1"/>
    <x:xf numFmtId="0" fontId="0" fillId="7" borderId="1" xfId="0" applyNumberFormat="1" applyFont="1" applyFill="1" applyBorder="1"/>
    <x:xf numFmtId="0" fontId="5" fillId="7" borderId="1" xfId="0" applyNumberFormat="1" applyFont="1" applyFill="1" applyBorder="1"/>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horizontal="center" wrapText="1"/>
    </x:xf>
    <x:xf numFmtId="0" fontId="6" fillId="2" borderId="0" xfId="0" applyNumberFormat="1" applyFont="1" applyFill="1" applyBorder="1" applyAlignment="1">
      <x:alignment horizontal="center" vertical="center" wrapText="1"/>
    </x:xf>
    <x:xf numFmtId="0" fontId="6" fillId="2" borderId="1" xfId="0" applyNumberFormat="1" applyFont="1" applyFill="1" applyBorder="1"/>
    <x:xf numFmtId="0" fontId="6" fillId="2" borderId="1" xfId="0" applyNumberFormat="1" applyFont="1" applyFill="1" applyBorder="1" applyAlignment="1">
      <x:alignment wrapText="1"/>
    </x:xf>
    <x:xf numFmtId="0" fontId="6" fillId="2" borderId="1" xfId="0" applyNumberFormat="1" applyFont="1" applyFill="1" applyBorder="1" applyAlignment="1">
      <x:alignment horizontal="center" wrapText="1"/>
    </x:xf>
    <x:xf numFmtId="0" fontId="6"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4" fillId="8" borderId="0" xfId="0" applyNumberFormat="1" applyFont="1" applyFill="1" applyBorder="1" applyAlignment="1">
      <x:alignment vertical="top" wrapText="1"/>
    </x:xf>
    <x:xf numFmtId="0" fontId="0" fillId="8" borderId="1" xfId="0" applyNumberFormat="1" applyFont="1" applyFill="1" applyBorder="1"/>
    <x:xf numFmtId="0" fontId="4" fillId="8" borderId="1" xfId="0" applyNumberFormat="1" applyFont="1" applyFill="1" applyBorder="1"/>
    <x:xf numFmtId="0" fontId="4" fillId="8" borderId="1" xfId="0" applyNumberFormat="1" applyFont="1" applyFill="1" applyBorder="1" applyAlignment="1">
      <x:alignment wrapText="1"/>
    </x:xf>
    <x:xf numFmtId="0" fontId="4" fillId="8" borderId="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5" borderId="0" xfId="0" applyNumberFormat="1" applyFont="1" applyFill="1" applyBorder="1" applyAlignment="1">
      <x:alignment horizontal="center"/>
    </x:xf>
    <x:xf numFmtId="0" fontId="4" fillId="5" borderId="1" xfId="0" applyNumberFormat="1" applyFont="1" applyFill="1" applyBorder="1" applyAlignment="1">
      <x:alignment horizontal="center"/>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8" borderId="0" xfId="0" applyNumberFormat="1" applyFont="1" applyFill="1" applyBorder="1" applyAlignment="1">
      <x:alignment wrapText="1"/>
    </x:xf>
    <x:xf numFmtId="0" fontId="0" fillId="8" borderId="0" xfId="0" applyNumberFormat="1" applyFont="1" applyFill="1" applyBorder="1" applyAlignment="1">
      <x:alignment vertical="top" wrapText="1"/>
    </x:xf>
    <x:xf numFmtId="0" fontId="0" fillId="8" borderId="1" xfId="0" applyNumberFormat="1" applyFont="1" applyFill="1" applyBorder="1" applyAlignment="1">
      <x:alignment wrapText="1"/>
    </x:xf>
    <x:xf numFmtId="0" fontId="0" fillId="8" borderId="1" xfId="0" applyNumberFormat="1" applyFont="1" applyFill="1" applyBorder="1" applyAlignment="1">
      <x:alignment vertical="top" wrapText="1"/>
    </x:xf>
    <x:xf numFmtId="0" fontId="4" fillId="6" borderId="0" xfId="0" applyNumberFormat="1" applyFont="1" applyFill="1" applyBorder="1" applyAlignment="1">
      <x:alignment wrapText="1"/>
    </x:xf>
    <x:xf numFmtId="0" fontId="4" fillId="6" borderId="0" xfId="0" applyNumberFormat="1" applyFont="1" applyFill="1" applyBorder="1" applyAlignment="1">
      <x:alignment vertical="top" wrapText="1"/>
    </x:xf>
    <x:xf numFmtId="0" fontId="4" fillId="6" borderId="1" xfId="0" applyNumberFormat="1" applyFont="1" applyFill="1" applyBorder="1" applyAlignment="1">
      <x:alignment wrapText="1"/>
    </x:xf>
    <x:xf numFmtId="0" fontId="4" fillId="6" borderId="1" xfId="0" applyNumberFormat="1" applyFont="1" applyFill="1" applyBorder="1" applyAlignment="1">
      <x:alignment vertical="top" wrapText="1"/>
    </x:xf>
    <x:xf numFmtId="0" fontId="3" fillId="4" borderId="2" xfId="0" applyNumberFormat="1" applyFont="1" applyFill="1" applyBorder="1" applyAlignment="1">
      <x:alignment vertical="center" wrapText="1"/>
    </x:xf>
    <x:xf numFmtId="0" fontId="0" fillId="0" borderId="3" xfId="0" applyNumberFormat="1" applyFont="1" applyFill="1" applyBorder="1" applyAlignment="1">
      <x:alignment wrapText="1"/>
    </x:xf>
    <x:xf numFmtId="0" fontId="3" fillId="4" borderId="4" xfId="0" applyNumberFormat="1" applyFont="1" applyFill="1" applyBorder="1" applyAlignment="1">
      <x:alignment vertical="center" wrapText="1"/>
    </x:xf>
    <x:xf numFmtId="0" fontId="0" fillId="0" borderId="5" xfId="0" applyNumberFormat="1" applyFont="1" applyFill="1" applyBorder="1" applyAlignment="1">
      <x:alignment wrapText="1"/>
    </x:xf>
    <x:xf numFmtId="0" fontId="3" fillId="4" borderId="6" xfId="0" applyNumberFormat="1" applyFont="1" applyFill="1" applyBorder="1" applyAlignment="1">
      <x:alignment vertical="center" wrapText="1"/>
    </x:xf>
    <x:xf numFmtId="0" fontId="0" fillId="0" borderId="7" xfId="0" applyNumberFormat="1" applyFont="1" applyFill="1" applyBorder="1" applyAlignment="1">
      <x:alignment wrapText="1"/>
    </x:xf>
    <x:xf numFmtId="0" fontId="3" fillId="4" borderId="8" xfId="0" applyNumberFormat="1" applyFont="1" applyFill="1" applyBorder="1" applyAlignment="1">
      <x:alignment vertical="center" wrapText="1"/>
    </x:xf>
    <x:xf numFmtId="0" fontId="0" fillId="0" borderId="9" xfId="0" applyNumberFormat="1" applyFont="1" applyFill="1" applyBorder="1" applyAlignment="1">
      <x:alignment wrapText="1"/>
    </x:xf>
    <x:xf numFmtId="0" fontId="3" fillId="4" borderId="10" xfId="0" applyNumberFormat="1" applyFont="1" applyFill="1" applyBorder="1" applyAlignment="1">
      <x:alignment vertical="center" wrapText="1"/>
    </x:xf>
    <x:xf numFmtId="0" fontId="0" fillId="0" borderId="11" xfId="0" applyNumberFormat="1" applyFont="1" applyFill="1" applyBorder="1" applyAlignment="1">
      <x:alignment wrapText="1"/>
    </x:xf>
    <x:xf numFmtId="0" fontId="3" fillId="4" borderId="12" xfId="0" applyNumberFormat="1" applyFont="1" applyFill="1" applyBorder="1" applyAlignment="1">
      <x:alignment vertical="center" wrapText="1"/>
    </x:xf>
    <x:xf numFmtId="0" fontId="0" fillId="0" borderId="13" xfId="0" applyNumberFormat="1" applyFont="1" applyFill="1" applyBorder="1" applyAlignment="1">
      <x:alignment wrapText="1"/>
    </x:xf>
    <x:xf numFmtId="0" fontId="6" fillId="2" borderId="2" xfId="0" applyNumberFormat="1" applyFont="1" applyFill="1" applyBorder="1" applyAlignment="1">
      <x:alignment horizontal="center" vertical="center" wrapText="1"/>
    </x:xf>
    <x:xf numFmtId="0" fontId="6" fillId="2" borderId="14" xfId="0" applyNumberFormat="1" applyFont="1" applyFill="1" applyBorder="1" applyAlignment="1">
      <x:alignment horizontal="center" vertical="center" wrapText="1"/>
    </x:xf>
    <x:xf numFmtId="0" fontId="6" fillId="2" borderId="3" xfId="0" applyNumberFormat="1" applyFont="1" applyFill="1" applyBorder="1" applyAlignment="1">
      <x:alignment horizontal="center" vertical="center" wrapText="1"/>
    </x:xf>
    <x:xf numFmtId="0" fontId="0" fillId="0" borderId="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6" fillId="2" borderId="8" xfId="0" applyNumberFormat="1" applyFont="1" applyFill="1" applyBorder="1" applyAlignment="1">
      <x:alignment horizontal="center" vertical="center" wrapText="1"/>
    </x:xf>
    <x:xf numFmtId="0" fontId="6" fillId="2" borderId="17" xfId="0" applyNumberFormat="1" applyFont="1" applyFill="1" applyBorder="1" applyAlignment="1">
      <x:alignment horizontal="center" vertical="center" wrapText="1"/>
    </x:xf>
    <x:xf numFmtId="0" fontId="6" fillId="2" borderId="9" xfId="0" applyNumberFormat="1" applyFont="1" applyFill="1" applyBorder="1" applyAlignment="1">
      <x:alignment horizontal="center" vertical="center" wrapText="1"/>
    </x:xf>
    <x:xf numFmtId="0" fontId="0" fillId="0" borderId="10"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5" xfId="0" applyNumberFormat="1" applyFont="1" applyFill="1" applyBorder="1" applyAlignment="1">
      <x:alignment horizontal="center"/>
    </x:xf>
    <x:xf numFmtId="0" fontId="0" fillId="0" borderId="7" xfId="0" applyNumberFormat="1" applyFont="1" applyFill="1" applyBorder="1" applyAlignment="1">
      <x:alignment horizontal="center"/>
    </x:xf>
  </x:cellXfs>
  <x:cellStyles count="1">
    <x:cellStyle name="Normal" xfId="0"/>
  </x:cellStyles>
  <x:dxfs count="6">
    <x:dxf>
      <x:fill>
        <x:patternFill patternType="solid">
          <x:bgColor rgb="FFE2F0D9"/>
        </x:patternFill>
      </x:fill>
    </x:dxf>
    <x:dxf>
      <x:fill>
        <x:patternFill patternType="solid">
          <x:bgColor rgb="FFE2F0D9"/>
        </x:patternFill>
      </x:fill>
    </x:dxf>
    <x:dxf>
      <x:fill>
        <x:patternFill patternType="solid">
          <x:bgColor rgb="FFE2F0D9"/>
        </x:patternFill>
      </x:fill>
    </x:dxf>
    <x:dxf>
      <x:fill>
        <x:patternFill patternType="solid">
          <x:bgColor rgb="FFFFF2CC"/>
        </x:patternFill>
      </x:fill>
    </x:dxf>
    <x:dxf>
      <x:fill>
        <x:patternFill patternType="solid">
          <x:bgColor rgb="FFE2F0D9"/>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3113c4a3f824408" /><Relationship Type="http://schemas.openxmlformats.org/officeDocument/2006/relationships/theme" Target="/xl/theme/theme1.xml" Id="Ra730fe1d8f8947e8" /><Relationship Type="http://schemas.openxmlformats.org/officeDocument/2006/relationships/sharedStrings" Target="/xl/sharedStrings.xml" Id="Raf989c519cda488d" /><Relationship Type="http://schemas.openxmlformats.org/officeDocument/2006/relationships/worksheet" Target="/xl/worksheets/sheet1.xml" Id="Rabcefa5878414935" /><Relationship Type="http://schemas.openxmlformats.org/officeDocument/2006/relationships/worksheet" Target="/xl/worksheets/sheet2.xml" Id="Rc06eed3d277f44eb" /><Relationship Type="http://schemas.openxmlformats.org/officeDocument/2006/relationships/worksheet" Target="/xl/worksheets/sheet3.xml" Id="R51aad9b9fa904056" /><Relationship Type="http://schemas.openxmlformats.org/officeDocument/2006/relationships/worksheet" Target="/xl/worksheets/sheet4.xml" Id="R42ca273a1efe4030" /><Relationship Type="http://schemas.openxmlformats.org/officeDocument/2006/relationships/worksheet" Target="/xl/worksheets/sheet5.xml" Id="Rcad11ddf593c4f08" /><Relationship Type="http://schemas.openxmlformats.org/officeDocument/2006/relationships/worksheet" Target="/xl/worksheets/sheet6.xml" Id="Rae6e62a00a3c4bdb" /></Relationships>
</file>

<file path=xl/drawings/_rels/drawing1.xml.rels>&#65279;<?xml version="1.0" encoding="utf-8"?><Relationships xmlns="http://schemas.openxmlformats.org/package/2006/relationships"><Relationship Type="http://schemas.openxmlformats.org/officeDocument/2006/relationships/chart" Target="/xl/drawings/charts/chart1.xml" Id="R87709c39a85148b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Portfolio Lifecycle Closure</a:t>
            </a:r>
          </a:p>
        </c:rich>
      </c:tx>
    </c:title>
    <c:plotArea>
      <c:barChart>
        <c:barDir val="col"/>
        <c:varyColors val="0"/>
        <c:ser>
          <c:idx val="0"/>
          <c:order val="0"/>
          <c:tx>
            <c:v>Count</c:v>
          </c:tx>
          <c:cat>
            <c:strRef>
              <c:f>'Closure_Summary'!$J$4:$J$5</c:f>
              <c:strCache>
                <c:ptCount val="0"/>
              </c:strCache>
            </c:strRef>
          </c:cat>
          <c:val>
            <c:numRef>
              <c:f>'Closure_Summary'!$K$4:$K$5</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6</xdr:row>
      <xdr:rowOff>0</xdr:rowOff>
    </xdr:from>
    <xdr:to>
      <xdr:col>15</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7709c39a85148b5"/>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drawing" Target="/xl/drawings/drawing1.xml" Id="Re81dc5cea9de4450" /></Relationships>
</file>

<file path=xl/worksheets/sheet1.xml><?xml version="1.0" encoding="utf-8"?>
<x:worksheet xmlns:x="http://schemas.openxmlformats.org/spreadsheetml/2006/main">
  <x:sheetFormatPr defaultRowHeight="15"/>
  <x:cols>
    <x:col min="1" max="1" width="32" hidden="0" customWidth="1"/>
    <x:col min="2" max="2" width="34" hidden="0" customWidth="1"/>
    <x:col min="4" max="4" width="34" hidden="0" customWidth="1"/>
    <x:col min="5" max="5" width="28" hidden="0" customWidth="1"/>
    <x:col min="6" max="6" width="20" hidden="0" customWidth="1"/>
    <x:col min="7" max="7" width="20" hidden="0" customWidth="1"/>
    <x:col min="8" max="8" width="20" hidden="0" customWidth="1"/>
  </x:cols>
  <x:sheetData>
    <x:row r="1" ht="30" customHeight="1">
      <x:c r="A1" s="5" t="str">
        <x:v>PayFix AI 2.0 — Final Project Executive Summary</x:v>
      </x:c>
      <x:c r="B1" s="5"/>
      <x:c r="C1" s="5"/>
      <x:c r="D1" s="5"/>
      <x:c r="E1" s="5"/>
      <x:c r="F1" s="5"/>
      <x:c r="G1" s="5"/>
      <x:c r="H1" s="5"/>
    </x:row>
    <x:row r="2">
      <x:c r="A2" s="13" t="str">
        <x:v>PayFix AI 2.0 is a UK-style Technical Business Analyst portfolio project covering the lifecycle from problem/context analysis through process improvement, requirements, backlog, digital/data analysis, Responsible AI, controlled prototype evaluation, testing/UAT design, security/privacy assurance, release readiness, live-service design, benefits measurement and capability evidence. The project is closed as a portfolio design-and-evidence exercise; it is not represented as a deployed production service.</x:v>
      </x:c>
      <x:c r="B2" s="13"/>
      <x:c r="C2" s="13"/>
      <x:c r="D2" s="13"/>
      <x:c r="E2" s="13"/>
      <x:c r="F2" s="13"/>
      <x:c r="G2" s="13"/>
      <x:c r="H2" s="13"/>
    </x:row>
    <x:row r="3">
      <x:c r="A3" s="13"/>
      <x:c r="B3" s="13"/>
      <x:c r="C3" s="13"/>
      <x:c r="D3" s="13"/>
      <x:c r="E3" s="13"/>
      <x:c r="F3" s="13"/>
      <x:c r="G3" s="13"/>
      <x:c r="H3" s="13"/>
    </x:row>
    <x:row r="5">
      <x:c r="A5" s="21" t="str">
        <x:v>Final Portfolio Status</x:v>
      </x:c>
      <x:c r="B5" s="28" t="str">
        <x:v>COMPLETE — DESIGN / ANALYSIS / PROTOTYPE EVIDENCE</x:v>
      </x:c>
      <x:c r="D5" s="43" t="str">
        <x:v>Key Project Facts</x:v>
      </x:c>
      <x:c r="E5" s="43"/>
      <x:c r="F5" s="43"/>
      <x:c r="G5" s="43"/>
      <x:c r="H5" s="43"/>
    </x:row>
    <x:row r="7">
      <x:c r="A7" s="21" t="str">
        <x:v>Production Service</x:v>
      </x:c>
      <x:c r="B7" s="33" t="str">
        <x:v>Not Live</x:v>
      </x:c>
      <x:c r="D7" s="72" t="str">
        <x:v>Synthetic cases analysed</x:v>
      </x:c>
      <x:c r="E7" s="73" t="str">
        <x:v>2,500</x:v>
      </x:c>
    </x:row>
    <x:row r="8">
      <x:c r="D8" s="74" t="str">
        <x:v>Lifecycle events</x:v>
      </x:c>
      <x:c r="E8" s="75" t="str">
        <x:v>19,424</x:v>
      </x:c>
    </x:row>
    <x:row r="9">
      <x:c r="A9" s="21" t="str">
        <x:v>Production Approval</x:v>
      </x:c>
      <x:c r="B9" s="37" t="str">
        <x:v>Not Granted</x:v>
      </x:c>
      <x:c r="D9" s="74" t="str">
        <x:v>Evidence records</x:v>
      </x:c>
      <x:c r="E9" s="75" t="str">
        <x:v>6,041</x:v>
      </x:c>
    </x:row>
    <x:row r="10">
      <x:c r="D10" s="74" t="str">
        <x:v>Requirements baseline</x:v>
      </x:c>
      <x:c r="E10" s="75" t="str">
        <x:v>228</x:v>
      </x:c>
    </x:row>
    <x:row r="11">
      <x:c r="A11" s="21" t="str">
        <x:v>Full-Service UAT</x:v>
      </x:c>
      <x:c r="B11" s="33" t="str">
        <x:v>Not Executed</x:v>
      </x:c>
      <x:c r="D11" s="74" t="str">
        <x:v>Product backlog</x:v>
      </x:c>
      <x:c r="E11" s="75" t="str">
        <x:v>11 epics / 66 stories</x:v>
      </x:c>
    </x:row>
    <x:row r="12">
      <x:c r="D12" s="74" t="str">
        <x:v>Digital/data analysis</x:v>
      </x:c>
      <x:c r="E12" s="75" t="str">
        <x:v>17 components / 24 entities / 9 interfaces / 15 operations</x:v>
      </x:c>
    </x:row>
    <x:row r="13">
      <x:c r="A13" s="21" t="str">
        <x:v>Benefits Realisation</x:v>
      </x:c>
      <x:c r="B13" s="33" t="str">
        <x:v>Not Yet Measured</x:v>
      </x:c>
      <x:c r="D13" s="74" t="str">
        <x:v>AI evaluation scenarios</x:v>
      </x:c>
      <x:c r="E13" s="75" t="str">
        <x:v>26</x:v>
      </x:c>
    </x:row>
    <x:row r="14">
      <x:c r="D14" s="74" t="str">
        <x:v>Formal UAT scenarios designed</x:v>
      </x:c>
      <x:c r="E14" s="75" t="str">
        <x:v>20</x:v>
      </x:c>
    </x:row>
    <x:row r="15">
      <x:c r="D15" s="74" t="str">
        <x:v>Benefits registered</x:v>
      </x:c>
      <x:c r="E15" s="75" t="str">
        <x:v>10</x:v>
      </x:c>
    </x:row>
    <x:row r="16">
      <x:c r="D16" s="74" t="str">
        <x:v>KPIs defined</x:v>
      </x:c>
      <x:c r="E16" s="75" t="str">
        <x:v>14</x:v>
      </x:c>
    </x:row>
    <x:row r="17">
      <x:c r="D17" s="74" t="str">
        <x:v>BA capability areas mapped</x:v>
      </x:c>
      <x:c r="E17" s="75" t="str">
        <x:v>9</x:v>
      </x:c>
    </x:row>
    <x:row r="18">
      <x:c r="D18" s="76" t="str">
        <x:v>Capability evidence items</x:v>
      </x:c>
      <x:c r="E18" s="77" t="str">
        <x:v>30</x:v>
      </x:c>
    </x:row>
    <x:row r="20">
      <x:c r="A20" s="43" t="str">
        <x:v>Final Project Position</x:v>
      </x:c>
      <x:c r="B20" s="43"/>
      <x:c r="C20" s="43"/>
      <x:c r="D20" s="43"/>
      <x:c r="E20" s="43"/>
      <x:c r="F20" s="43"/>
      <x:c r="G20" s="43"/>
      <x:c r="H20" s="43"/>
    </x:row>
    <x:row r="22">
      <x:c r="A22" s="53" t="str">
        <x:v>The portfolio demonstrates an end-to-end Technical Business Analyst approach while preserving evidence integrity. Synthetic data is labelled as synthetic; AI prototype evaluation is separated from full-service UAT; logical architecture is not presented as deployed infrastructure; security/privacy controls are design and assurance gates rather than certifications; production release/live-service evidence is not fabricated; and future benefits remain hypotheses until observed post-implementation evidence exists. The final portfolio is therefore suitable for demonstrating analysis, traceability, technical understanding, governance and lifecycle thinking without overstating implementation.</x:v>
      </x:c>
      <x:c r="B22" s="53"/>
      <x:c r="C22" s="53"/>
      <x:c r="D22" s="53"/>
      <x:c r="E22" s="53"/>
      <x:c r="F22" s="53"/>
      <x:c r="G22" s="53"/>
      <x:c r="H22" s="53"/>
    </x:row>
    <x:row r="23">
      <x:c r="A23" s="53"/>
      <x:c r="B23" s="53"/>
      <x:c r="C23" s="53"/>
      <x:c r="D23" s="53"/>
      <x:c r="E23" s="53"/>
      <x:c r="F23" s="53"/>
      <x:c r="G23" s="53"/>
      <x:c r="H23" s="53"/>
    </x:row>
    <x:row r="24">
      <x:c r="A24" s="53"/>
      <x:c r="B24" s="53"/>
      <x:c r="C24" s="53"/>
      <x:c r="D24" s="53"/>
      <x:c r="E24" s="53"/>
      <x:c r="F24" s="53"/>
      <x:c r="G24" s="53"/>
      <x:c r="H24" s="53"/>
    </x:row>
    <x:row r="25">
      <x:c r="A25" s="53"/>
      <x:c r="B25" s="53"/>
      <x:c r="C25" s="53"/>
      <x:c r="D25" s="53"/>
      <x:c r="E25" s="53"/>
      <x:c r="F25" s="53"/>
      <x:c r="G25" s="53"/>
      <x:c r="H25" s="53"/>
    </x:row>
    <x:row r="26">
      <x:c r="A26" s="53"/>
      <x:c r="B26" s="53"/>
      <x:c r="C26" s="53"/>
      <x:c r="D26" s="53"/>
      <x:c r="E26" s="53"/>
      <x:c r="F26" s="53"/>
      <x:c r="G26" s="53"/>
      <x:c r="H26" s="53"/>
    </x:row>
    <x:row r="27">
      <x:c r="A27" s="53"/>
      <x:c r="B27" s="53"/>
      <x:c r="C27" s="53"/>
      <x:c r="D27" s="53"/>
      <x:c r="E27" s="53"/>
      <x:c r="F27" s="53"/>
      <x:c r="G27" s="53"/>
      <x:c r="H27" s="53"/>
    </x:row>
  </x:sheetData>
  <x:mergeCells>
    <x:mergeCell ref="A1:H1"/>
    <x:mergeCell ref="A2:H3"/>
    <x:mergeCell ref="D5:H5"/>
    <x:mergeCell ref="A20:H20"/>
    <x:mergeCell ref="A22:H27"/>
  </x:mergeCells>
  <x:pageMargins left="0.7" right="0.7" top="0.75" bottom="0.75" header="0.3" footer="0.3"/>
</x:worksheet>
</file>

<file path=xl/worksheets/sheet2.xml><?xml version="1.0" encoding="utf-8"?>
<x:worksheet xmlns:x="http://schemas.openxmlformats.org/spreadsheetml/2006/main">
  <x:sheetFormatPr defaultRowHeight="15"/>
  <x:cols>
    <x:col min="1" max="1" width="9" hidden="0" customWidth="1"/>
    <x:col min="2" max="2" width="38" hidden="0" customWidth="1"/>
    <x:col min="3" max="3" width="24" hidden="0" customWidth="1"/>
    <x:col min="4" max="4" width="48" hidden="0" customWidth="1"/>
    <x:col min="5" max="5" width="14" hidden="0" customWidth="1"/>
    <x:col min="6" max="6" width="24" hidden="0" customWidth="1"/>
    <x:col min="7" max="7" width="38" hidden="0" customWidth="1"/>
    <x:col min="8" max="8" width="24" hidden="0" customWidth="1"/>
    <x:col min="9" max="9" width="42" hidden="0" customWidth="1"/>
  </x:cols>
  <x:sheetData>
    <x:row r="1">
      <x:c r="A1" s="5" t="str">
        <x:v>PayFix AI 2.0 — Final Lifecycle Register</x:v>
      </x:c>
      <x:c r="B1" s="5"/>
      <x:c r="C1" s="5"/>
      <x:c r="D1" s="5"/>
      <x:c r="E1" s="5"/>
      <x:c r="F1" s="5"/>
      <x:c r="G1" s="5"/>
      <x:c r="H1" s="5"/>
      <x:c r="I1" s="5"/>
    </x:row>
    <x:row r="2">
      <x:c r="A2" s="13" t="str">
        <x:v>All steps below are closed as portfolio work. 'Complete' means the planned portfolio artefact/design/evidence was produced; it does not imply production implementation where the step explicitly concerns future delivery.</x:v>
      </x:c>
      <x:c r="B2" s="13"/>
      <x:c r="C2" s="13"/>
      <x:c r="D2" s="13"/>
      <x:c r="E2" s="13"/>
      <x:c r="F2" s="13"/>
      <x:c r="G2" s="13"/>
      <x:c r="H2" s="13"/>
      <x:c r="I2" s="13"/>
    </x:row>
    <x:row r="4">
      <x:c r="A4" s="84" t="str">
        <x:v>Step</x:v>
      </x:c>
      <x:c r="B4" s="85" t="str">
        <x:v>Stage / Artefact</x:v>
      </x:c>
      <x:c r="C4" s="85" t="str">
        <x:v>Lifecycle Area</x:v>
      </x:c>
      <x:c r="D4" s="85" t="str">
        <x:v>Primary Output</x:v>
      </x:c>
      <x:c r="E4" s="85" t="str">
        <x:v>Status</x:v>
      </x:c>
      <x:c r="F4" s="85" t="str">
        <x:v>Evidence Type</x:v>
      </x:c>
      <x:c r="G4" s="85" t="str">
        <x:v>Confluence Parent</x:v>
      </x:c>
      <x:c r="H4" s="85" t="str">
        <x:v>Screenshot Evidence</x:v>
      </x:c>
      <x:c r="I4" s="86" t="str">
        <x:v>Closure Note</x:v>
      </x:c>
    </x:row>
    <x:row r="5">
      <x:c r="A5" s="87" t="n">
        <x:v>1</x:v>
      </x:c>
      <x:c r="B5" s="88" t="str">
        <x:v>Project setup</x:v>
      </x:c>
      <x:c r="C5" s="88" t="str">
        <x:v>Portfolio / Delivery</x:v>
      </x:c>
      <x:c r="D5" s="88" t="str">
        <x:v>Confluence/Jira project foundations</x:v>
      </x:c>
      <x:c r="E5" s="88" t="str">
        <x:v>Complete</x:v>
      </x:c>
      <x:c r="F5" s="88" t="str">
        <x:v>Portfolio setup</x:v>
      </x:c>
      <x:c r="G5" s="88" t="str">
        <x:v>01 Portfolio and Project Overview</x:v>
      </x:c>
      <x:c r="H5" s="88" t="str">
        <x:v>Existing earlier evidence</x:v>
      </x:c>
      <x:c r="I5" s="89" t="str">
        <x:v>Project structure established.</x:v>
      </x:c>
    </x:row>
    <x:row r="6">
      <x:c r="A6" s="87" t="n">
        <x:v>2</x:v>
      </x:c>
      <x:c r="B6" s="88" t="str">
        <x:v>Confluence space/page tree</x:v>
      </x:c>
      <x:c r="C6" s="88" t="str">
        <x:v>Portfolio / Delivery</x:v>
      </x:c>
      <x:c r="D6" s="88" t="str">
        <x:v>18-parent-page portfolio structure</x:v>
      </x:c>
      <x:c r="E6" s="88" t="str">
        <x:v>Complete</x:v>
      </x:c>
      <x:c r="F6" s="88" t="str">
        <x:v>Portfolio setup</x:v>
      </x:c>
      <x:c r="G6" s="88" t="str">
        <x:v>01 Portfolio and Project Overview</x:v>
      </x:c>
      <x:c r="H6" s="88" t="str">
        <x:v>Existing earlier evidence</x:v>
      </x:c>
      <x:c r="I6" s="89" t="str">
        <x:v>Evidence architecture established.</x:v>
      </x:c>
    </x:row>
    <x:row r="7">
      <x:c r="A7" s="87" t="n">
        <x:v>3</x:v>
      </x:c>
      <x:c r="B7" s="88" t="str">
        <x:v>Jira project setup</x:v>
      </x:c>
      <x:c r="C7" s="88" t="str">
        <x:v>Agile Delivery</x:v>
      </x:c>
      <x:c r="D7" s="88" t="str">
        <x:v>PayFix AI 2.0 Jira project / key PFX2</x:v>
      </x:c>
      <x:c r="E7" s="88" t="str">
        <x:v>Complete</x:v>
      </x:c>
      <x:c r="F7" s="88" t="str">
        <x:v>Tooling setup</x:v>
      </x:c>
      <x:c r="G7" s="88" t="str">
        <x:v>10 Agile Delivery Approach</x:v>
      </x:c>
      <x:c r="H7" s="88" t="str">
        <x:v>Existing earlier evidence</x:v>
      </x:c>
      <x:c r="I7" s="89" t="str">
        <x:v>Delivery tracking established.</x:v>
      </x:c>
    </x:row>
    <x:row r="8">
      <x:c r="A8" s="87" t="n">
        <x:v>4</x:v>
      </x:c>
      <x:c r="B8" s="88" t="str">
        <x:v>Homepage and navigation</x:v>
      </x:c>
      <x:c r="C8" s="88" t="str">
        <x:v>Portfolio / Delivery</x:v>
      </x:c>
      <x:c r="D8" s="88" t="str">
        <x:v>Project navigation / overview</x:v>
      </x:c>
      <x:c r="E8" s="88" t="str">
        <x:v>Complete</x:v>
      </x:c>
      <x:c r="F8" s="88" t="str">
        <x:v>Documentation</x:v>
      </x:c>
      <x:c r="G8" s="88" t="str">
        <x:v>01 Portfolio and Project Overview</x:v>
      </x:c>
      <x:c r="H8" s="88" t="str">
        <x:v>Existing earlier evidence</x:v>
      </x:c>
      <x:c r="I8" s="89" t="str">
        <x:v>Portfolio usability established.</x:v>
      </x:c>
    </x:row>
    <x:row r="9">
      <x:c r="A9" s="87" t="n">
        <x:v>5</x:v>
      </x:c>
      <x:c r="B9" s="88" t="str">
        <x:v>Page hierarchy</x:v>
      </x:c>
      <x:c r="C9" s="88" t="str">
        <x:v>Portfolio / Delivery</x:v>
      </x:c>
      <x:c r="D9" s="88" t="str">
        <x:v>Controlled documentation structure</x:v>
      </x:c>
      <x:c r="E9" s="88" t="str">
        <x:v>Complete</x:v>
      </x:c>
      <x:c r="F9" s="88" t="str">
        <x:v>Documentation</x:v>
      </x:c>
      <x:c r="G9" s="88" t="str">
        <x:v>01 Portfolio and Project Overview</x:v>
      </x:c>
      <x:c r="H9" s="88" t="str">
        <x:v>Existing earlier evidence</x:v>
      </x:c>
      <x:c r="I9" s="89" t="str">
        <x:v>Artefacts organised by lifecycle.</x:v>
      </x:c>
    </x:row>
    <x:row r="10">
      <x:c r="A10" s="87" t="n">
        <x:v>6</x:v>
      </x:c>
      <x:c r="B10" s="88" t="str">
        <x:v>Jira filters/views</x:v>
      </x:c>
      <x:c r="C10" s="88" t="str">
        <x:v>Agile Delivery</x:v>
      </x:c>
      <x:c r="D10" s="88" t="str">
        <x:v>Saved filters / views</x:v>
      </x:c>
      <x:c r="E10" s="88" t="str">
        <x:v>Complete</x:v>
      </x:c>
      <x:c r="F10" s="88" t="str">
        <x:v>Tooling</x:v>
      </x:c>
      <x:c r="G10" s="88" t="str">
        <x:v>10 Agile Delivery Approach</x:v>
      </x:c>
      <x:c r="H10" s="88" t="str">
        <x:v>Existing earlier evidence</x:v>
      </x:c>
      <x:c r="I10" s="89" t="str">
        <x:v>Delivery visibility established.</x:v>
      </x:c>
    </x:row>
    <x:row r="11">
      <x:c r="A11" s="87" t="n">
        <x:v>7</x:v>
      </x:c>
      <x:c r="B11" s="88" t="str">
        <x:v>Kanban board</x:v>
      </x:c>
      <x:c r="C11" s="88" t="str">
        <x:v>Agile Delivery</x:v>
      </x:c>
      <x:c r="D11" s="88" t="str">
        <x:v>Discovery/support flow board</x:v>
      </x:c>
      <x:c r="E11" s="88" t="str">
        <x:v>Complete</x:v>
      </x:c>
      <x:c r="F11" s="88" t="str">
        <x:v>Delivery method</x:v>
      </x:c>
      <x:c r="G11" s="88" t="str">
        <x:v>12 Kanban Management</x:v>
      </x:c>
      <x:c r="H11" s="88" t="str">
        <x:v>Existing earlier evidence</x:v>
      </x:c>
      <x:c r="I11" s="89" t="str">
        <x:v>Flow-based work management established.</x:v>
      </x:c>
    </x:row>
    <x:row r="12">
      <x:c r="A12" s="87" t="n">
        <x:v>8</x:v>
      </x:c>
      <x:c r="B12" s="88" t="str">
        <x:v>Saved JQL / tracking</x:v>
      </x:c>
      <x:c r="C12" s="88" t="str">
        <x:v>Agile Delivery</x:v>
      </x:c>
      <x:c r="D12" s="88" t="str">
        <x:v>Traceable issue views</x:v>
      </x:c>
      <x:c r="E12" s="88" t="str">
        <x:v>Complete</x:v>
      </x:c>
      <x:c r="F12" s="88" t="str">
        <x:v>Tooling</x:v>
      </x:c>
      <x:c r="G12" s="88" t="str">
        <x:v>10 Agile Delivery Approach</x:v>
      </x:c>
      <x:c r="H12" s="88" t="str">
        <x:v>Existing earlier evidence</x:v>
      </x:c>
      <x:c r="I12" s="89" t="str">
        <x:v>Tracking approach established.</x:v>
      </x:c>
    </x:row>
    <x:row r="13">
      <x:c r="A13" s="87" t="n">
        <x:v>9</x:v>
      </x:c>
      <x:c r="B13" s="88" t="str">
        <x:v>Version 1 lessons review</x:v>
      </x:c>
      <x:c r="C13" s="88" t="str">
        <x:v>Context / Lessons</x:v>
      </x:c>
      <x:c r="D13" s="88" t="str">
        <x:v>Lessons carried into PayFix AI 2.0</x:v>
      </x:c>
      <x:c r="E13" s="88" t="str">
        <x:v>Complete</x:v>
      </x:c>
      <x:c r="F13" s="88" t="str">
        <x:v>Lessons learned</x:v>
      </x:c>
      <x:c r="G13" s="88" t="str">
        <x:v>01 Portfolio and Project Overview</x:v>
      </x:c>
      <x:c r="H13" s="88" t="str">
        <x:v>Existing earlier evidence</x:v>
      </x:c>
      <x:c r="I13" s="89" t="str">
        <x:v>Prior-version learning documented.</x:v>
      </x:c>
    </x:row>
    <x:row r="14">
      <x:c r="A14" s="87" t="n">
        <x:v>10</x:v>
      </x:c>
      <x:c r="B14" s="88" t="str">
        <x:v>Project charter / scope</x:v>
      </x:c>
      <x:c r="C14" s="88" t="str">
        <x:v>Context / Governance</x:v>
      </x:c>
      <x:c r="D14" s="88" t="str">
        <x:v>Project purpose, boundaries and approach</x:v>
      </x:c>
      <x:c r="E14" s="88" t="str">
        <x:v>Complete</x:v>
      </x:c>
      <x:c r="F14" s="88" t="str">
        <x:v>Governance</x:v>
      </x:c>
      <x:c r="G14" s="88" t="str">
        <x:v>01 Portfolio and Project Overview</x:v>
      </x:c>
      <x:c r="H14" s="88" t="str">
        <x:v>Existing earlier evidence</x:v>
      </x:c>
      <x:c r="I14" s="89" t="str">
        <x:v>Portfolio scope controlled.</x:v>
      </x:c>
    </x:row>
    <x:row r="15">
      <x:c r="A15" s="87" t="n">
        <x:v>11</x:v>
      </x:c>
      <x:c r="B15" s="88" t="str">
        <x:v>Agile delivery approach</x:v>
      </x:c>
      <x:c r="C15" s="88" t="str">
        <x:v>Delivery</x:v>
      </x:c>
      <x:c r="D15" s="88" t="str">
        <x:v>Agile + Scrum + Kanban working model</x:v>
      </x:c>
      <x:c r="E15" s="88" t="str">
        <x:v>Complete</x:v>
      </x:c>
      <x:c r="F15" s="88" t="str">
        <x:v>Methodology</x:v>
      </x:c>
      <x:c r="G15" s="88" t="str">
        <x:v>10 Agile Delivery Approach</x:v>
      </x:c>
      <x:c r="H15" s="88" t="str">
        <x:v>Existing earlier evidence</x:v>
      </x:c>
      <x:c r="I15" s="89" t="str">
        <x:v>Delivery methods adapted to work type.</x:v>
      </x:c>
    </x:row>
    <x:row r="16">
      <x:c r="A16" s="87" t="n">
        <x:v>12</x:v>
      </x:c>
      <x:c r="B16" s="88" t="str">
        <x:v>Discovery Kanban</x:v>
      </x:c>
      <x:c r="C16" s="88" t="str">
        <x:v>Delivery</x:v>
      </x:c>
      <x:c r="D16" s="88" t="str">
        <x:v>Discovery flow / work-in-progress visibility</x:v>
      </x:c>
      <x:c r="E16" s="88" t="str">
        <x:v>Complete</x:v>
      </x:c>
      <x:c r="F16" s="88" t="str">
        <x:v>Kanban evidence</x:v>
      </x:c>
      <x:c r="G16" s="88" t="str">
        <x:v>12 Kanban Management</x:v>
      </x:c>
      <x:c r="H16" s="88" t="str">
        <x:v>Existing earlier evidence</x:v>
      </x:c>
      <x:c r="I16" s="89" t="str">
        <x:v>Discovery flow managed.</x:v>
      </x:c>
    </x:row>
    <x:row r="17">
      <x:c r="A17" s="87" t="n">
        <x:v>13</x:v>
      </x:c>
      <x:c r="B17" s="88" t="str">
        <x:v>Portfolio integrity rules</x:v>
      </x:c>
      <x:c r="C17" s="88" t="str">
        <x:v>Governance</x:v>
      </x:c>
      <x:c r="D17" s="88" t="str">
        <x:v>Synthetic data / no fake interviews / evidence boundaries</x:v>
      </x:c>
      <x:c r="E17" s="88" t="str">
        <x:v>Complete</x:v>
      </x:c>
      <x:c r="F17" s="88" t="str">
        <x:v>Governance</x:v>
      </x:c>
      <x:c r="G17" s="88" t="str">
        <x:v>01 Portfolio and Project Overview</x:v>
      </x:c>
      <x:c r="H17" s="88" t="str">
        <x:v>Existing earlier evidence</x:v>
      </x:c>
      <x:c r="I17" s="89" t="str">
        <x:v>Evidence integrity established.</x:v>
      </x:c>
    </x:row>
    <x:row r="18">
      <x:c r="A18" s="87" t="n">
        <x:v>14</x:v>
      </x:c>
      <x:c r="B18" s="88" t="str">
        <x:v>Project evidence structure</x:v>
      </x:c>
      <x:c r="C18" s="88" t="str">
        <x:v>Portfolio</x:v>
      </x:c>
      <x:c r="D18" s="88" t="str">
        <x:v>Local evidence folders / screenshot approach</x:v>
      </x:c>
      <x:c r="E18" s="88" t="str">
        <x:v>Complete</x:v>
      </x:c>
      <x:c r="F18" s="88" t="str">
        <x:v>Portfolio management</x:v>
      </x:c>
      <x:c r="G18" s="88" t="str">
        <x:v>01 Portfolio and Project Overview</x:v>
      </x:c>
      <x:c r="H18" s="88" t="str">
        <x:v>Existing earlier evidence</x:v>
      </x:c>
      <x:c r="I18" s="89" t="str">
        <x:v>Evidence handling standardised.</x:v>
      </x:c>
    </x:row>
    <x:row r="19">
      <x:c r="A19" s="87" t="n">
        <x:v>15</x:v>
      </x:c>
      <x:c r="B19" s="88" t="str">
        <x:v>Delivery / evidence baseline</x:v>
      </x:c>
      <x:c r="C19" s="88" t="str">
        <x:v>Portfolio</x:v>
      </x:c>
      <x:c r="D19" s="88" t="str">
        <x:v>Ready for detailed analysis lifecycle</x:v>
      </x:c>
      <x:c r="E19" s="88" t="str">
        <x:v>Complete</x:v>
      </x:c>
      <x:c r="F19" s="88" t="str">
        <x:v>Closure of setup stage</x:v>
      </x:c>
      <x:c r="G19" s="88" t="str">
        <x:v>01 Portfolio and Project Overview</x:v>
      </x:c>
      <x:c r="H19" s="88" t="str">
        <x:v>Existing earlier evidence</x:v>
      </x:c>
      <x:c r="I19" s="89" t="str">
        <x:v>Foundation stage closed.</x:v>
      </x:c>
    </x:row>
    <x:row r="20">
      <x:c r="A20" s="87" t="n">
        <x:v>16</x:v>
      </x:c>
      <x:c r="B20" s="88" t="str">
        <x:v>Synthetic data acquisition / cleaning / traceability</x:v>
      </x:c>
      <x:c r="C20" s="88" t="str">
        <x:v>Data</x:v>
      </x:c>
      <x:c r="D20" s="88" t="str">
        <x:v>2,500 cases; 19,424 events; 6,041 evidence records</x:v>
      </x:c>
      <x:c r="E20" s="88" t="str">
        <x:v>Complete</x:v>
      </x:c>
      <x:c r="F20" s="88" t="str">
        <x:v>Synthetic dataset</x:v>
      </x:c>
      <x:c r="G20" s="88" t="str">
        <x:v>08 Digital and Data Systems Analysis</x:v>
      </x:c>
      <x:c r="H20" s="88" t="str">
        <x:v>Existing earlier evidence</x:v>
      </x:c>
      <x:c r="I20" s="89" t="str">
        <x:v>Data foundation complete.</x:v>
      </x:c>
    </x:row>
    <x:row r="21">
      <x:c r="A21" s="87" t="n">
        <x:v>17</x:v>
      </x:c>
      <x:c r="B21" s="88" t="str">
        <x:v>Baseline analysis</x:v>
      </x:c>
      <x:c r="C21" s="88" t="str">
        <x:v>Analysis</x:v>
      </x:c>
      <x:c r="D21" s="88" t="str">
        <x:v>Resolution, breach, handoff, rework, contact and other baseline measures</x:v>
      </x:c>
      <x:c r="E21" s="88" t="str">
        <x:v>Complete</x:v>
      </x:c>
      <x:c r="F21" s="88" t="str">
        <x:v>Quantitative analysis</x:v>
      </x:c>
      <x:c r="G21" s="88" t="str">
        <x:v>02 Context, Problem and Options</x:v>
      </x:c>
      <x:c r="H21" s="88" t="str">
        <x:v>Existing earlier evidence</x:v>
      </x:c>
      <x:c r="I21" s="89" t="str">
        <x:v>Baseline established.</x:v>
      </x:c>
    </x:row>
    <x:row r="22">
      <x:c r="A22" s="87" t="n">
        <x:v>18</x:v>
      </x:c>
      <x:c r="B22" s="88" t="str">
        <x:v>Stakeholder analysis</x:v>
      </x:c>
      <x:c r="C22" s="88" t="str">
        <x:v>Stakeholders</x:v>
      </x:c>
      <x:c r="D22" s="88" t="str">
        <x:v>Stakeholder groups / governance needs</x:v>
      </x:c>
      <x:c r="E22" s="88" t="str">
        <x:v>Complete</x:v>
      </x:c>
      <x:c r="F22" s="88" t="str">
        <x:v>Stakeholder analysis</x:v>
      </x:c>
      <x:c r="G22" s="88" t="str">
        <x:v>03 Stakeholders and Governance</x:v>
      </x:c>
      <x:c r="H22" s="88" t="str">
        <x:v>Existing earlier evidence</x:v>
      </x:c>
      <x:c r="I22" s="89" t="str">
        <x:v>Stakeholder design established.</x:v>
      </x:c>
    </x:row>
    <x:row r="23">
      <x:c r="A23" s="87" t="n">
        <x:v>19</x:v>
      </x:c>
      <x:c r="B23" s="88" t="str">
        <x:v>Root-cause analysis</x:v>
      </x:c>
      <x:c r="C23" s="88" t="str">
        <x:v>Problem Analysis</x:v>
      </x:c>
      <x:c r="D23" s="88" t="str">
        <x:v>Structured causes and contributing factors</x:v>
      </x:c>
      <x:c r="E23" s="88" t="str">
        <x:v>Complete</x:v>
      </x:c>
      <x:c r="F23" s="88" t="str">
        <x:v>Problem analysis</x:v>
      </x:c>
      <x:c r="G23" s="88" t="str">
        <x:v>02 Context, Problem and Options</x:v>
      </x:c>
      <x:c r="H23" s="88" t="str">
        <x:v>Existing earlier evidence</x:v>
      </x:c>
      <x:c r="I23" s="89" t="str">
        <x:v>Problem understanding strengthened.</x:v>
      </x:c>
    </x:row>
    <x:row r="24">
      <x:c r="A24" s="87" t="n">
        <x:v>20</x:v>
      </x:c>
      <x:c r="B24" s="88" t="str">
        <x:v>As-Is process</x:v>
      </x:c>
      <x:c r="C24" s="88" t="str">
        <x:v>Process</x:v>
      </x:c>
      <x:c r="D24" s="88" t="str">
        <x:v>Current-state flow, decisions, exceptions, systems/data</x:v>
      </x:c>
      <x:c r="E24" s="88" t="str">
        <x:v>Complete</x:v>
      </x:c>
      <x:c r="F24" s="88" t="str">
        <x:v>Process model</x:v>
      </x:c>
      <x:c r="G24" s="88" t="str">
        <x:v>06 Business Process Improvement</x:v>
      </x:c>
      <x:c r="H24" s="88" t="str">
        <x:v>Existing earlier evidence</x:v>
      </x:c>
      <x:c r="I24" s="89" t="str">
        <x:v>Current state modelled.</x:v>
      </x:c>
    </x:row>
    <x:row r="25">
      <x:c r="A25" s="87" t="n">
        <x:v>21</x:v>
      </x:c>
      <x:c r="B25" s="88" t="str">
        <x:v>User research / UX discovery</x:v>
      </x:c>
      <x:c r="C25" s="88" t="str">
        <x:v>UX</x:v>
      </x:c>
      <x:c r="D25" s="88" t="str">
        <x:v>User needs, pain points, hypotheses / research design</x:v>
      </x:c>
      <x:c r="E25" s="88" t="str">
        <x:v>Complete</x:v>
      </x:c>
      <x:c r="F25" s="88" t="str">
        <x:v>UX analysis</x:v>
      </x:c>
      <x:c r="G25" s="88" t="str">
        <x:v>04 User Research and User Experience</x:v>
      </x:c>
      <x:c r="H25" s="88" t="str">
        <x:v>Existing earlier evidence</x:v>
      </x:c>
      <x:c r="I25" s="89" t="str">
        <x:v>No real-user research fabricated.</x:v>
      </x:c>
    </x:row>
    <x:row r="26">
      <x:c r="A26" s="87" t="n">
        <x:v>22</x:v>
      </x:c>
      <x:c r="B26" s="88" t="str">
        <x:v>Options appraisal + AI suitability</x:v>
      </x:c>
      <x:c r="C26" s="88" t="str">
        <x:v>Options</x:v>
      </x:c>
      <x:c r="D26" s="88" t="str">
        <x:v>MCDA / future options and AI suitability</x:v>
      </x:c>
      <x:c r="E26" s="88" t="str">
        <x:v>Complete</x:v>
      </x:c>
      <x:c r="F26" s="88" t="str">
        <x:v>Options analysis</x:v>
      </x:c>
      <x:c r="G26" s="88" t="str">
        <x:v>02 Context, Problem and Options</x:v>
      </x:c>
      <x:c r="H26" s="88" t="str">
        <x:v>Existing earlier evidence</x:v>
      </x:c>
      <x:c r="I26" s="89" t="str">
        <x:v>AI not assumed as default solution.</x:v>
      </x:c>
    </x:row>
    <x:row r="27">
      <x:c r="A27" s="87" t="n">
        <x:v>23</x:v>
      </x:c>
      <x:c r="B27" s="88" t="str">
        <x:v>To-Be service design</x:v>
      </x:c>
      <x:c r="C27" s="88" t="str">
        <x:v>Process / UX</x:v>
      </x:c>
      <x:c r="D27" s="88" t="str">
        <x:v>Future-state process and service model</x:v>
      </x:c>
      <x:c r="E27" s="88" t="str">
        <x:v>Complete</x:v>
      </x:c>
      <x:c r="F27" s="88" t="str">
        <x:v>Future-state design</x:v>
      </x:c>
      <x:c r="G27" s="88" t="str">
        <x:v>06 Business Process Improvement</x:v>
      </x:c>
      <x:c r="H27" s="88" t="str">
        <x:v>Existing earlier evidence</x:v>
      </x:c>
      <x:c r="I27" s="89" t="str">
        <x:v>Future service designed.</x:v>
      </x:c>
    </x:row>
    <x:row r="28">
      <x:c r="A28" s="87" t="n">
        <x:v>24</x:v>
      </x:c>
      <x:c r="B28" s="88" t="str">
        <x:v>Requirements baseline</x:v>
      </x:c>
      <x:c r="C28" s="88" t="str">
        <x:v>Requirements</x:v>
      </x:c>
      <x:c r="D28" s="88" t="str">
        <x:v>228 requirements across 8 requirement families</x:v>
      </x:c>
      <x:c r="E28" s="88" t="str">
        <x:v>Complete</x:v>
      </x:c>
      <x:c r="F28" s="88" t="str">
        <x:v>Requirements</x:v>
      </x:c>
      <x:c r="G28" s="88" t="str">
        <x:v>07 Business and User Requirements</x:v>
      </x:c>
      <x:c r="H28" s="88" t="str">
        <x:v>Source artefact</x:v>
      </x:c>
      <x:c r="I28" s="89" t="str">
        <x:v>Requirements source of truth established.</x:v>
      </x:c>
    </x:row>
    <x:row r="29">
      <x:c r="A29" s="87" t="n">
        <x:v>25</x:v>
      </x:c>
      <x:c r="B29" s="88" t="str">
        <x:v>Product backlog</x:v>
      </x:c>
      <x:c r="C29" s="88" t="str">
        <x:v>Scrum Delivery</x:v>
      </x:c>
      <x:c r="D29" s="88" t="str">
        <x:v>11 epics / 66 stories / H1-H3; H4 conditional</x:v>
      </x:c>
      <x:c r="E29" s="88" t="str">
        <x:v>Complete</x:v>
      </x:c>
      <x:c r="F29" s="88" t="str">
        <x:v>Backlog</x:v>
      </x:c>
      <x:c r="G29" s="88" t="str">
        <x:v>11 Scrum Delivery</x:v>
      </x:c>
      <x:c r="H29" s="88" t="str">
        <x:v>Source artefact</x:v>
      </x:c>
      <x:c r="I29" s="89" t="str">
        <x:v>Delivery units established.</x:v>
      </x:c>
    </x:row>
    <x:row r="30">
      <x:c r="A30" s="87" t="n">
        <x:v>26</x:v>
      </x:c>
      <x:c r="B30" s="88" t="str">
        <x:v>Digital and data systems analysis</x:v>
      </x:c>
      <x:c r="C30" s="88" t="str">
        <x:v>Technical BA</x:v>
      </x:c>
      <x:c r="D30" s="88" t="str">
        <x:v>System context, architecture, data, interfaces, authority, resilience</x:v>
      </x:c>
      <x:c r="E30" s="88" t="str">
        <x:v>Complete</x:v>
      </x:c>
      <x:c r="F30" s="88" t="str">
        <x:v>Technical analysis</x:v>
      </x:c>
      <x:c r="G30" s="88" t="str">
        <x:v>08 Digital and Data Systems Analysis</x:v>
      </x:c>
      <x:c r="H30" s="88" t="str">
        <x:v>148–158</x:v>
      </x:c>
      <x:c r="I30" s="89" t="str">
        <x:v>Technical design complete.</x:v>
      </x:c>
    </x:row>
    <x:row r="31">
      <x:c r="A31" s="87" t="n">
        <x:v>27</x:v>
      </x:c>
      <x:c r="B31" s="88" t="str">
        <x:v>Responsible AI and agent design</x:v>
      </x:c>
      <x:c r="C31" s="88" t="str">
        <x:v>Responsible AI</x:v>
      </x:c>
      <x:c r="D31" s="88" t="str">
        <x:v>Governance, HITL, prompt/context, evaluation, risks/guardrails</x:v>
      </x:c>
      <x:c r="E31" s="88" t="str">
        <x:v>Complete</x:v>
      </x:c>
      <x:c r="F31" s="88" t="str">
        <x:v>AI governance/design</x:v>
      </x:c>
      <x:c r="G31" s="88" t="str">
        <x:v>09 Responsible AI and Agent Design</x:v>
      </x:c>
      <x:c r="H31" s="88" t="str">
        <x:v>159–167</x:v>
      </x:c>
      <x:c r="I31" s="89" t="str">
        <x:v>Responsible AI design complete.</x:v>
      </x:c>
    </x:row>
    <x:row r="32">
      <x:c r="A32" s="87" t="n">
        <x:v>28</x:v>
      </x:c>
      <x:c r="B32" s="88" t="str">
        <x:v>Controlled AI prototype and evaluation</x:v>
      </x:c>
      <x:c r="C32" s="88" t="str">
        <x:v>Prototype / Testing</x:v>
      </x:c>
      <x:c r="D32" s="88" t="str">
        <x:v>26 scenarios; 23 accepted/usable; 3 disregarded; 0 critical failures</x:v>
      </x:c>
      <x:c r="E32" s="88" t="str">
        <x:v>Complete</x:v>
      </x:c>
      <x:c r="F32" s="88" t="str">
        <x:v>Prototype evaluation</x:v>
      </x:c>
      <x:c r="G32" s="88" t="str">
        <x:v>09 Responsible AI and Agent Design</x:v>
      </x:c>
      <x:c r="H32" s="88" t="str">
        <x:v>168–176</x:v>
      </x:c>
      <x:c r="I32" s="89" t="str">
        <x:v>Prototype only; production approval not granted.</x:v>
      </x:c>
    </x:row>
    <x:row r="33">
      <x:c r="A33" s="87" t="n">
        <x:v>29</x:v>
      </x:c>
      <x:c r="B33" s="88" t="str">
        <x:v>Business testing and UAT strategy</x:v>
      </x:c>
      <x:c r="C33" s="88" t="str">
        <x:v>Testing</x:v>
      </x:c>
      <x:c r="D33" s="88" t="str">
        <x:v>20 UAT scenarios and governance</x:v>
      </x:c>
      <x:c r="E33" s="88" t="str">
        <x:v>Complete</x:v>
      </x:c>
      <x:c r="F33" s="88" t="str">
        <x:v>Test strategy</x:v>
      </x:c>
      <x:c r="G33" s="88" t="str">
        <x:v>13 Testing and UAT</x:v>
      </x:c>
      <x:c r="H33" s="88" t="str">
        <x:v>177–179</x:v>
      </x:c>
      <x:c r="I33" s="89" t="str">
        <x:v>Testing approach defined.</x:v>
      </x:c>
    </x:row>
    <x:row r="34">
      <x:c r="A34" s="87" t="n">
        <x:v>30</x:v>
      </x:c>
      <x:c r="B34" s="88" t="str">
        <x:v>Requirements-to-test traceability</x:v>
      </x:c>
      <x:c r="C34" s="88" t="str">
        <x:v>Testing / Requirements</x:v>
      </x:c>
      <x:c r="D34" s="88" t="str">
        <x:v>RTM + detailed UAT cases</x:v>
      </x:c>
      <x:c r="E34" s="88" t="str">
        <x:v>Complete</x:v>
      </x:c>
      <x:c r="F34" s="88" t="str">
        <x:v>Traceability / UAT</x:v>
      </x:c>
      <x:c r="G34" s="88" t="str">
        <x:v>13 Testing and UAT</x:v>
      </x:c>
      <x:c r="H34" s="88" t="str">
        <x:v>180–184</x:v>
      </x:c>
      <x:c r="I34" s="89" t="str">
        <x:v>Full-service execution not claimed.</x:v>
      </x:c>
    </x:row>
    <x:row r="35">
      <x:c r="A35" s="87" t="n">
        <x:v>31</x:v>
      </x:c>
      <x:c r="B35" s="88" t="str">
        <x:v>UAT execution readiness / defects / sign-off</x:v>
      </x:c>
      <x:c r="C35" s="88" t="str">
        <x:v>Testing Governance</x:v>
      </x:c>
      <x:c r="D35" s="88" t="str">
        <x:v>Readiness, execution, defect, retest and sign-off design</x:v>
      </x:c>
      <x:c r="E35" s="88" t="str">
        <x:v>Complete</x:v>
      </x:c>
      <x:c r="F35" s="88" t="str">
        <x:v>Test governance</x:v>
      </x:c>
      <x:c r="G35" s="88" t="str">
        <x:v>13 Testing and UAT</x:v>
      </x:c>
      <x:c r="H35" s="88" t="str">
        <x:v>185–188</x:v>
      </x:c>
      <x:c r="I35" s="89" t="str">
        <x:v>No fake test passes/defects/sign-off.</x:v>
      </x:c>
    </x:row>
    <x:row r="36">
      <x:c r="A36" s="87" t="n">
        <x:v>32</x:v>
      </x:c>
      <x:c r="B36" s="88" t="str">
        <x:v>Security, privacy and compliance assurance</x:v>
      </x:c>
      <x:c r="C36" s="88" t="str">
        <x:v>Assurance</x:v>
      </x:c>
      <x:c r="D36" s="88" t="str">
        <x:v>30 controls, privacy/data/access/AI assurance and open production gates</x:v>
      </x:c>
      <x:c r="E36" s="88" t="str">
        <x:v>Complete</x:v>
      </x:c>
      <x:c r="F36" s="88" t="str">
        <x:v>Assurance design</x:v>
      </x:c>
      <x:c r="G36" s="88" t="str">
        <x:v>14 Security, Privacy and Compliance</x:v>
      </x:c>
      <x:c r="H36" s="88" t="str">
        <x:v>189–194</x:v>
      </x:c>
      <x:c r="I36" s="89" t="str">
        <x:v>No compliance/certification claim.</x:v>
      </x:c>
    </x:row>
    <x:row r="37">
      <x:c r="A37" s="87" t="n">
        <x:v>33</x:v>
      </x:c>
      <x:c r="B37" s="88" t="str">
        <x:v>Release and implementation readiness</x:v>
      </x:c>
      <x:c r="C37" s="88" t="str">
        <x:v>Release</x:v>
      </x:c>
      <x:c r="D37" s="88" t="str">
        <x:v>Phased implementation, dependencies, rollback, go-live governance</x:v>
      </x:c>
      <x:c r="E37" s="88" t="str">
        <x:v>Complete</x:v>
      </x:c>
      <x:c r="F37" s="88" t="str">
        <x:v>Release design</x:v>
      </x:c>
      <x:c r="G37" s="88" t="str">
        <x:v>15 Release and Implementation</x:v>
      </x:c>
      <x:c r="H37" s="88" t="str">
        <x:v>195–201</x:v>
      </x:c>
      <x:c r="I37" s="89" t="str">
        <x:v>No production deployment.</x:v>
      </x:c>
    </x:row>
    <x:row r="38">
      <x:c r="A38" s="87" t="n">
        <x:v>34</x:v>
      </x:c>
      <x:c r="B38" s="88" t="str">
        <x:v>Live service and support model</x:v>
      </x:c>
      <x:c r="C38" s="88" t="str">
        <x:v>Operations</x:v>
      </x:c>
      <x:c r="D38" s="88" t="str">
        <x:v>Ownership, monitoring, incidents/problems, support, runbooks, handover</x:v>
      </x:c>
      <x:c r="E38" s="88" t="str">
        <x:v>Complete</x:v>
      </x:c>
      <x:c r="F38" s="88" t="str">
        <x:v>Operating model</x:v>
      </x:c>
      <x:c r="G38" s="88" t="str">
        <x:v>16 Live Service and Support</x:v>
      </x:c>
      <x:c r="H38" s="88" t="str">
        <x:v>202–209</x:v>
      </x:c>
      <x:c r="I38" s="89" t="str">
        <x:v>Production service not live.</x:v>
      </x:c>
    </x:row>
    <x:row r="39">
      <x:c r="A39" s="87" t="n">
        <x:v>35</x:v>
      </x:c>
      <x:c r="B39" s="88" t="str">
        <x:v>Benefits and performance measurement</x:v>
      </x:c>
      <x:c r="C39" s="88" t="str">
        <x:v>Benefits</x:v>
      </x:c>
      <x:c r="D39" s="88" t="str">
        <x:v>10 benefits, 14 KPIs, measurement/PIR framework</x:v>
      </x:c>
      <x:c r="E39" s="88" t="str">
        <x:v>Complete</x:v>
      </x:c>
      <x:c r="F39" s="88" t="str">
        <x:v>Benefits framework</x:v>
      </x:c>
      <x:c r="G39" s="88" t="str">
        <x:v>17 Benefits and Performance</x:v>
      </x:c>
      <x:c r="H39" s="88" t="str">
        <x:v>210–216</x:v>
      </x:c>
      <x:c r="I39" s="89" t="str">
        <x:v>0 realised benefits claimed.</x:v>
      </x:c>
    </x:row>
    <x:row r="40">
      <x:c r="A40" s="90" t="n">
        <x:v>36</x:v>
      </x:c>
      <x:c r="B40" s="91" t="str">
        <x:v>BA capability evidence matrix</x:v>
      </x:c>
      <x:c r="C40" s="91" t="str">
        <x:v>Portfolio / Capability</x:v>
      </x:c>
      <x:c r="D40" s="91" t="str">
        <x:v>9 BA capability areas, 30 evidence items</x:v>
      </x:c>
      <x:c r="E40" s="91" t="str">
        <x:v>Complete</x:v>
      </x:c>
      <x:c r="F40" s="91" t="str">
        <x:v>Capability mapping</x:v>
      </x:c>
      <x:c r="G40" s="91" t="str">
        <x:v>18 UK Government Capability Evidence</x:v>
      </x:c>
      <x:c r="H40" s="91" t="str">
        <x:v>217–222</x:v>
      </x:c>
      <x:c r="I40" s="92" t="str">
        <x:v>Portfolio self-evidence only.</x:v>
      </x:c>
    </x:row>
  </x:sheetData>
  <x:mergeCells>
    <x:mergeCell ref="A1:I1"/>
    <x:mergeCell ref="A2:I2"/>
  </x:mergeCells>
  <x:conditionalFormatting sqref="E5:E50">
    <x:cfRule type="expression" dxfId="0" priority="1">
      <x:formula>E5="Complete"</x:formula>
    </x:cfRule>
  </x:conditionalFormatting>
  <x:dataValidations count="1">
    <x:dataValidation type="list" sqref="E5:E50">
      <x:formula1>"Complete,In Progress,Not Started"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42" hidden="0" customWidth="1"/>
    <x:col min="3" max="3" width="48" hidden="0" customWidth="1"/>
    <x:col min="4" max="4" width="38" hidden="0" customWidth="1"/>
    <x:col min="5" max="5" width="48" hidden="0" customWidth="1"/>
    <x:col min="6" max="6" width="20" hidden="0" customWidth="1"/>
    <x:col min="7" max="7" width="14" hidden="0" customWidth="1"/>
    <x:col min="8" max="8" width="42" hidden="0" customWidth="1"/>
    <x:col min="9" max="9" width="30" hidden="0" customWidth="1"/>
    <x:col min="10" max="10" width="40" hidden="0" customWidth="1"/>
  </x:cols>
  <x:sheetData>
    <x:row r="1">
      <x:c r="A1" s="5" t="str">
        <x:v>PayFix AI 2.0 — Final Key Decision Log</x:v>
      </x:c>
      <x:c r="B1" s="5"/>
      <x:c r="C1" s="5"/>
      <x:c r="D1" s="5"/>
      <x:c r="E1" s="5"/>
      <x:c r="F1" s="5"/>
      <x:c r="G1" s="5"/>
      <x:c r="H1" s="5"/>
      <x:c r="I1" s="5"/>
      <x:c r="J1" s="5"/>
    </x:row>
    <x:row r="2">
      <x:c r="A2" s="13" t="str">
        <x:v>These are major portfolio decisions evidenced during the project. They summarise why the final design looks the way it does.</x:v>
      </x:c>
      <x:c r="B2" s="13"/>
      <x:c r="C2" s="13"/>
      <x:c r="D2" s="13"/>
      <x:c r="E2" s="13"/>
      <x:c r="F2" s="13"/>
      <x:c r="G2" s="13"/>
      <x:c r="H2" s="13"/>
      <x:c r="I2" s="13"/>
      <x:c r="J2" s="13"/>
    </x:row>
    <x:row r="4">
      <x:c r="A4" s="84" t="str">
        <x:v>Decision ID</x:v>
      </x:c>
      <x:c r="B4" s="85" t="str">
        <x:v>Decision</x:v>
      </x:c>
      <x:c r="C4" s="85" t="str">
        <x:v>Reason / Evidence</x:v>
      </x:c>
      <x:c r="D4" s="85" t="str">
        <x:v>Alternatives Considered</x:v>
      </x:c>
      <x:c r="E4" s="85" t="str">
        <x:v>Resulting Rule / Boundary</x:v>
      </x:c>
      <x:c r="F4" s="85" t="str">
        <x:v>Related Steps</x:v>
      </x:c>
      <x:c r="G4" s="85" t="str">
        <x:v>Status</x:v>
      </x:c>
      <x:c r="H4" s="85" t="str">
        <x:v>Production Impact</x:v>
      </x:c>
      <x:c r="I4" s="85" t="str">
        <x:v>Owner / Governance</x:v>
      </x:c>
      <x:c r="J4" s="86" t="str">
        <x:v>Notes</x:v>
      </x:c>
    </x:row>
    <x:row r="5">
      <x:c r="A5" s="87" t="str">
        <x:v>DEC-001</x:v>
      </x:c>
      <x:c r="B5" s="88" t="str">
        <x:v>Use synthetic data for portfolio analysis/prototype</x:v>
      </x:c>
      <x:c r="C5" s="88" t="str">
        <x:v>Protect privacy and avoid representing access to real customer data.</x:v>
      </x:c>
      <x:c r="D5" s="88" t="str">
        <x:v>Real customer/production data; manually invented anecdotes.</x:v>
      </x:c>
      <x:c r="E5" s="88" t="str">
        <x:v>All analysis/prototype evidence remains synthetic and labelled.</x:v>
      </x:c>
      <x:c r="F5" s="88" t="str">
        <x:v>16–18, 28, 35</x:v>
      </x:c>
      <x:c r="G5" s="88" t="str">
        <x:v>Closed</x:v>
      </x:c>
      <x:c r="H5" s="88" t="str">
        <x:v>Real-data use would require separate governance/assurance.</x:v>
      </x:c>
      <x:c r="I5" s="88" t="str">
        <x:v>Portfolio / Privacy</x:v>
      </x:c>
      <x:c r="J5" s="89" t="str">
        <x:v>Preserves evidence integrity.</x:v>
      </x:c>
    </x:row>
    <x:row r="6">
      <x:c r="A6" s="87" t="str">
        <x:v>DEC-002</x:v>
      </x:c>
      <x:c r="B6" s="88" t="str">
        <x:v>Keep H1 core service independent of AI</x:v>
      </x:c>
      <x:c r="C6" s="88" t="str">
        <x:v>Core dispute handling must remain safe and operable without AI availability/approval.</x:v>
      </x:c>
      <x:c r="D6" s="88" t="str">
        <x:v>AI-first architecture; AI-dependent workflow.</x:v>
      </x:c>
      <x:c r="E6" s="88" t="str">
        <x:v>H1 must function without AI.</x:v>
      </x:c>
      <x:c r="F6" s="88" t="str">
        <x:v>22–34</x:v>
      </x:c>
      <x:c r="G6" s="88" t="str">
        <x:v>Closed</x:v>
      </x:c>
      <x:c r="H6" s="88" t="str">
        <x:v>Reduces operational and assurance dependency on AI.</x:v>
      </x:c>
      <x:c r="I6" s="88" t="str">
        <x:v>Product / Architecture</x:v>
      </x:c>
      <x:c r="J6" s="89" t="str">
        <x:v>Repeated across design, testing, release and live service.</x:v>
      </x:c>
    </x:row>
    <x:row r="7">
      <x:c r="A7" s="87" t="str">
        <x:v>DEC-003</x:v>
      </x:c>
      <x:c r="B7" s="88" t="str">
        <x:v>Use H2 only for selective deterministic automation</x:v>
      </x:c>
      <x:c r="C7" s="88" t="str">
        <x:v>Some repeatable workflow improvements do not require probabilistic AI.</x:v>
      </x:c>
      <x:c r="D7" s="88" t="str">
        <x:v>Manual-only process; broad AI automation.</x:v>
      </x:c>
      <x:c r="E7" s="88" t="str">
        <x:v>H2 automation must be separable and safely bypassable.</x:v>
      </x:c>
      <x:c r="F7" s="88" t="str">
        <x:v>22–34</x:v>
      </x:c>
      <x:c r="G7" s="88" t="str">
        <x:v>Closed</x:v>
      </x:c>
      <x:c r="H7" s="88" t="str">
        <x:v>Supports controlled fallback.</x:v>
      </x:c>
      <x:c r="I7" s="88" t="str">
        <x:v>Product / Engineering</x:v>
      </x:c>
      <x:c r="J7" s="89" t="str">
        <x:v>No claim of implemented automation.</x:v>
      </x:c>
    </x:row>
    <x:row r="8">
      <x:c r="A8" s="87" t="str">
        <x:v>DEC-004</x:v>
      </x:c>
      <x:c r="B8" s="88" t="str">
        <x:v>Limit H3 AI to Evidence Summarisation and Handoff Summarisation</x:v>
      </x:c>
      <x:c r="C8" s="88" t="str">
        <x:v>Options/AI suitability analysis favoured narrow assistive use rather than autonomous decisions.</x:v>
      </x:c>
      <x:c r="D8" s="88" t="str">
        <x:v>Broad agentic automation; automated fraud/refund/outcome decisions.</x:v>
      </x:c>
      <x:c r="E8" s="88" t="str">
        <x:v>AI remains assistive, grounded and human-reviewed.</x:v>
      </x:c>
      <x:c r="F8" s="88" t="str">
        <x:v>22, 27–35</x:v>
      </x:c>
      <x:c r="G8" s="88" t="str">
        <x:v>Closed</x:v>
      </x:c>
      <x:c r="H8" s="88" t="str">
        <x:v>Separate production approval required.</x:v>
      </x:c>
      <x:c r="I8" s="88" t="str">
        <x:v>Product / Risk / Privacy / Security</x:v>
      </x:c>
      <x:c r="J8" s="89" t="str">
        <x:v>H4 expansion remains conditional.</x:v>
      </x:c>
    </x:row>
    <x:row r="9">
      <x:c r="A9" s="87" t="str">
        <x:v>DEC-005</x:v>
      </x:c>
      <x:c r="B9" s="88" t="str">
        <x:v>AI output is not authoritative business state</x:v>
      </x:c>
      <x:c r="C9" s="88" t="str">
        <x:v>Protect decision authority, auditability and correctness.</x:v>
      </x:c>
      <x:c r="D9" s="88" t="str">
        <x:v>Direct AI writes to case state.</x:v>
      </x:c>
      <x:c r="E9" s="88" t="str">
        <x:v>AI cannot directly approve refunds, determine fraud/outcomes or write authoritative state.</x:v>
      </x:c>
      <x:c r="F9" s="88" t="str">
        <x:v>26–34</x:v>
      </x:c>
      <x:c r="G9" s="88" t="str">
        <x:v>Closed</x:v>
      </x:c>
      <x:c r="H9" s="88" t="str">
        <x:v>Technical enforcement required before any production H3.</x:v>
      </x:c>
      <x:c r="I9" s="88" t="str">
        <x:v>Product / Architecture / Security</x:v>
      </x:c>
      <x:c r="J9" s="89" t="str">
        <x:v>Human review uses Accept/Correct/Reject/Disregard.</x:v>
      </x:c>
    </x:row>
    <x:row r="10">
      <x:c r="A10" s="87" t="str">
        <x:v>DEC-006</x:v>
      </x:c>
      <x:c r="B10" s="88" t="str">
        <x:v>Do not invent missing requirements or mappings</x:v>
      </x:c>
      <x:c r="C10" s="88" t="str">
        <x:v>Evidence gaps should remain visible.</x:v>
      </x:c>
      <x:c r="D10" s="88" t="str">
        <x:v>Fill gaps for completeness.</x:v>
      </x:c>
      <x:c r="E10" s="88" t="str">
        <x:v>CR-013/014/015 remain source-definition gaps; story mapping only where supported.</x:v>
      </x:c>
      <x:c r="F10" s="88" t="str">
        <x:v>24–30</x:v>
      </x:c>
      <x:c r="G10" s="88" t="str">
        <x:v>Closed</x:v>
      </x:c>
      <x:c r="H10" s="88" t="str">
        <x:v>Improves auditability and trustworthiness.</x:v>
      </x:c>
      <x:c r="I10" s="88" t="str">
        <x:v>Business Analysis</x:v>
      </x:c>
      <x:c r="J10" s="89" t="str">
        <x:v>No invented Jira IDs.</x:v>
      </x:c>
    </x:row>
    <x:row r="11">
      <x:c r="A11" s="87" t="str">
        <x:v>DEC-007</x:v>
      </x:c>
      <x:c r="B11" s="88" t="str">
        <x:v>Separate prototype evaluation from full-service UAT</x:v>
      </x:c>
      <x:c r="C11" s="88" t="str">
        <x:v>A working prototype does not equal a complete representative service.</x:v>
      </x:c>
      <x:c r="D11" s="88" t="str">
        <x:v>Treat AI evaluation as UAT pass.</x:v>
      </x:c>
      <x:c r="E11" s="88" t="str">
        <x:v>Step 28 evidence remains prototype evidence; Step 29–31 UAT execution remains separate.</x:v>
      </x:c>
      <x:c r="F11" s="88" t="str">
        <x:v>28–31</x:v>
      </x:c>
      <x:c r="G11" s="88" t="str">
        <x:v>Closed</x:v>
      </x:c>
      <x:c r="H11" s="88" t="str">
        <x:v>Prevents false acceptance claims.</x:v>
      </x:c>
      <x:c r="I11" s="88" t="str">
        <x:v>BA / QA / Product</x:v>
      </x:c>
      <x:c r="J11" s="89" t="str">
        <x:v>Full-service UAT status remains Not Executed.</x:v>
      </x:c>
    </x:row>
    <x:row r="12">
      <x:c r="A12" s="87" t="str">
        <x:v>DEC-008</x:v>
      </x:c>
      <x:c r="B12" s="88" t="str">
        <x:v>Do not claim production security/privacy compliance from design evidence</x:v>
      </x:c>
      <x:c r="C12" s="88" t="str">
        <x:v>Control design does not equal implementation/certification.</x:v>
      </x:c>
      <x:c r="D12" s="88" t="str">
        <x:v>Declare compliant based on workbook/design.</x:v>
      </x:c>
      <x:c r="E12" s="88" t="str">
        <x:v>Assurance gates remain open until implementation/governance evidence exists.</x:v>
      </x:c>
      <x:c r="F12" s="88" t="str">
        <x:v>32–34</x:v>
      </x:c>
      <x:c r="G12" s="88" t="str">
        <x:v>Closed</x:v>
      </x:c>
      <x:c r="H12" s="88" t="str">
        <x:v>Production approval remains Not Granted.</x:v>
      </x:c>
      <x:c r="I12" s="88" t="str">
        <x:v>Security / Privacy / Product</x:v>
      </x:c>
      <x:c r="J12" s="89" t="str">
        <x:v>Formal DPIA not claimed complete.</x:v>
      </x:c>
    </x:row>
    <x:row r="13">
      <x:c r="A13" s="87" t="str">
        <x:v>DEC-009</x:v>
      </x:c>
      <x:c r="B13" s="88" t="str">
        <x:v>No production release/live-service claims</x:v>
      </x:c>
      <x:c r="C13" s="88" t="str">
        <x:v>Portfolio does not contain a deployed production service.</x:v>
      </x:c>
      <x:c r="D13" s="88" t="str">
        <x:v>Populate example go-live/incidents for completeness.</x:v>
      </x:c>
      <x:c r="E13" s="88" t="str">
        <x:v>Release = Not Performed; Production Service = Not Live; incident registers stay empty.</x:v>
      </x:c>
      <x:c r="F13" s="88" t="str">
        <x:v>33–35</x:v>
      </x:c>
      <x:c r="G13" s="88" t="str">
        <x:v>Closed</x:v>
      </x:c>
      <x:c r="H13" s="88" t="str">
        <x:v>Operational evidence must be observed, not fabricated.</x:v>
      </x:c>
      <x:c r="I13" s="88" t="str">
        <x:v>Release / Operations</x:v>
      </x:c>
      <x:c r="J13" s="89" t="str">
        <x:v>No fake support performance.</x:v>
      </x:c>
    </x:row>
    <x:row r="14">
      <x:c r="A14" s="87" t="str">
        <x:v>DEC-010</x:v>
      </x:c>
      <x:c r="B14" s="88" t="str">
        <x:v>Benefits remain hypotheses until post-implementation evidence exists</x:v>
      </x:c>
      <x:c r="C14" s="88" t="str">
        <x:v>Expected improvement is not realised benefit.</x:v>
      </x:c>
      <x:c r="D14" s="88" t="str">
        <x:v>Claim percentage improvements based on To-Be design.</x:v>
      </x:c>
      <x:c r="E14" s="88" t="str">
        <x:v>Targets remain TBD where not approved; benefits status = Not Yet Measured.</x:v>
      </x:c>
      <x:c r="F14" s="88" t="str">
        <x:v>35</x:v>
      </x:c>
      <x:c r="G14" s="88" t="str">
        <x:v>Closed</x:v>
      </x:c>
      <x:c r="H14" s="88" t="str">
        <x:v>PIR required after real implementation.</x:v>
      </x:c>
      <x:c r="I14" s="88" t="str">
        <x:v>Benefit Owners / Product / BA</x:v>
      </x:c>
      <x:c r="J14" s="89" t="str">
        <x:v>Negative/neutral future results must be retained.</x:v>
      </x:c>
    </x:row>
    <x:row r="15">
      <x:c r="A15" s="90" t="str">
        <x:v>DEC-011</x:v>
      </x:c>
      <x:c r="B15" s="91" t="str">
        <x:v>Capability mapping includes explicit evidence limitations</x:v>
      </x:c>
      <x:c r="C15" s="91" t="str">
        <x:v>Portfolio should not pretend real stakeholder/user engagement occurred.</x:v>
      </x:c>
      <x:c r="D15" s="91" t="str">
        <x:v>Rate every area unqualified.</x:v>
      </x:c>
      <x:c r="E15" s="91" t="str">
        <x:v>CAP-07 and CAP-09 retained as demonstrated with limitation.</x:v>
      </x:c>
      <x:c r="F15" s="91" t="str">
        <x:v>36</x:v>
      </x:c>
      <x:c r="G15" s="91" t="str">
        <x:v>Closed</x:v>
      </x:c>
      <x:c r="H15" s="91" t="str">
        <x:v>Interview evidence should state portfolio boundary.</x:v>
      </x:c>
      <x:c r="I15" s="91" t="str">
        <x:v>Portfolio Owner</x:v>
      </x:c>
      <x:c r="J15" s="92" t="str">
        <x:v>Official government assessment not claimed.</x:v>
      </x:c>
    </x:row>
  </x:sheetData>
  <x:mergeCells>
    <x:mergeCell ref="A1:J1"/>
    <x:mergeCell ref="A2:J2"/>
  </x:mergeCells>
  <x:conditionalFormatting sqref="G5:G30">
    <x:cfRule type="expression" dxfId="1" priority="1">
      <x:formula>G5="Closed"</x:formula>
    </x:cfRule>
  </x:conditionalFormatting>
  <x:dataValidations count="1">
    <x:dataValidation type="list" sqref="G5:G30">
      <x:formula1>"Closed,Open,Superseded"</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30" hidden="0" customWidth="1"/>
    <x:col min="3" max="3" width="46" hidden="0" customWidth="1"/>
    <x:col min="4" max="4" width="44" hidden="0" customWidth="1"/>
    <x:col min="5" max="5" width="48" hidden="0" customWidth="1"/>
    <x:col min="6" max="6" width="20" hidden="0" customWidth="1"/>
    <x:col min="7" max="7" width="32" hidden="0" customWidth="1"/>
    <x:col min="8" max="8" width="44" hidden="0" customWidth="1"/>
    <x:col min="9" max="9" width="20" hidden="0" customWidth="1"/>
    <x:col min="10" max="10" width="42" hidden="0" customWidth="1"/>
  </x:cols>
  <x:sheetData>
    <x:row r="1">
      <x:c r="A1" s="5" t="str">
        <x:v>PayFix AI 2.0 — Final Limitations, Open Items and Future Evidence</x:v>
      </x:c>
      <x:c r="B1" s="5"/>
      <x:c r="C1" s="5"/>
      <x:c r="D1" s="5"/>
      <x:c r="E1" s="5"/>
      <x:c r="F1" s="5"/>
      <x:c r="G1" s="5"/>
      <x:c r="H1" s="5"/>
      <x:c r="I1" s="5"/>
      <x:c r="J1" s="5"/>
    </x:row>
    <x:row r="2">
      <x:c r="A2" s="13" t="str">
        <x:v>Project closure does not mean every real-world delivery activity has occurred. The items below identify what remains future implementation, assurance or real-world evidence.</x:v>
      </x:c>
      <x:c r="B2" s="13"/>
      <x:c r="C2" s="13"/>
      <x:c r="D2" s="13"/>
      <x:c r="E2" s="13"/>
      <x:c r="F2" s="13"/>
      <x:c r="G2" s="13"/>
      <x:c r="H2" s="13"/>
      <x:c r="I2" s="13"/>
      <x:c r="J2" s="13"/>
    </x:row>
    <x:row r="4">
      <x:c r="A4" s="84" t="str">
        <x:v>Item ID</x:v>
      </x:c>
      <x:c r="B4" s="85" t="str">
        <x:v>Area</x:v>
      </x:c>
      <x:c r="C4" s="85" t="str">
        <x:v>Current Portfolio Position</x:v>
      </x:c>
      <x:c r="D4" s="85" t="str">
        <x:v>Why It Remains Open</x:v>
      </x:c>
      <x:c r="E4" s="85" t="str">
        <x:v>What Would Close It</x:v>
      </x:c>
      <x:c r="F4" s="85" t="str">
        <x:v>Current Status</x:v>
      </x:c>
      <x:c r="G4" s="85" t="str">
        <x:v>Owner / Decision Role</x:v>
      </x:c>
      <x:c r="H4" s="85" t="str">
        <x:v>Risk if Misrepresented</x:v>
      </x:c>
      <x:c r="I4" s="85" t="str">
        <x:v>Related Steps</x:v>
      </x:c>
      <x:c r="J4" s="86" t="str">
        <x:v>Notes</x:v>
      </x:c>
    </x:row>
    <x:row r="5">
      <x:c r="A5" s="87" t="str">
        <x:v>OPEN-001</x:v>
      </x:c>
      <x:c r="B5" s="88" t="str">
        <x:v>Real stakeholder engagement</x:v>
      </x:c>
      <x:c r="C5" s="88" t="str">
        <x:v>Stakeholder analysis/governance designed; no live organisational workshops/interviews claimed.</x:v>
      </x:c>
      <x:c r="D5" s="88" t="str">
        <x:v>Portfolio setting has no genuine PayFix organisation/team.</x:v>
      </x:c>
      <x:c r="E5" s="88" t="str">
        <x:v>Observed stakeholder engagement, decisions and relationship outcomes in a real project.</x:v>
      </x:c>
      <x:c r="F5" s="88" t="str">
        <x:v>Future Evidence</x:v>
      </x:c>
      <x:c r="G5" s="88" t="str">
        <x:v>BA / Product / Stakeholders</x:v>
      </x:c>
      <x:c r="H5" s="88" t="str">
        <x:v>Could falsely imply organisational delivery experience.</x:v>
      </x:c>
      <x:c r="I5" s="88" t="str">
        <x:v>18, 29–36</x:v>
      </x:c>
      <x:c r="J5" s="89" t="str">
        <x:v>Capability limitation retained in CAP-07.</x:v>
      </x:c>
    </x:row>
    <x:row r="6">
      <x:c r="A6" s="87" t="str">
        <x:v>OPEN-002</x:v>
      </x:c>
      <x:c r="B6" s="88" t="str">
        <x:v>Real user research / usability testing</x:v>
      </x:c>
      <x:c r="C6" s="88" t="str">
        <x:v>UX analysis/hypotheses/requirements exist; no genuine user sessions claimed.</x:v>
      </x:c>
      <x:c r="D6" s="88" t="str">
        <x:v>No real PayFix users available.</x:v>
      </x:c>
      <x:c r="E6" s="88" t="str">
        <x:v>Conduct approved interviews/usability research and document evidence.</x:v>
      </x:c>
      <x:c r="F6" s="88" t="str">
        <x:v>Future Evidence</x:v>
      </x:c>
      <x:c r="G6" s="88" t="str">
        <x:v>UX / BA / Product</x:v>
      </x:c>
      <x:c r="H6" s="88" t="str">
        <x:v>Could fabricate user voice or quotes.</x:v>
      </x:c>
      <x:c r="I6" s="88" t="str">
        <x:v>21, 23, 24, 30, 35, 36</x:v>
      </x:c>
      <x:c r="J6" s="89" t="str">
        <x:v>Capability limitation retained in CAP-09.</x:v>
      </x:c>
    </x:row>
    <x:row r="7">
      <x:c r="A7" s="87" t="str">
        <x:v>OPEN-003</x:v>
      </x:c>
      <x:c r="B7" s="88" t="str">
        <x:v>Complete implemented service</x:v>
      </x:c>
      <x:c r="C7" s="88" t="str">
        <x:v>Logical/process/requirements/prototype evidence exists, not full system implementation.</x:v>
      </x:c>
      <x:c r="D7" s="88" t="str">
        <x:v>Portfolio scope focused on BA lifecycle and controlled prototype.</x:v>
      </x:c>
      <x:c r="E7" s="88" t="str">
        <x:v>Implement release scope in representative environment.</x:v>
      </x:c>
      <x:c r="F7" s="88" t="str">
        <x:v>Not Implemented</x:v>
      </x:c>
      <x:c r="G7" s="88" t="str">
        <x:v>Engineering / Product</x:v>
      </x:c>
      <x:c r="H7" s="88" t="str">
        <x:v>Could turn design evidence into false delivery claim.</x:v>
      </x:c>
      <x:c r="I7" s="88" t="str">
        <x:v>24–34</x:v>
      </x:c>
      <x:c r="J7" s="89" t="str">
        <x:v>Blocks full-service UAT and production release.</x:v>
      </x:c>
    </x:row>
    <x:row r="8">
      <x:c r="A8" s="87" t="str">
        <x:v>OPEN-004</x:v>
      </x:c>
      <x:c r="B8" s="88" t="str">
        <x:v>Full-service UAT</x:v>
      </x:c>
      <x:c r="C8" s="88" t="str">
        <x:v>20 UAT cases designed; execution not performed.</x:v>
      </x:c>
      <x:c r="D8" s="88" t="str">
        <x:v>Representative implemented service does not exist.</x:v>
      </x:c>
      <x:c r="E8" s="88" t="str">
        <x:v>Execute agreed UAT scope with authorised business testers and evidence.</x:v>
      </x:c>
      <x:c r="F8" s="88" t="str">
        <x:v>Not Executed</x:v>
      </x:c>
      <x:c r="G8" s="88" t="str">
        <x:v>Business / Product / QA</x:v>
      </x:c>
      <x:c r="H8" s="88" t="str">
        <x:v>Could fabricate acceptance evidence.</x:v>
      </x:c>
      <x:c r="I8" s="88" t="str">
        <x:v>29–31</x:v>
      </x:c>
      <x:c r="J8" s="89" t="str">
        <x:v>Step 28 prototype is not a substitute.</x:v>
      </x:c>
    </x:row>
    <x:row r="9">
      <x:c r="A9" s="87" t="str">
        <x:v>OPEN-005</x:v>
      </x:c>
      <x:c r="B9" s="88" t="str">
        <x:v>Formal DPIA / legal/privacy decisions</x:v>
      </x:c>
      <x:c r="C9" s="88" t="str">
        <x:v>Screening/design indicates production privacy governance required.</x:v>
      </x:c>
      <x:c r="D9" s="88" t="str">
        <x:v>Organisation-specific controller/legal context absent.</x:v>
      </x:c>
      <x:c r="E9" s="88" t="str">
        <x:v>Formal DPIA, lawful-basis, transparency and retention decisions by authorised organisation.</x:v>
      </x:c>
      <x:c r="F9" s="88" t="str">
        <x:v>Not Completed</x:v>
      </x:c>
      <x:c r="G9" s="88" t="str">
        <x:v>Privacy / Legal / Product</x:v>
      </x:c>
      <x:c r="H9" s="88" t="str">
        <x:v>Could overstate legal compliance.</x:v>
      </x:c>
      <x:c r="I9" s="88" t="str">
        <x:v>32</x:v>
      </x:c>
      <x:c r="J9" s="89" t="str">
        <x:v>No certification/compliance claim.</x:v>
      </x:c>
    </x:row>
    <x:row r="10">
      <x:c r="A10" s="87" t="str">
        <x:v>OPEN-006</x:v>
      </x:c>
      <x:c r="B10" s="88" t="str">
        <x:v>Production security implementation/testing</x:v>
      </x:c>
      <x:c r="C10" s="88" t="str">
        <x:v>Security control design exists; production evidence does not.</x:v>
      </x:c>
      <x:c r="D10" s="88" t="str">
        <x:v>No production environment.</x:v>
      </x:c>
      <x:c r="E10" s="88" t="str">
        <x:v>Implement/test access, encryption, logging, vulnerability, backup/recovery and related controls.</x:v>
      </x:c>
      <x:c r="F10" s="88" t="str">
        <x:v>Not Implemented</x:v>
      </x:c>
      <x:c r="G10" s="88" t="str">
        <x:v>Security / Engineering</x:v>
      </x:c>
      <x:c r="H10" s="88" t="str">
        <x:v>Could overstate cyber assurance.</x:v>
      </x:c>
      <x:c r="I10" s="88" t="str">
        <x:v>32–34</x:v>
      </x:c>
      <x:c r="J10" s="89" t="str">
        <x:v>Production approval remains not granted.</x:v>
      </x:c>
    </x:row>
    <x:row r="11">
      <x:c r="A11" s="87" t="str">
        <x:v>OPEN-007</x:v>
      </x:c>
      <x:c r="B11" s="88" t="str">
        <x:v>Production AI provider and operational approval</x:v>
      </x:c>
      <x:c r="C11" s="88" t="str">
        <x:v>Local prototype provider/model evidence only; no production provider selected.</x:v>
      </x:c>
      <x:c r="D11" s="88" t="str">
        <x:v>Provider decision is an implementation/governance activity.</x:v>
      </x:c>
      <x:c r="E11" s="88" t="str">
        <x:v>Supplier/security/privacy assessment plus controlled production AI approval.</x:v>
      </x:c>
      <x:c r="F11" s="88" t="str">
        <x:v>Not Approved</x:v>
      </x:c>
      <x:c r="G11" s="88" t="str">
        <x:v>Product / Risk / Privacy / Security / Procurement</x:v>
      </x:c>
      <x:c r="H11" s="88" t="str">
        <x:v>Could turn prototype dependency into production recommendation.</x:v>
      </x:c>
      <x:c r="I11" s="88" t="str">
        <x:v>27, 28, 32–35</x:v>
      </x:c>
      <x:c r="J11" s="89" t="str">
        <x:v>H3 remains optional.</x:v>
      </x:c>
    </x:row>
    <x:row r="12">
      <x:c r="A12" s="87" t="str">
        <x:v>OPEN-008</x:v>
      </x:c>
      <x:c r="B12" s="88" t="str">
        <x:v>Production deployment / go-live</x:v>
      </x:c>
      <x:c r="C12" s="88" t="str">
        <x:v>Release readiness designed; deployment not performed.</x:v>
      </x:c>
      <x:c r="D12" s="88" t="str">
        <x:v>No implemented service or approved release.</x:v>
      </x:c>
      <x:c r="E12" s="88" t="str">
        <x:v>Close release gates and record authorised Go/Conditional Go/No-Go, then deploy if approved.</x:v>
      </x:c>
      <x:c r="F12" s="88" t="str">
        <x:v>Not Performed</x:v>
      </x:c>
      <x:c r="G12" s="88" t="str">
        <x:v>Release Authority</x:v>
      </x:c>
      <x:c r="H12" s="88" t="str">
        <x:v>Could fabricate production experience.</x:v>
      </x:c>
      <x:c r="I12" s="88" t="str">
        <x:v>33</x:v>
      </x:c>
      <x:c r="J12" s="89" t="str">
        <x:v>Current decision remains No-Go / Not Ready.</x:v>
      </x:c>
    </x:row>
    <x:row r="13">
      <x:c r="A13" s="87" t="str">
        <x:v>OPEN-009</x:v>
      </x:c>
      <x:c r="B13" s="88" t="str">
        <x:v>Live-service evidence</x:v>
      </x:c>
      <x:c r="C13" s="88" t="str">
        <x:v>Support/monitoring/runbooks designed; service not live.</x:v>
      </x:c>
      <x:c r="D13" s="88" t="str">
        <x:v>No production operation.</x:v>
      </x:c>
      <x:c r="E13" s="88" t="str">
        <x:v>Operate service and collect monitoring/incidents/problems/support evidence.</x:v>
      </x:c>
      <x:c r="F13" s="88" t="str">
        <x:v>Not Live</x:v>
      </x:c>
      <x:c r="G13" s="88" t="str">
        <x:v>Service Owner / Operations</x:v>
      </x:c>
      <x:c r="H13" s="88" t="str">
        <x:v>Could fabricate availability/SLA/incidents.</x:v>
      </x:c>
      <x:c r="I13" s="88" t="str">
        <x:v>34</x:v>
      </x:c>
      <x:c r="J13" s="89" t="str">
        <x:v>Incident/problem registers intentionally empty.</x:v>
      </x:c>
    </x:row>
    <x:row r="14">
      <x:c r="A14" s="87" t="str">
        <x:v>OPEN-010</x:v>
      </x:c>
      <x:c r="B14" s="88" t="str">
        <x:v>Benefits realisation / PIR</x:v>
      </x:c>
      <x:c r="C14" s="88" t="str">
        <x:v>10 benefits and 14 KPIs designed; no realised benefits.</x:v>
      </x:c>
      <x:c r="D14" s="88" t="str">
        <x:v>No production operation or comparable post-implementation data.</x:v>
      </x:c>
      <x:c r="E14" s="88" t="str">
        <x:v>Collect comparable production data and run formal benefits/PIR review.</x:v>
      </x:c>
      <x:c r="F14" s="88" t="str">
        <x:v>Not Yet Measured</x:v>
      </x:c>
      <x:c r="G14" s="88" t="str">
        <x:v>Benefit Owners / Product / BA</x:v>
      </x:c>
      <x:c r="H14" s="88" t="str">
        <x:v>Could claim unobserved improvement.</x:v>
      </x:c>
      <x:c r="I14" s="88" t="str">
        <x:v>35</x:v>
      </x:c>
      <x:c r="J14" s="89" t="str">
        <x:v>Targets remain TBD where not approved.</x:v>
      </x:c>
    </x:row>
    <x:row r="15">
      <x:c r="A15" s="90" t="str">
        <x:v>OPEN-011</x:v>
      </x:c>
      <x:c r="B15" s="91" t="str">
        <x:v>Official capability assessment</x:v>
      </x:c>
      <x:c r="C15" s="91" t="str">
        <x:v>Portfolio self-evidence complete.</x:v>
      </x:c>
      <x:c r="D15" s="91" t="str">
        <x:v>No formal assessment/accreditation has occurred.</x:v>
      </x:c>
      <x:c r="E15" s="91" t="str">
        <x:v>Assessment by relevant employer/authority if applicable.</x:v>
      </x:c>
      <x:c r="F15" s="91" t="str">
        <x:v>Not Assessed</x:v>
      </x:c>
      <x:c r="G15" s="91" t="str">
        <x:v>External Assessor / Employer</x:v>
      </x:c>
      <x:c r="H15" s="91" t="str">
        <x:v>Could imply official certification.</x:v>
      </x:c>
      <x:c r="I15" s="91" t="str">
        <x:v>36</x:v>
      </x:c>
      <x:c r="J15" s="92" t="str">
        <x:v>Workbook explicitly states self-evidence only.</x:v>
      </x:c>
    </x:row>
  </x:sheetData>
  <x:mergeCells>
    <x:mergeCell ref="A1:J1"/>
    <x:mergeCell ref="A2:J2"/>
  </x:mergeCells>
  <x:conditionalFormatting sqref="F5:F30">
    <x:cfRule type="expression" dxfId="2" priority="1">
      <x:formula>F5="Closed"</x:formula>
    </x:cfRule>
    <x:cfRule type="expression" dxfId="3" priority="2">
      <x:formula>OR(F5="Not Implemented",F5="Not Executed",F5="Not Completed",F5="Not Approved",F5="Not Performed",F5="Not Live",F5="Not Yet Measured",F5="Not Assessed")</x:formula>
    </x:cfRule>
  </x:conditionalFormatting>
  <x:dataValidations count="1">
    <x:dataValidation type="list" sqref="F5:F30">
      <x:formula1>"Future Evidence,Not Implemented,Not Executed,Not Completed,Not Approved,Not Performed,Not Live,Not Yet Measured,Not Assessed,Closed"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16" hidden="0" customWidth="1"/>
    <x:col min="3" max="3" width="42" hidden="0" customWidth="1"/>
    <x:col min="4" max="4" width="38" hidden="0" customWidth="1"/>
    <x:col min="5" max="5" width="38" hidden="0" customWidth="1"/>
    <x:col min="6" max="6" width="46" hidden="0" customWidth="1"/>
    <x:col min="7" max="7" width="24" hidden="0" customWidth="1"/>
    <x:col min="8" max="8" width="16" hidden="0" customWidth="1"/>
    <x:col min="9" max="9" width="42" hidden="0" customWidth="1"/>
  </x:cols>
  <x:sheetData>
    <x:row r="1">
      <x:c r="A1" s="5" t="str">
        <x:v>PayFix AI 2.0 — Final Evidence Index</x:v>
      </x:c>
      <x:c r="B1" s="5"/>
      <x:c r="C1" s="5"/>
      <x:c r="D1" s="5"/>
      <x:c r="E1" s="5"/>
      <x:c r="F1" s="5"/>
      <x:c r="G1" s="5"/>
      <x:c r="H1" s="5"/>
      <x:c r="I1" s="5"/>
    </x:row>
    <x:row r="2">
      <x:c r="A2" s="13" t="str">
        <x:v>This index points to the major final artefacts. Earlier screenshots and source artefacts remain in their existing project evidence folders. Exact screenshot ranges are only stated where they are known from the completed later lifecycle.</x:v>
      </x:c>
      <x:c r="B2" s="13"/>
      <x:c r="C2" s="13"/>
      <x:c r="D2" s="13"/>
      <x:c r="E2" s="13"/>
      <x:c r="F2" s="13"/>
      <x:c r="G2" s="13"/>
      <x:c r="H2" s="13"/>
      <x:c r="I2" s="13"/>
    </x:row>
    <x:row r="4">
      <x:c r="A4" s="84" t="str">
        <x:v>Index ID</x:v>
      </x:c>
      <x:c r="B4" s="85" t="str">
        <x:v>Step / Range</x:v>
      </x:c>
      <x:c r="C4" s="85" t="str">
        <x:v>Major Artefact</x:v>
      </x:c>
      <x:c r="D4" s="85" t="str">
        <x:v>Confluence Parent</x:v>
      </x:c>
      <x:c r="E4" s="85" t="str">
        <x:v>Primary Local Folder</x:v>
      </x:c>
      <x:c r="F4" s="85" t="str">
        <x:v>Workbook / Source</x:v>
      </x:c>
      <x:c r="G4" s="85" t="str">
        <x:v>Screenshot Evidence</x:v>
      </x:c>
      <x:c r="H4" s="85" t="str">
        <x:v>Evidence Status</x:v>
      </x:c>
      <x:c r="I4" s="86" t="str">
        <x:v>Purpose</x:v>
      </x:c>
    </x:row>
    <x:row r="5">
      <x:c r="A5" s="87" t="str">
        <x:v>IDX-001</x:v>
      </x:c>
      <x:c r="B5" s="88" t="str">
        <x:v>Steps 1–15</x:v>
      </x:c>
      <x:c r="C5" s="88" t="str">
        <x:v>Project setup, charter, Agile/Scrum/Kanban foundations</x:v>
      </x:c>
      <x:c r="D5" s="88" t="str">
        <x:v>01 / 10 / 11 / 12</x:v>
      </x:c>
      <x:c r="E5" s="88" t="str">
        <x:v>Existing earlier portfolio folders</x:v>
      </x:c>
      <x:c r="F5" s="88" t="str">
        <x:v>Confluence/Jira evidence</x:v>
      </x:c>
      <x:c r="G5" s="88" t="str">
        <x:v>Existing earlier evidence</x:v>
      </x:c>
      <x:c r="H5" s="88" t="str">
        <x:v>Complete</x:v>
      </x:c>
      <x:c r="I5" s="89" t="str">
        <x:v>Portfolio and delivery foundation</x:v>
      </x:c>
    </x:row>
    <x:row r="6">
      <x:c r="A6" s="87" t="str">
        <x:v>IDX-002</x:v>
      </x:c>
      <x:c r="B6" s="88" t="str">
        <x:v>Step 16</x:v>
      </x:c>
      <x:c r="C6" s="88" t="str">
        <x:v>Synthetic data acquisition/cleaning/traceability</x:v>
      </x:c>
      <x:c r="D6" s="88" t="str">
        <x:v>08 Digital and Data Systems Analysis</x:v>
      </x:c>
      <x:c r="E6" s="88" t="str">
        <x:v>05-data</x:v>
      </x:c>
      <x:c r="F6" s="88" t="str">
        <x:v>Synthetic data workbooks/files</x:v>
      </x:c>
      <x:c r="G6" s="88" t="str">
        <x:v>Existing earlier evidence</x:v>
      </x:c>
      <x:c r="H6" s="88" t="str">
        <x:v>Complete</x:v>
      </x:c>
      <x:c r="I6" s="89" t="str">
        <x:v>Evidence-safe data foundation</x:v>
      </x:c>
    </x:row>
    <x:row r="7">
      <x:c r="A7" s="87" t="str">
        <x:v>IDX-003</x:v>
      </x:c>
      <x:c r="B7" s="88" t="str">
        <x:v>Steps 17–23</x:v>
      </x:c>
      <x:c r="C7" s="88" t="str">
        <x:v>Baseline, stakeholders, root cause, As-Is, UX, options, To-Be</x:v>
      </x:c>
      <x:c r="D7" s="88" t="str">
        <x:v>02 / 03 / 04 / 05 / 06</x:v>
      </x:c>
      <x:c r="E7" s="88" t="str">
        <x:v>Existing analysis folders</x:v>
      </x:c>
      <x:c r="F7" s="88" t="str">
        <x:v>Analysis workbooks / diagrams / Confluence</x:v>
      </x:c>
      <x:c r="G7" s="88" t="str">
        <x:v>Existing earlier evidence</x:v>
      </x:c>
      <x:c r="H7" s="88" t="str">
        <x:v>Complete</x:v>
      </x:c>
      <x:c r="I7" s="89" t="str">
        <x:v>Discovery and future-state design</x:v>
      </x:c>
    </x:row>
    <x:row r="8">
      <x:c r="A8" s="87" t="str">
        <x:v>IDX-004</x:v>
      </x:c>
      <x:c r="B8" s="88" t="str">
        <x:v>Step 24</x:v>
      </x:c>
      <x:c r="C8" s="88" t="str">
        <x:v>Business, User and Solution Requirements</x:v>
      </x:c>
      <x:c r="D8" s="88" t="str">
        <x:v>07 Business and User Requirements</x:v>
      </x:c>
      <x:c r="E8" s="88" t="str">
        <x:v>Existing requirements folder</x:v>
      </x:c>
      <x:c r="F8" s="88" t="str">
        <x:v>Requirements source export / baseline</x:v>
      </x:c>
      <x:c r="G8" s="88" t="str">
        <x:v>Source artefact</x:v>
      </x:c>
      <x:c r="H8" s="88" t="str">
        <x:v>Complete</x:v>
      </x:c>
      <x:c r="I8" s="89" t="str">
        <x:v>228-requirement source of truth</x:v>
      </x:c>
    </x:row>
    <x:row r="9">
      <x:c r="A9" s="87" t="str">
        <x:v>IDX-005</x:v>
      </x:c>
      <x:c r="B9" s="88" t="str">
        <x:v>Step 25</x:v>
      </x:c>
      <x:c r="C9" s="88" t="str">
        <x:v>Product Backlog, User Stories and Acceptance Criteria</x:v>
      </x:c>
      <x:c r="D9" s="88" t="str">
        <x:v>11 Scrum Delivery</x:v>
      </x:c>
      <x:c r="E9" s="88" t="str">
        <x:v>Existing backlog folder</x:v>
      </x:c>
      <x:c r="F9" s="88" t="str">
        <x:v>Product backlog source export</x:v>
      </x:c>
      <x:c r="G9" s="88" t="str">
        <x:v>Source artefact</x:v>
      </x:c>
      <x:c r="H9" s="88" t="str">
        <x:v>Complete</x:v>
      </x:c>
      <x:c r="I9" s="89" t="str">
        <x:v>11 epics / 66 stories</x:v>
      </x:c>
    </x:row>
    <x:row r="10">
      <x:c r="A10" s="87" t="str">
        <x:v>IDX-006</x:v>
      </x:c>
      <x:c r="B10" s="88" t="str">
        <x:v>Step 26</x:v>
      </x:c>
      <x:c r="C10" s="88" t="str">
        <x:v>Digital and Data Systems Analysis</x:v>
      </x:c>
      <x:c r="D10" s="88" t="str">
        <x:v>08 Digital and Data Systems Analysis</x:v>
      </x:c>
      <x:c r="E10" s="88" t="str">
        <x:v>Existing technical-analysis folder</x:v>
      </x:c>
      <x:c r="F10" s="88" t="str">
        <x:v>System/data diagrams and evidence</x:v>
      </x:c>
      <x:c r="G10" s="88" t="str">
        <x:v>148–158</x:v>
      </x:c>
      <x:c r="H10" s="88" t="str">
        <x:v>Complete</x:v>
      </x:c>
      <x:c r="I10" s="89" t="str">
        <x:v>Logical system/data/integration analysis</x:v>
      </x:c>
    </x:row>
    <x:row r="11">
      <x:c r="A11" s="87" t="str">
        <x:v>IDX-007</x:v>
      </x:c>
      <x:c r="B11" s="88" t="str">
        <x:v>Step 27</x:v>
      </x:c>
      <x:c r="C11" s="88" t="str">
        <x:v>Responsible AI and Agent Design</x:v>
      </x:c>
      <x:c r="D11" s="88" t="str">
        <x:v>09 Responsible AI and Agent Design</x:v>
      </x:c>
      <x:c r="E11" s="88" t="str">
        <x:v>Existing AI-design folder</x:v>
      </x:c>
      <x:c r="F11" s="88" t="str">
        <x:v>Responsible AI page / diagrams</x:v>
      </x:c>
      <x:c r="G11" s="88" t="str">
        <x:v>159–167</x:v>
      </x:c>
      <x:c r="H11" s="88" t="str">
        <x:v>Complete</x:v>
      </x:c>
      <x:c r="I11" s="89" t="str">
        <x:v>AI governance and guardrails</x:v>
      </x:c>
    </x:row>
    <x:row r="12">
      <x:c r="A12" s="87" t="str">
        <x:v>IDX-008</x:v>
      </x:c>
      <x:c r="B12" s="88" t="str">
        <x:v>Step 28</x:v>
      </x:c>
      <x:c r="C12" s="88" t="str">
        <x:v>Controlled AI Prototype and Evaluation</x:v>
      </x:c>
      <x:c r="D12" s="88" t="str">
        <x:v>09 Responsible AI and Agent Design</x:v>
      </x:c>
      <x:c r="E12" s="88" t="str">
        <x:v>06-ai-prototype</x:v>
      </x:c>
      <x:c r="F12" s="88" t="str">
        <x:v>Prototype code/data/results</x:v>
      </x:c>
      <x:c r="G12" s="88" t="str">
        <x:v>168–176</x:v>
      </x:c>
      <x:c r="H12" s="88" t="str">
        <x:v>Complete</x:v>
      </x:c>
      <x:c r="I12" s="89" t="str">
        <x:v>Controlled synthetic AI evaluation</x:v>
      </x:c>
    </x:row>
    <x:row r="13">
      <x:c r="A13" s="87" t="str">
        <x:v>IDX-009</x:v>
      </x:c>
      <x:c r="B13" s="88" t="str">
        <x:v>Steps 29–31</x:v>
      </x:c>
      <x:c r="C13" s="88" t="str">
        <x:v>Testing and UAT</x:v>
      </x:c>
      <x:c r="D13" s="88" t="str">
        <x:v>13 Testing and UAT</x:v>
      </x:c>
      <x:c r="E13" s="88" t="str">
        <x:v>07-testing-uat</x:v>
      </x:c>
      <x:c r="F13" s="88" t="str">
        <x:v>Testing/UAT workbooks + Confluence</x:v>
      </x:c>
      <x:c r="G13" s="88" t="str">
        <x:v>177–188</x:v>
      </x:c>
      <x:c r="H13" s="88" t="str">
        <x:v>Complete</x:v>
      </x:c>
      <x:c r="I13" s="89" t="str">
        <x:v>Testing strategy, RTM, readiness and sign-off design</x:v>
      </x:c>
    </x:row>
    <x:row r="14">
      <x:c r="A14" s="87" t="str">
        <x:v>IDX-010</x:v>
      </x:c>
      <x:c r="B14" s="88" t="str">
        <x:v>Step 32</x:v>
      </x:c>
      <x:c r="C14" s="88" t="str">
        <x:v>Security, Privacy and Compliance Assurance</x:v>
      </x:c>
      <x:c r="D14" s="88" t="str">
        <x:v>14 Security, Privacy and Compliance</x:v>
      </x:c>
      <x:c r="E14" s="88" t="str">
        <x:v>08-security-privacy-compliance</x:v>
      </x:c>
      <x:c r="F14" s="88" t="str">
        <x:v>PayFix_AI_2_Security_Privacy_Compliance_Assurance.xlsx</x:v>
      </x:c>
      <x:c r="G14" s="88" t="str">
        <x:v>189–194</x:v>
      </x:c>
      <x:c r="H14" s="88" t="str">
        <x:v>Complete</x:v>
      </x:c>
      <x:c r="I14" s="89" t="str">
        <x:v>Assurance control design</x:v>
      </x:c>
    </x:row>
    <x:row r="15">
      <x:c r="A15" s="87" t="str">
        <x:v>IDX-011</x:v>
      </x:c>
      <x:c r="B15" s="88" t="str">
        <x:v>Step 33</x:v>
      </x:c>
      <x:c r="C15" s="88" t="str">
        <x:v>Release and Implementation Readiness</x:v>
      </x:c>
      <x:c r="D15" s="88" t="str">
        <x:v>15 Release and Implementation</x:v>
      </x:c>
      <x:c r="E15" s="88" t="str">
        <x:v>09-release-implementation</x:v>
      </x:c>
      <x:c r="F15" s="88" t="str">
        <x:v>PayFix_AI_2_Release_Implementation_Readiness.xlsx</x:v>
      </x:c>
      <x:c r="G15" s="88" t="str">
        <x:v>195–201</x:v>
      </x:c>
      <x:c r="H15" s="88" t="str">
        <x:v>Complete</x:v>
      </x:c>
      <x:c r="I15" s="89" t="str">
        <x:v>Release and go-live governance</x:v>
      </x:c>
    </x:row>
    <x:row r="16">
      <x:c r="A16" s="87" t="str">
        <x:v>IDX-012</x:v>
      </x:c>
      <x:c r="B16" s="88" t="str">
        <x:v>Step 34</x:v>
      </x:c>
      <x:c r="C16" s="88" t="str">
        <x:v>Live Service and Support Model</x:v>
      </x:c>
      <x:c r="D16" s="88" t="str">
        <x:v>16 Live Service and Support</x:v>
      </x:c>
      <x:c r="E16" s="88" t="str">
        <x:v>10-live-service-support</x:v>
      </x:c>
      <x:c r="F16" s="88" t="str">
        <x:v>PayFix_AI_2_Live_Service_Support_Model.xlsx</x:v>
      </x:c>
      <x:c r="G16" s="88" t="str">
        <x:v>202–209</x:v>
      </x:c>
      <x:c r="H16" s="88" t="str">
        <x:v>Complete</x:v>
      </x:c>
      <x:c r="I16" s="89" t="str">
        <x:v>Operating model / monitoring / support</x:v>
      </x:c>
    </x:row>
    <x:row r="17">
      <x:c r="A17" s="87" t="str">
        <x:v>IDX-013</x:v>
      </x:c>
      <x:c r="B17" s="88" t="str">
        <x:v>Step 35</x:v>
      </x:c>
      <x:c r="C17" s="88" t="str">
        <x:v>Benefits and Performance Measurement</x:v>
      </x:c>
      <x:c r="D17" s="88" t="str">
        <x:v>17 Benefits and Performance</x:v>
      </x:c>
      <x:c r="E17" s="88" t="str">
        <x:v>11-benefits-performance</x:v>
      </x:c>
      <x:c r="F17" s="88" t="str">
        <x:v>PayFix_AI_2_Benefits_Performance_Measurement.xlsx</x:v>
      </x:c>
      <x:c r="G17" s="88" t="str">
        <x:v>210–216</x:v>
      </x:c>
      <x:c r="H17" s="88" t="str">
        <x:v>Complete</x:v>
      </x:c>
      <x:c r="I17" s="89" t="str">
        <x:v>Benefits/KPI/PIR framework</x:v>
      </x:c>
    </x:row>
    <x:row r="18">
      <x:c r="A18" s="87" t="str">
        <x:v>IDX-014</x:v>
      </x:c>
      <x:c r="B18" s="88" t="str">
        <x:v>Step 36</x:v>
      </x:c>
      <x:c r="C18" s="88" t="str">
        <x:v>UK Government BA Capability Evidence</x:v>
      </x:c>
      <x:c r="D18" s="88" t="str">
        <x:v>18 UK Government Capability Evidence</x:v>
      </x:c>
      <x:c r="E18" s="88" t="str">
        <x:v>12-uk-government-capability-evidence</x:v>
      </x:c>
      <x:c r="F18" s="88" t="str">
        <x:v>PayFix_AI_2_UK_Government_BA_Capability_Evidence.xlsx</x:v>
      </x:c>
      <x:c r="G18" s="88" t="str">
        <x:v>217–222</x:v>
      </x:c>
      <x:c r="H18" s="88" t="str">
        <x:v>Complete</x:v>
      </x:c>
      <x:c r="I18" s="89" t="str">
        <x:v>Capability consolidation</x:v>
      </x:c>
    </x:row>
    <x:row r="19">
      <x:c r="A19" s="90" t="str">
        <x:v>IDX-015</x:v>
      </x:c>
      <x:c r="B19" s="91" t="str">
        <x:v>Step 37</x:v>
      </x:c>
      <x:c r="C19" s="91" t="str">
        <x:v>Final Project Closure and Executive Summary</x:v>
      </x:c>
      <x:c r="D19" s="91" t="str">
        <x:v>01 Portfolio and Project Overview</x:v>
      </x:c>
      <x:c r="E19" s="91" t="str">
        <x:v>13-project-closure</x:v>
      </x:c>
      <x:c r="F19" s="91" t="str">
        <x:v>PayFix_AI_2_Final_Project_Closure.xlsx</x:v>
      </x:c>
      <x:c r="G19" s="91" t="str">
        <x:v>223 onward</x:v>
      </x:c>
      <x:c r="H19" s="91" t="str">
        <x:v>In Progress</x:v>
      </x:c>
      <x:c r="I19" s="92" t="str">
        <x:v>Final closure, evidence index and handoff to packaging</x:v>
      </x:c>
    </x:row>
  </x:sheetData>
  <x:mergeCells>
    <x:mergeCell ref="A1:I1"/>
    <x:mergeCell ref="A2:I2"/>
  </x:mergeCells>
  <x:conditionalFormatting sqref="H5:H30">
    <x:cfRule type="expression" dxfId="4" priority="1">
      <x:formula>H5="Complete"</x:formula>
    </x:cfRule>
    <x:cfRule type="expression" dxfId="5" priority="2">
      <x:formula>H5="In Progress"</x:formula>
    </x:cfRule>
  </x:conditionalFormatting>
  <x:dataValidations count="1">
    <x:dataValidation type="list" sqref="H5:H30">
      <x:formula1>"Complete,In Progress,Not Started"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32" hidden="0" customWidth="1"/>
    <x:col min="2" max="2" width="32" hidden="0" customWidth="1"/>
    <x:col min="4" max="4" width="34" hidden="0" customWidth="1"/>
    <x:col min="5" max="5" width="16" hidden="0" customWidth="1"/>
    <x:col min="6" max="6" width="22" hidden="0" customWidth="1"/>
    <x:col min="7" max="7" width="22" hidden="0" customWidth="1"/>
    <x:col min="8" max="8" width="22" hidden="0" customWidth="1"/>
    <x:col min="10" max="10" width="20" hidden="0" customWidth="1"/>
    <x:col min="11" max="11" width="12" hidden="0" customWidth="1"/>
  </x:cols>
  <x:sheetData>
    <x:row r="1">
      <x:c r="A1" s="5" t="str">
        <x:v>PayFix AI 2.0 — Step 37 Final Closure Summary</x:v>
      </x:c>
      <x:c r="B1" s="5"/>
      <x:c r="C1" s="5"/>
      <x:c r="D1" s="5"/>
      <x:c r="E1" s="5"/>
      <x:c r="F1" s="5"/>
      <x:c r="G1" s="5"/>
      <x:c r="H1" s="5"/>
    </x:row>
    <x:row r="3">
      <x:c r="A3" s="21" t="str">
        <x:v>Project Portfolio Status</x:v>
      </x:c>
      <x:c r="B3" s="60" t="str">
        <x:v>COMPLETE</x:v>
      </x:c>
      <x:c r="D3" s="43" t="str">
        <x:v>Closure Metrics</x:v>
      </x:c>
      <x:c r="E3" s="43"/>
      <x:c r="F3" s="43"/>
      <x:c r="G3" s="43"/>
      <x:c r="H3" s="43"/>
      <x:c r="J3" s="43" t="str">
        <x:v>Lifecycle Status</x:v>
      </x:c>
      <x:c r="K3" s="43" t="str">
        <x:v>Count</x:v>
      </x:c>
    </x:row>
    <x:row r="4">
      <x:c r="J4" t="str">
        <x:v>Complete</x:v>
      </x:c>
      <x:c r="K4" t="n">
        <x:f>COUNTIF(Lifecycle_Register!E5:E40,"Complete")</x:f>
        <x:v>36</x:v>
      </x:c>
    </x:row>
    <x:row r="5">
      <x:c r="A5" s="21" t="str">
        <x:v>Lifecycle Steps Closed</x:v>
      </x:c>
      <x:c r="B5" s="60" t="str">
        <x:v>36</x:v>
      </x:c>
      <x:c r="D5" s="84" t="str">
        <x:v>Metric</x:v>
      </x:c>
      <x:c r="E5" s="86" t="str">
        <x:v>Count</x:v>
      </x:c>
      <x:c r="J5" t="str">
        <x:v>Other</x:v>
      </x:c>
      <x:c r="K5" t="n">
        <x:f>COUNTA(Lifecycle_Register!E5:E40)-K4</x:f>
        <x:v>0</x:v>
      </x:c>
    </x:row>
    <x:row r="6">
      <x:c r="D6" s="74" t="str">
        <x:v>Lifecycle steps registered</x:v>
      </x:c>
      <x:c r="E6" s="102" t="n">
        <x:f>COUNTA(Lifecycle_Register!A5:A40)</x:f>
        <x:v>36</x:v>
      </x:c>
    </x:row>
    <x:row r="7">
      <x:c r="A7" s="21" t="str">
        <x:v>Production Service</x:v>
      </x:c>
      <x:c r="B7" s="33" t="str">
        <x:v>Not Live</x:v>
      </x:c>
      <x:c r="D7" s="74" t="str">
        <x:v>Lifecycle steps complete</x:v>
      </x:c>
      <x:c r="E7" s="102" t="n">
        <x:f>COUNTIF(Lifecycle_Register!E5:E40,"Complete")</x:f>
        <x:v>36</x:v>
      </x:c>
    </x:row>
    <x:row r="8">
      <x:c r="D8" s="74" t="str">
        <x:v>Key decisions logged</x:v>
      </x:c>
      <x:c r="E8" s="102" t="n">
        <x:f>COUNTA(Key_Decisions!A5:A15)</x:f>
        <x:v>11</x:v>
      </x:c>
    </x:row>
    <x:row r="9">
      <x:c r="A9" s="21" t="str">
        <x:v>Production Approval</x:v>
      </x:c>
      <x:c r="B9" s="37" t="str">
        <x:v>Not Granted</x:v>
      </x:c>
      <x:c r="D9" s="74" t="str">
        <x:v>Open/future evidence items</x:v>
      </x:c>
      <x:c r="E9" s="102" t="n">
        <x:f>COUNTA(Limitations_Open_Items!A5:A15)</x:f>
        <x:v>11</x:v>
      </x:c>
    </x:row>
    <x:row r="10">
      <x:c r="D10" s="74" t="str">
        <x:v>Major evidence index entries</x:v>
      </x:c>
      <x:c r="E10" s="102" t="n">
        <x:f>COUNTA(Evidence_Index!A5:A19)</x:f>
        <x:v>15</x:v>
      </x:c>
    </x:row>
    <x:row r="11">
      <x:c r="A11" s="21" t="str">
        <x:v>Full-Service UAT</x:v>
      </x:c>
      <x:c r="B11" s="33" t="str">
        <x:v>Not Executed</x:v>
      </x:c>
      <x:c r="D11" s="74" t="str">
        <x:v>Evidence index entries complete</x:v>
      </x:c>
      <x:c r="E11" s="102" t="n">
        <x:f>COUNTIF(Evidence_Index!H5:H19,"Complete")</x:f>
        <x:v>14</x:v>
      </x:c>
    </x:row>
    <x:row r="12">
      <x:c r="D12" s="76" t="str">
        <x:v>Evidence index entries in progress</x:v>
      </x:c>
      <x:c r="E12" s="103" t="n">
        <x:f>COUNTIF(Evidence_Index!H5:H19,"In Progress")</x:f>
        <x:v>1</x:v>
      </x:c>
    </x:row>
    <x:row r="13">
      <x:c r="A13" s="21" t="str">
        <x:v>Benefits Realised</x:v>
      </x:c>
      <x:c r="B13" s="33" t="str">
        <x:v>0</x:v>
      </x:c>
    </x:row>
    <x:row r="14">
      <x:c r="D14" s="43" t="str">
        <x:v>Final Integrity Boundaries</x:v>
      </x:c>
      <x:c r="E14" s="43"/>
      <x:c r="F14" s="43"/>
      <x:c r="G14" s="43"/>
      <x:c r="H14" s="43"/>
    </x:row>
    <x:row r="16">
      <x:c r="D16" s="65" t="str">
        <x:v>• Synthetic data and prototype evidence remain clearly labelled.
• No fake stakeholder interviews, user interviews or quotes are claimed.
• AI remains assistive and non-authoritative; H3 is optional and separately governed.
• Step 28 prototype evaluation is not full-service UAT.
• Full-service UAT, production deployment, production security/privacy approval and live-service operation have not occurred.
• No realised production benefits are claimed.
• Requirements/source gaps remain visible rather than being invented.
• The portfolio demonstrates analysis, design, traceability, controlled prototype evidence and governance — not fictional production delivery.</x:v>
      </x:c>
      <x:c r="E16" s="65"/>
      <x:c r="F16" s="65"/>
      <x:c r="G16" s="65"/>
      <x:c r="H16" s="65"/>
    </x:row>
    <x:row r="17">
      <x:c r="D17" s="65"/>
      <x:c r="E17" s="65"/>
      <x:c r="F17" s="65"/>
      <x:c r="G17" s="65"/>
      <x:c r="H17" s="65"/>
    </x:row>
    <x:row r="18">
      <x:c r="D18" s="65"/>
      <x:c r="E18" s="65"/>
      <x:c r="F18" s="65"/>
      <x:c r="G18" s="65"/>
      <x:c r="H18" s="65"/>
    </x:row>
    <x:row r="19">
      <x:c r="D19" s="65"/>
      <x:c r="E19" s="65"/>
      <x:c r="F19" s="65"/>
      <x:c r="G19" s="65"/>
      <x:c r="H19" s="65"/>
    </x:row>
    <x:row r="20">
      <x:c r="D20" s="65"/>
      <x:c r="E20" s="65"/>
      <x:c r="F20" s="65"/>
      <x:c r="G20" s="65"/>
      <x:c r="H20" s="65"/>
    </x:row>
    <x:row r="21">
      <x:c r="D21" s="65"/>
      <x:c r="E21" s="65"/>
      <x:c r="F21" s="65"/>
      <x:c r="G21" s="65"/>
      <x:c r="H21" s="65"/>
    </x:row>
    <x:row r="22">
      <x:c r="D22" s="65"/>
      <x:c r="E22" s="65"/>
      <x:c r="F22" s="65"/>
      <x:c r="G22" s="65"/>
      <x:c r="H22" s="65"/>
    </x:row>
    <x:row r="23">
      <x:c r="D23" s="65"/>
      <x:c r="E23" s="65"/>
      <x:c r="F23" s="65"/>
      <x:c r="G23" s="65"/>
      <x:c r="H23" s="65"/>
    </x:row>
    <x:row r="25">
      <x:c r="D25" s="43" t="str">
        <x:v>Step 37 Conclusion</x:v>
      </x:c>
      <x:c r="E25" s="43"/>
      <x:c r="F25" s="43"/>
      <x:c r="G25" s="43"/>
      <x:c r="H25" s="43"/>
    </x:row>
    <x:row r="27">
      <x:c r="D27" s="69" t="str">
        <x:v>PayFix AI 2.0 is closed as a completed Technical Business Analyst portfolio project. The project contains a traceable lifecycle from problem/context analysis through business and user analysis, process redesign, requirements, backlog, digital/data systems analysis, Responsible AI, prototype evaluation, testing governance, assurance, release planning, live-service design, benefits measurement and capability consolidation. Remaining open items are implementation or real-world evidence that cannot honestly be produced within a portfolio-only environment. The next work is packaging the completed artefacts for GitHub and career use rather than adding further BA lifecycle scope.</x:v>
      </x:c>
      <x:c r="E27" s="69"/>
      <x:c r="F27" s="69"/>
      <x:c r="G27" s="69"/>
      <x:c r="H27" s="69"/>
    </x:row>
    <x:row r="28">
      <x:c r="D28" s="69"/>
      <x:c r="E28" s="69"/>
      <x:c r="F28" s="69"/>
      <x:c r="G28" s="69"/>
      <x:c r="H28" s="69"/>
    </x:row>
    <x:row r="29">
      <x:c r="D29" s="69"/>
      <x:c r="E29" s="69"/>
      <x:c r="F29" s="69"/>
      <x:c r="G29" s="69"/>
      <x:c r="H29" s="69"/>
    </x:row>
    <x:row r="30">
      <x:c r="D30" s="69"/>
      <x:c r="E30" s="69"/>
      <x:c r="F30" s="69"/>
      <x:c r="G30" s="69"/>
      <x:c r="H30" s="69"/>
    </x:row>
    <x:row r="31">
      <x:c r="D31" s="69"/>
      <x:c r="E31" s="69"/>
      <x:c r="F31" s="69"/>
      <x:c r="G31" s="69"/>
      <x:c r="H31" s="69"/>
    </x:row>
    <x:row r="32">
      <x:c r="D32" s="69"/>
      <x:c r="E32" s="69"/>
      <x:c r="F32" s="69"/>
      <x:c r="G32" s="69"/>
      <x:c r="H32" s="69"/>
    </x:row>
    <x:row r="33">
      <x:c r="D33" s="69"/>
      <x:c r="E33" s="69"/>
      <x:c r="F33" s="69"/>
      <x:c r="G33" s="69"/>
      <x:c r="H33" s="69"/>
    </x:row>
  </x:sheetData>
  <x:mergeCells>
    <x:mergeCell ref="A1:H1"/>
    <x:mergeCell ref="D3:H3"/>
    <x:mergeCell ref="D14:H14"/>
    <x:mergeCell ref="D16:H23"/>
    <x:mergeCell ref="D25:H25"/>
    <x:mergeCell ref="D27:H33"/>
  </x:mergeCells>
  <x:pageMargins left="0.7" right="0.7" top="0.75" bottom="0.75" header="0.3" footer="0.3"/>
  <x:drawing xmlns:r="http://schemas.openxmlformats.org/officeDocument/2006/relationships" r:id="Re81dc5cea9de4450"/>
</x:worksheet>
</file>