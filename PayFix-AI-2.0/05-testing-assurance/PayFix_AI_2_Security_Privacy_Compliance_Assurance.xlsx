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6575bef4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rance_Register" sheetId="1" r:id="R725424b3ef524fbd"/>
    <x:sheet xmlns:r="http://schemas.openxmlformats.org/officeDocument/2006/relationships" name="Privacy_Principles" sheetId="2" r:id="Rc24ff9d80d984e82"/>
    <x:sheet xmlns:r="http://schemas.openxmlformats.org/officeDocument/2006/relationships" name="Data_Classification" sheetId="3" r:id="Rd93425c6d10840d5"/>
    <x:sheet xmlns:r="http://schemas.openxmlformats.org/officeDocument/2006/relationships" name="Access_Control_Matrix" sheetId="4" r:id="Ra39b1fce93804bb4"/>
    <x:sheet xmlns:r="http://schemas.openxmlformats.org/officeDocument/2006/relationships" name="Retention_Deletion" sheetId="5" r:id="R9d55fd2bf8204747"/>
    <x:sheet xmlns:r="http://schemas.openxmlformats.org/officeDocument/2006/relationships" name="AI_Privacy_Security" sheetId="6" r:id="R68f11c63e74941dc"/>
    <x:sheet xmlns:r="http://schemas.openxmlformats.org/officeDocument/2006/relationships" name="Assurance_Summary" sheetId="7" r:id="R2de4c7fb89c9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/>
    </x:xf>
    <x:xf numFmtId="0" fontId="6" fillId="6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horizontal="center"/>
    </x:xf>
  </x:cellXfs>
  <x:cellStyles count="1">
    <x:cellStyle name="Normal" xfId="0"/>
  </x:cellStyles>
  <x:dxfs count="14"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739e14a9c4b1f" /><Relationship Type="http://schemas.openxmlformats.org/officeDocument/2006/relationships/theme" Target="/xl/theme/theme1.xml" Id="R5f74c9c53a0345fd" /><Relationship Type="http://schemas.openxmlformats.org/officeDocument/2006/relationships/sharedStrings" Target="/xl/sharedStrings.xml" Id="R3d0622baa9e54ffb" /><Relationship Type="http://schemas.openxmlformats.org/officeDocument/2006/relationships/worksheet" Target="/xl/worksheets/sheet1.xml" Id="R725424b3ef524fbd" /><Relationship Type="http://schemas.openxmlformats.org/officeDocument/2006/relationships/worksheet" Target="/xl/worksheets/sheet2.xml" Id="Rc24ff9d80d984e82" /><Relationship Type="http://schemas.openxmlformats.org/officeDocument/2006/relationships/worksheet" Target="/xl/worksheets/sheet3.xml" Id="Rd93425c6d10840d5" /><Relationship Type="http://schemas.openxmlformats.org/officeDocument/2006/relationships/worksheet" Target="/xl/worksheets/sheet4.xml" Id="Ra39b1fce93804bb4" /><Relationship Type="http://schemas.openxmlformats.org/officeDocument/2006/relationships/worksheet" Target="/xl/worksheets/sheet5.xml" Id="R9d55fd2bf8204747" /><Relationship Type="http://schemas.openxmlformats.org/officeDocument/2006/relationships/worksheet" Target="/xl/worksheets/sheet6.xml" Id="R68f11c63e74941dc" /><Relationship Type="http://schemas.openxmlformats.org/officeDocument/2006/relationships/worksheet" Target="/xl/worksheets/sheet7.xml" Id="R2de4c7fb89c944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39faa8cda84b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Assurance Control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'Assurance_Summary'!$A$8:$A$12</c:f>
              <c:strCache>
                <c:ptCount val="0"/>
              </c:strCache>
            </c:strRef>
          </c:cat>
          <c:val>
            <c:numRef>
              <c:f>'Assurance_Summary'!$B$8:$B$12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9faa8cda84b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1028f4ff15f484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34" hidden="0" customWidth="1"/>
    <x:col min="4" max="4" width="46" hidden="0" customWidth="1"/>
    <x:col min="5" max="5" width="24" hidden="0" customWidth="1"/>
    <x:col min="6" max="6" width="44" hidden="0" customWidth="1"/>
    <x:col min="7" max="7" width="28" hidden="0" customWidth="1"/>
    <x:col min="8" max="8" width="34" hidden="0" customWidth="1"/>
    <x:col min="9" max="9" width="42" hidden="0" customWidth="1"/>
    <x:col min="10" max="10" width="38" hidden="0" customWidth="1"/>
  </x:cols>
  <x:sheetData>
    <x:row r="1" ht="30" customHeight="1">
      <x:c r="A1" s="5" t="str">
        <x:v>PayFix AI 2.0 — Security, Privacy and Compliance Assurance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Portfolio position: current prototype/testing evidence uses synthetic data only. This register defines target production assurance controls and evidence gates; it does not claim production compliance or certification.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6" customHeight="1">
      <x:c r="A4" s="74" t="str">
        <x:v>Control ID</x:v>
      </x:c>
      <x:c r="B4" s="75" t="str">
        <x:v>Domain</x:v>
      </x:c>
      <x:c r="C4" s="75" t="str">
        <x:v>Assurance Objective</x:v>
      </x:c>
      <x:c r="D4" s="75" t="str">
        <x:v>Planned Control / Design</x:v>
      </x:c>
      <x:c r="E4" s="75" t="str">
        <x:v>Current Portfolio Status</x:v>
      </x:c>
      <x:c r="F4" s="75" t="str">
        <x:v>Required Evidence Before Production</x:v>
      </x:c>
      <x:c r="G4" s="75" t="str">
        <x:v>Owner / Reviewer</x:v>
      </x:c>
      <x:c r="H4" s="75" t="str">
        <x:v>Related PayFix Evidence</x:v>
      </x:c>
      <x:c r="I4" s="75" t="str">
        <x:v>Source / Reference</x:v>
      </x:c>
      <x:c r="J4" s="76" t="str">
        <x:v>Notes</x:v>
      </x:c>
    </x:row>
    <x:row r="5">
      <x:c r="A5" s="77" t="str">
        <x:v>SEC-001</x:v>
      </x:c>
      <x:c r="B5" s="78" t="str">
        <x:v>Access Control</x:v>
      </x:c>
      <x:c r="C5" s="78" t="str">
        <x:v>Restrict access to legitimate business need</x:v>
      </x:c>
      <x:c r="D5" s="78" t="str">
        <x:v>Role-based access aligned to case, specialist, approval, complaint, fraud, finance and admin responsibilities.</x:v>
      </x:c>
      <x:c r="E5" s="78" t="str">
        <x:v>Design Defined</x:v>
      </x:c>
      <x:c r="F5" s="78" t="str">
        <x:v>Implemented RBAC configuration, access tests and access review evidence.</x:v>
      </x:c>
      <x:c r="G5" s="78" t="str">
        <x:v>Security / Product / Engineering</x:v>
      </x:c>
      <x:c r="H5" s="78" t="str">
        <x:v>Step 26 Access &amp; Authority model</x:v>
      </x:c>
      <x:c r="I5" s="78" t="str">
        <x:v>https://www.ncsc.gov.uk/collection/developers-collection/principles/secure-your-development-environment</x:v>
      </x:c>
      <x:c r="J5" s="79" t="str">
        <x:v>Least privilege to be technically enforced.</x:v>
      </x:c>
    </x:row>
    <x:row r="6">
      <x:c r="A6" s="77" t="str">
        <x:v>SEC-002</x:v>
      </x:c>
      <x:c r="B6" s="78" t="str">
        <x:v>Authentication</x:v>
      </x:c>
      <x:c r="C6" s="78" t="str">
        <x:v>Protect privileged access</x:v>
      </x:c>
      <x:c r="D6" s="78" t="str">
        <x:v>Require strong authentication and MFA for privileged/admin access in production.</x:v>
      </x:c>
      <x:c r="E6" s="78" t="str">
        <x:v>Requires Implementation Evidence</x:v>
      </x:c>
      <x:c r="F6" s="78" t="str">
        <x:v>Identity provider configuration and MFA test evidence.</x:v>
      </x:c>
      <x:c r="G6" s="78" t="str">
        <x:v>Security / Engineering</x:v>
      </x:c>
      <x:c r="H6" s="78" t="str">
        <x:v>Step 26 authority design</x:v>
      </x:c>
      <x:c r="I6" s="78" t="str">
        <x:v>https://www.ncsc.gov.uk/collection/developers-collection/principles/secure-your-development-environment</x:v>
      </x:c>
      <x:c r="J6" s="79" t="str">
        <x:v>Prototype does not evidence production identity controls.</x:v>
      </x:c>
    </x:row>
    <x:row r="7">
      <x:c r="A7" s="77" t="str">
        <x:v>SEC-003</x:v>
      </x:c>
      <x:c r="B7" s="78" t="str">
        <x:v>Segregation of Duties</x:v>
      </x:c>
      <x:c r="C7" s="78" t="str">
        <x:v>Prevent one actor from controlling incompatible activities</x:v>
      </x:c>
      <x:c r="D7" s="78" t="str">
        <x:v>Separate case handling, approval, privileged administration and audit responsibilities where appropriate.</x:v>
      </x:c>
      <x:c r="E7" s="78" t="str">
        <x:v>Design Defined</x:v>
      </x:c>
      <x:c r="F7" s="78" t="str">
        <x:v>Role mapping, access test and exception process.</x:v>
      </x:c>
      <x:c r="G7" s="78" t="str">
        <x:v>Product / Security</x:v>
      </x:c>
      <x:c r="H7" s="78" t="str">
        <x:v>Step 26 + Step 27 HITL controls</x:v>
      </x:c>
      <x:c r="I7" s="78" t="str">
        <x:v>https://www.ncsc.gov.uk/information/secure-default</x:v>
      </x:c>
      <x:c r="J7" s="79" t="str">
        <x:v>Customer-impacting authority remains human controlled.</x:v>
      </x:c>
    </x:row>
    <x:row r="8">
      <x:c r="A8" s="77" t="str">
        <x:v>SEC-004</x:v>
      </x:c>
      <x:c r="B8" s="78" t="str">
        <x:v>Secrets Management</x:v>
      </x:c>
      <x:c r="C8" s="78" t="str">
        <x:v>Keep credentials and keys out of source code</x:v>
      </x:c>
      <x:c r="D8" s="78" t="str">
        <x:v>Use managed secrets; prohibit hard-coded API keys/passwords in source and documentation.</x:v>
      </x:c>
      <x:c r="E8" s="78" t="str">
        <x:v>Design Defined</x:v>
      </x:c>
      <x:c r="F8" s="78" t="str">
        <x:v>Secrets scanning/configuration evidence and key-rotation process.</x:v>
      </x:c>
      <x:c r="G8" s="78" t="str">
        <x:v>Engineering / Security</x:v>
      </x:c>
      <x:c r="H8" s="78" t="str">
        <x:v>Step 28 local prototype lessons</x:v>
      </x:c>
      <x:c r="I8" s="78" t="str">
        <x:v>https://www.ncsc.gov.uk/collection/developers-collection/principles/secure-your-development-environment</x:v>
      </x:c>
      <x:c r="J8" s="79" t="str">
        <x:v>Prototype keys must never be committed to GitHub.</x:v>
      </x:c>
    </x:row>
    <x:row r="9">
      <x:c r="A9" s="77" t="str">
        <x:v>SEC-005</x:v>
      </x:c>
      <x:c r="B9" s="78" t="str">
        <x:v>Encryption</x:v>
      </x:c>
      <x:c r="C9" s="78" t="str">
        <x:v>Protect data in transit</x:v>
      </x:c>
      <x:c r="D9" s="78" t="str">
        <x:v>Use approved transport encryption for service-to-service and user communications.</x:v>
      </x:c>
      <x:c r="E9" s="78" t="str">
        <x:v>Requires Implementation Evidence</x:v>
      </x:c>
      <x:c r="F9" s="78" t="str">
        <x:v>TLS configuration and security test evidence.</x:v>
      </x:c>
      <x:c r="G9" s="78" t="str">
        <x:v>Engineering / Security</x:v>
      </x:c>
      <x:c r="H9" s="78" t="str">
        <x:v>Step 26 integration design</x:v>
      </x:c>
      <x:c r="I9" s="78" t="str">
        <x:v>https://www.ncsc.gov.uk/collection/guidelines-secure-ai-system-development/introduction</x:v>
      </x:c>
      <x:c r="J9" s="79" t="str">
        <x:v>Production implementation evidence required.</x:v>
      </x:c>
    </x:row>
    <x:row r="10">
      <x:c r="A10" s="77" t="str">
        <x:v>SEC-006</x:v>
      </x:c>
      <x:c r="B10" s="78" t="str">
        <x:v>Encryption</x:v>
      </x:c>
      <x:c r="C10" s="78" t="str">
        <x:v>Protect stored sensitive information</x:v>
      </x:c>
      <x:c r="D10" s="78" t="str">
        <x:v>Use appropriate encryption at rest for production data stores and backups.</x:v>
      </x:c>
      <x:c r="E10" s="78" t="str">
        <x:v>Requires Implementation Evidence</x:v>
      </x:c>
      <x:c r="F10" s="78" t="str">
        <x:v>Storage configuration and key-management evidence.</x:v>
      </x:c>
      <x:c r="G10" s="78" t="str">
        <x:v>Engineering / Security</x:v>
      </x:c>
      <x:c r="H10" s="78" t="str">
        <x:v>Step 26 architecture design</x:v>
      </x:c>
      <x:c r="I10" s="78" t="str">
        <x:v>https://www.ncsc.gov.uk/collection/guidelines-secure-ai-system-development/introduction</x:v>
      </x:c>
      <x:c r="J10" s="79" t="str">
        <x:v>No production data store currently exists.</x:v>
      </x:c>
    </x:row>
    <x:row r="11">
      <x:c r="A11" s="77" t="str">
        <x:v>SEC-007</x:v>
      </x:c>
      <x:c r="B11" s="78" t="str">
        <x:v>Audit Logging</x:v>
      </x:c>
      <x:c r="C11" s="78" t="str">
        <x:v>Create attributable security and business audit trail</x:v>
      </x:c>
      <x:c r="D11" s="78" t="str">
        <x:v>Log privileged actions, authority changes, decisions, approvals and key security events.</x:v>
      </x:c>
      <x:c r="E11" s="78" t="str">
        <x:v>Design Defined</x:v>
      </x:c>
      <x:c r="F11" s="78" t="str">
        <x:v>Implemented event logging, sample logs and monitoring evidence.</x:v>
      </x:c>
      <x:c r="G11" s="78" t="str">
        <x:v>Security / Operations</x:v>
      </x:c>
      <x:c r="H11" s="78" t="str">
        <x:v>Step 26 audit/authority design</x:v>
      </x:c>
      <x:c r="I11" s="78" t="str">
        <x:v>https://www.ncsc.gov.uk/collection/technology-assurance/principles-product-design-and-functionality/6-security-events-should-be-logged-and-monitored</x:v>
      </x:c>
      <x:c r="J11" s="79" t="str">
        <x:v>Logs must support investigation without exposing unnecessary content.</x:v>
      </x:c>
    </x:row>
    <x:row r="12">
      <x:c r="A12" s="77" t="str">
        <x:v>SEC-008</x:v>
      </x:c>
      <x:c r="B12" s="78" t="str">
        <x:v>Log Protection</x:v>
      </x:c>
      <x:c r="C12" s="78" t="str">
        <x:v>Preserve integrity of audit evidence</x:v>
      </x:c>
      <x:c r="D12" s="78" t="str">
        <x:v>Restrict access to logs and protect against unauthorised modification/deletion.</x:v>
      </x:c>
      <x:c r="E12" s="78" t="str">
        <x:v>Requires Implementation Evidence</x:v>
      </x:c>
      <x:c r="F12" s="78" t="str">
        <x:v>Log access configuration and tamper-protection evidence.</x:v>
      </x:c>
      <x:c r="G12" s="78" t="str">
        <x:v>Security / Operations</x:v>
      </x:c>
      <x:c r="H12" s="78" t="str">
        <x:v>Step 26 resilience design</x:v>
      </x:c>
      <x:c r="I12" s="78" t="str">
        <x:v>https://www.ncsc.gov.uk/collection/technology-assurance/principles-product-design-and-functionality/6-security-events-should-be-logged-and-monitored</x:v>
      </x:c>
      <x:c r="J12" s="79" t="str">
        <x:v>Audit logs are sensitive operational evidence.</x:v>
      </x:c>
    </x:row>
    <x:row r="13">
      <x:c r="A13" s="77" t="str">
        <x:v>SEC-009</x:v>
      </x:c>
      <x:c r="B13" s="78" t="str">
        <x:v>Vulnerability Management</x:v>
      </x:c>
      <x:c r="C13" s="78" t="str">
        <x:v>Identify and remediate vulnerabilities</x:v>
      </x:c>
      <x:c r="D13" s="78" t="str">
        <x:v>Use dependency scanning, patching and vulnerability triage before release.</x:v>
      </x:c>
      <x:c r="E13" s="78" t="str">
        <x:v>Requires Implementation Evidence</x:v>
      </x:c>
      <x:c r="F13" s="78" t="str">
        <x:v>Scan reports, remediation records and patching process.</x:v>
      </x:c>
      <x:c r="G13" s="78" t="str">
        <x:v>Engineering / Security</x:v>
      </x:c>
      <x:c r="H13" s="78" t="str">
        <x:v>Future delivery assurance</x:v>
      </x:c>
      <x:c r="I13" s="78" t="str">
        <x:v>https://www.ncsc.gov.uk/information/secure-default</x:v>
      </x:c>
      <x:c r="J13" s="79" t="str">
        <x:v>No production release claim.</x:v>
      </x:c>
    </x:row>
    <x:row r="14">
      <x:c r="A14" s="77" t="str">
        <x:v>SEC-010</x:v>
      </x:c>
      <x:c r="B14" s="78" t="str">
        <x:v>Secure Development</x:v>
      </x:c>
      <x:c r="C14" s="78" t="str">
        <x:v>Reduce introduction of insecure changes</x:v>
      </x:c>
      <x:c r="D14" s="78" t="str">
        <x:v>Use version control, review, testing and controlled merge/deployment practices.</x:v>
      </x:c>
      <x:c r="E14" s="78" t="str">
        <x:v>Design Defined</x:v>
      </x:c>
      <x:c r="F14" s="78" t="str">
        <x:v>Repository protections, review evidence and CI security checks.</x:v>
      </x:c>
      <x:c r="G14" s="78" t="str">
        <x:v>Engineering</x:v>
      </x:c>
      <x:c r="H14" s="78" t="str">
        <x:v>Final GitHub packaging later</x:v>
      </x:c>
      <x:c r="I14" s="78" t="str">
        <x:v>https://www.ncsc.gov.uk/information/secure-default</x:v>
      </x:c>
      <x:c r="J14" s="79" t="str">
        <x:v>GitHub publication must exclude secrets and sensitive artefacts.</x:v>
      </x:c>
    </x:row>
    <x:row r="15">
      <x:c r="A15" s="77" t="str">
        <x:v>SEC-011</x:v>
      </x:c>
      <x:c r="B15" s="78" t="str">
        <x:v>Backup &amp; Recovery</x:v>
      </x:c>
      <x:c r="C15" s="78" t="str">
        <x:v>Recover from loss/corruption</x:v>
      </x:c>
      <x:c r="D15" s="78" t="str">
        <x:v>Define backup, restore and recovery testing for authoritative production data.</x:v>
      </x:c>
      <x:c r="E15" s="78" t="str">
        <x:v>Requires Governance Decision</x:v>
      </x:c>
      <x:c r="F15" s="78" t="str">
        <x:v>Recovery objectives, backup schedule and successful restore test.</x:v>
      </x:c>
      <x:c r="G15" s="78" t="str">
        <x:v>Operations / Engineering</x:v>
      </x:c>
      <x:c r="H15" s="78" t="str">
        <x:v>Step 26 resilience design</x:v>
      </x:c>
      <x:c r="I15" s="78" t="str">
        <x:v>https://www.ncsc.gov.uk/collection/developers-collection/principles/secure-your-development-environment</x:v>
      </x:c>
      <x:c r="J15" s="79" t="str">
        <x:v>Exact RTO/RPO not invented in portfolio.</x:v>
      </x:c>
    </x:row>
    <x:row r="16">
      <x:c r="A16" s="77" t="str">
        <x:v>SEC-012</x:v>
      </x:c>
      <x:c r="B16" s="78" t="str">
        <x:v>Incident Response</x:v>
      </x:c>
      <x:c r="C16" s="78" t="str">
        <x:v>Respond to security/privacy incidents</x:v>
      </x:c>
      <x:c r="D16" s="78" t="str">
        <x:v>Define detection, escalation, containment, evidence preservation and notification workflow.</x:v>
      </x:c>
      <x:c r="E16" s="78" t="str">
        <x:v>Requires Governance Decision</x:v>
      </x:c>
      <x:c r="F16" s="78" t="str">
        <x:v>Approved incident plan, roles and exercise evidence.</x:v>
      </x:c>
      <x:c r="G16" s="78" t="str">
        <x:v>Security / Privacy / Operations</x:v>
      </x:c>
      <x:c r="H16" s="78" t="str">
        <x:v>Future live-service design</x:v>
      </x:c>
      <x:c r="I16" s="78" t="str">
        <x:v>https://www.ncsc.gov.uk/collection/guidelines-secure-ai-system-development/introduction</x:v>
      </x:c>
      <x:c r="J16" s="79" t="str">
        <x:v>Regulatory notification decisions require authorised privacy/legal review.</x:v>
      </x:c>
    </x:row>
    <x:row r="17">
      <x:c r="A17" s="77" t="str">
        <x:v>SEC-013</x:v>
      </x:c>
      <x:c r="B17" s="78" t="str">
        <x:v>Environment Separation</x:v>
      </x:c>
      <x:c r="C17" s="78" t="str">
        <x:v>Reduce cross-environment risk</x:v>
      </x:c>
      <x:c r="D17" s="78" t="str">
        <x:v>Separate development/test/production access and data; avoid production operations from development environment.</x:v>
      </x:c>
      <x:c r="E17" s="78" t="str">
        <x:v>Design Defined</x:v>
      </x:c>
      <x:c r="F17" s="78" t="str">
        <x:v>Environment architecture and access controls.</x:v>
      </x:c>
      <x:c r="G17" s="78" t="str">
        <x:v>Engineering / Security</x:v>
      </x:c>
      <x:c r="H17" s="78" t="str">
        <x:v>Step 28 local prototype separated from production</x:v>
      </x:c>
      <x:c r="I17" s="78" t="str">
        <x:v>https://www.ncsc.gov.uk/collection/developers-collection/principles/secure-your-development-environment</x:v>
      </x:c>
      <x:c r="J17" s="79" t="str">
        <x:v>Synthetic data only in portfolio environment.</x:v>
      </x:c>
    </x:row>
    <x:row r="18">
      <x:c r="A18" s="77" t="str">
        <x:v>SEC-014</x:v>
      </x:c>
      <x:c r="B18" s="78" t="str">
        <x:v>Change Control</x:v>
      </x:c>
      <x:c r="C18" s="78" t="str">
        <x:v>Maintain controlled production changes</x:v>
      </x:c>
      <x:c r="D18" s="78" t="str">
        <x:v>Require authorised, attributable and reviewable changes with rollback capability.</x:v>
      </x:c>
      <x:c r="E18" s="78" t="str">
        <x:v>Design Defined</x:v>
      </x:c>
      <x:c r="F18" s="78" t="str">
        <x:v>Release/change records and rollback test evidence.</x:v>
      </x:c>
      <x:c r="G18" s="78" t="str">
        <x:v>Engineering / Release</x:v>
      </x:c>
      <x:c r="H18" s="78" t="str">
        <x:v>Future Step 33 release planning</x:v>
      </x:c>
      <x:c r="I18" s="78" t="str">
        <x:v>https://www.ncsc.gov.uk/information/secure-default</x:v>
      </x:c>
      <x:c r="J18" s="79" t="str">
        <x:v>Production deployment not performed.</x:v>
      </x:c>
    </x:row>
    <x:row r="19">
      <x:c r="A19" s="77" t="str">
        <x:v>SEC-015</x:v>
      </x:c>
      <x:c r="B19" s="78" t="str">
        <x:v>Supplier / Provider Assurance</x:v>
      </x:c>
      <x:c r="C19" s="78" t="str">
        <x:v>Assess third-party security and privacy risk</x:v>
      </x:c>
      <x:c r="D19" s="78" t="str">
        <x:v>Review hosting, identity, messaging and AI/model providers before production use.</x:v>
      </x:c>
      <x:c r="E19" s="78" t="str">
        <x:v>Requires Governance Decision</x:v>
      </x:c>
      <x:c r="F19" s="78" t="str">
        <x:v>Supplier due diligence, contracts, processor terms and security evidence.</x:v>
      </x:c>
      <x:c r="G19" s="78" t="str">
        <x:v>Procurement / Security / Privacy</x:v>
      </x:c>
      <x:c r="H19" s="78" t="str">
        <x:v>Step 26 integrations + Step 27 AI governance</x:v>
      </x:c>
      <x:c r="I19" s="78" t="str">
        <x:v>https://ico.org.uk/for-organisations/uk-gdpr-guidance-and-resources/artificial-intelligence/guidance-on-ai-and-data-protection/ai-and-data-protection-risk-toolkit/</x:v>
      </x:c>
      <x:c r="J19" s="79" t="str">
        <x:v>No production AI/model provider selected.</x:v>
      </x:c>
    </x:row>
    <x:row r="20">
      <x:c r="A20" s="77" t="str">
        <x:v>SEC-016</x:v>
      </x:c>
      <x:c r="B20" s="78" t="str">
        <x:v>Data Minimisation</x:v>
      </x:c>
      <x:c r="C20" s="78" t="str">
        <x:v>Limit personal data to what is necessary</x:v>
      </x:c>
      <x:c r="D20" s="78" t="str">
        <x:v>Collect and expose only data needed for the dispute-handling purpose and role.</x:v>
      </x:c>
      <x:c r="E20" s="78" t="str">
        <x:v>Design Defined</x:v>
      </x:c>
      <x:c r="F20" s="78" t="str">
        <x:v>Data inventory, field justification and access-view evidence.</x:v>
      </x:c>
      <x:c r="G20" s="78" t="str">
        <x:v>Privacy / Product</x:v>
      </x:c>
      <x:c r="H20" s="78" t="str">
        <x:v>Step 26 logical data model</x:v>
      </x:c>
      <x:c r="I20" s="78" t="str">
        <x:v>https://ico.org.uk/for-organisations/uk-gdpr-guidance-and-resources/data-protection-principles/a-guide-to-the-data-protection-principles/</x:v>
      </x:c>
      <x:c r="J20" s="79" t="str">
        <x:v>Current prototype uses synthetic data.</x:v>
      </x:c>
    </x:row>
    <x:row r="21">
      <x:c r="A21" s="77" t="str">
        <x:v>SEC-017</x:v>
      </x:c>
      <x:c r="B21" s="78" t="str">
        <x:v>Purpose Limitation</x:v>
      </x:c>
      <x:c r="C21" s="78" t="str">
        <x:v>Use information only for defined purposes</x:v>
      </x:c>
      <x:c r="D21" s="78" t="str">
        <x:v>Document permitted purposes for dispute handling, evidence review, complaint linkage, fraud referral and controlled AI assistance.</x:v>
      </x:c>
      <x:c r="E21" s="78" t="str">
        <x:v>Requires Governance Decision</x:v>
      </x:c>
      <x:c r="F21" s="78" t="str">
        <x:v>Record of processing purposes and approved reuse rules.</x:v>
      </x:c>
      <x:c r="G21" s="78" t="str">
        <x:v>Privacy / Product / Legal</x:v>
      </x:c>
      <x:c r="H21" s="78" t="str">
        <x:v>Step 24 requirements + Step 27 AI scope</x:v>
      </x:c>
      <x:c r="I21" s="78" t="str">
        <x:v>https://ico.org.uk/for-organisations/uk-gdpr-guidance-and-resources/data-protection-principles/a-guide-to-the-data-protection-principles/</x:v>
      </x:c>
      <x:c r="J21" s="79" t="str">
        <x:v>Future secondary use must be separately assessed.</x:v>
      </x:c>
    </x:row>
    <x:row r="22">
      <x:c r="A22" s="77" t="str">
        <x:v>SEC-018</x:v>
      </x:c>
      <x:c r="B22" s="78" t="str">
        <x:v>Accuracy</x:v>
      </x:c>
      <x:c r="C22" s="78" t="str">
        <x:v>Keep authoritative case information accurate</x:v>
      </x:c>
      <x:c r="D22" s="78" t="str">
        <x:v>Support correction, provenance and human verification of material case information.</x:v>
      </x:c>
      <x:c r="E22" s="78" t="str">
        <x:v>Design Defined</x:v>
      </x:c>
      <x:c r="F22" s="78" t="str">
        <x:v>Correction workflow and audit evidence.</x:v>
      </x:c>
      <x:c r="G22" s="78" t="str">
        <x:v>Product / Operations</x:v>
      </x:c>
      <x:c r="H22" s="78" t="str">
        <x:v>Step 26 data authority + Step 27 human review</x:v>
      </x:c>
      <x:c r="I22" s="78" t="str">
        <x:v>https://ico.org.uk/for-organisations/uk-gdpr-guidance-and-resources/data-protection-principles/a-guide-to-the-data-protection-principles/</x:v>
      </x:c>
      <x:c r="J22" s="79" t="str">
        <x:v>AI output is not authoritative state.</x:v>
      </x:c>
    </x:row>
    <x:row r="23">
      <x:c r="A23" s="77" t="str">
        <x:v>SEC-019</x:v>
      </x:c>
      <x:c r="B23" s="78" t="str">
        <x:v>Storage Limitation</x:v>
      </x:c>
      <x:c r="C23" s="78" t="str">
        <x:v>Avoid keeping personal data longer than necessary</x:v>
      </x:c>
      <x:c r="D23" s="78" t="str">
        <x:v>Define record-specific retention and deletion/anonymisation rules before production.</x:v>
      </x:c>
      <x:c r="E23" s="78" t="str">
        <x:v>Requires Governance Decision</x:v>
      </x:c>
      <x:c r="F23" s="78" t="str">
        <x:v>Approved retention schedule and deletion test evidence.</x:v>
      </x:c>
      <x:c r="G23" s="78" t="str">
        <x:v>Privacy / Records / Legal</x:v>
      </x:c>
      <x:c r="H23" s="78" t="str">
        <x:v>Retention_Deletion sheet</x:v>
      </x:c>
      <x:c r="I23" s="78" t="str">
        <x:v>https://ico.org.uk/for-organisations/uk-gdpr-guidance-and-resources/data-protection-principles/a-guide-to-the-data-protection-principles/</x:v>
      </x:c>
      <x:c r="J23" s="79" t="str">
        <x:v>No arbitrary retention periods are invented.</x:v>
      </x:c>
    </x:row>
    <x:row r="24">
      <x:c r="A24" s="77" t="str">
        <x:v>SEC-020</x:v>
      </x:c>
      <x:c r="B24" s="78" t="str">
        <x:v>Individual Rights &amp; Records</x:v>
      </x:c>
      <x:c r="C24" s="78" t="str">
        <x:v>Support data-rights handling where applicable</x:v>
      </x:c>
      <x:c r="D24" s="78" t="str">
        <x:v>Ensure records, provenance and ownership support authorised handling of data-subject requests.</x:v>
      </x:c>
      <x:c r="E24" s="78" t="str">
        <x:v>Requires Governance Decision</x:v>
      </x:c>
      <x:c r="F24" s="78" t="str">
        <x:v>Rights-handling procedure and system capability evidence.</x:v>
      </x:c>
      <x:c r="G24" s="78" t="str">
        <x:v>Privacy / Operations</x:v>
      </x:c>
      <x:c r="H24" s="78" t="str">
        <x:v>Step 26 data model and audit design</x:v>
      </x:c>
      <x:c r="I24" s="78" t="str">
        <x:v>https://ico.org.uk/for-organisations/uk-gdpr-guidance-and-resources/data-protection-principles/a-guide-to-the-data-protection-principles/</x:v>
      </x:c>
      <x:c r="J24" s="79" t="str">
        <x:v>Exact controller process must be organisation-specific.</x:v>
      </x:c>
    </x:row>
    <x:row r="25">
      <x:c r="A25" s="77" t="str">
        <x:v>SEC-021</x:v>
      </x:c>
      <x:c r="B25" s="78" t="str">
        <x:v>Lawful Basis &amp; Transparency</x:v>
      </x:c>
      <x:c r="C25" s="78" t="str">
        <x:v>Establish lawful processing and transparent information</x:v>
      </x:c>
      <x:c r="D25" s="78" t="str">
        <x:v>Controller must determine lawful basis, privacy information and role responsibilities before production processing.</x:v>
      </x:c>
      <x:c r="E25" s="78" t="str">
        <x:v>Requires Governance Decision</x:v>
      </x:c>
      <x:c r="F25" s="78" t="str">
        <x:v>Approved privacy notice/ROPA/lawful-basis record.</x:v>
      </x:c>
      <x:c r="G25" s="78" t="str">
        <x:v>Privacy / Legal</x:v>
      </x:c>
      <x:c r="H25" s="78" t="str">
        <x:v>Production governance gate</x:v>
      </x:c>
      <x:c r="I25" s="78" t="str">
        <x:v>https://ico.org.uk/for-organisations/uk-gdpr-guidance-and-resources/data-protection-principles/a-guide-to-the-data-protection-principles/</x:v>
      </x:c>
      <x:c r="J25" s="79" t="str">
        <x:v>Not selected in this portfolio.</x:v>
      </x:c>
    </x:row>
    <x:row r="26">
      <x:c r="A26" s="77" t="str">
        <x:v>SEC-022</x:v>
      </x:c>
      <x:c r="B26" s="78" t="str">
        <x:v>DPIA</x:v>
      </x:c>
      <x:c r="C26" s="78" t="str">
        <x:v>Assess high-risk privacy impacts before processing</x:v>
      </x:c>
      <x:c r="D26" s="78" t="str">
        <x:v>Complete DPIA screening and, where indicated, a full DPIA before production personal-data processing.</x:v>
      </x:c>
      <x:c r="E26" s="78" t="str">
        <x:v>Requires Governance Decision</x:v>
      </x:c>
      <x:c r="F26" s="78" t="str">
        <x:v>Approved DPIA and residual-risk decision.</x:v>
      </x:c>
      <x:c r="G26" s="78" t="str">
        <x:v>Privacy / Security / Product</x:v>
      </x:c>
      <x:c r="H26" s="78" t="str">
        <x:v>Step 32 design</x:v>
      </x:c>
      <x:c r="I26" s="78" t="str">
        <x:v>https://ico.org.uk/for-organisations/uk-gdpr-guidance-and-resources/accountability-and-governance/data-protection-impact-assessments-dpias/when-do-we-need-to-do-a-dpia/</x:v>
      </x:c>
      <x:c r="J26" s="79" t="str">
        <x:v>Portfolio screening indicates a full DPIA should be completed before production.</x:v>
      </x:c>
    </x:row>
    <x:row r="27">
      <x:c r="A27" s="77" t="str">
        <x:v>SEC-023</x:v>
      </x:c>
      <x:c r="B27" s="78" t="str">
        <x:v>Privacy by Design</x:v>
      </x:c>
      <x:c r="C27" s="78" t="str">
        <x:v>Embed privacy controls through lifecycle</x:v>
      </x:c>
      <x:c r="D27" s="78" t="str">
        <x:v>Review minimisation, access, retention, transparency, security and rights during design/change.</x:v>
      </x:c>
      <x:c r="E27" s="78" t="str">
        <x:v>Design Defined</x:v>
      </x:c>
      <x:c r="F27" s="78" t="str">
        <x:v>Design reviews and privacy sign-off evidence.</x:v>
      </x:c>
      <x:c r="G27" s="78" t="str">
        <x:v>Privacy / Product / Engineering</x:v>
      </x:c>
      <x:c r="H27" s="78" t="str">
        <x:v>Steps 24–32</x:v>
      </x:c>
      <x:c r="I27" s="78" t="str">
        <x:v>https://ico.org.uk/for-organisations/uk-gdpr-guidance-and-resources/data-protection-principles/a-guide-to-the-data-protection-principles/</x:v>
      </x:c>
      <x:c r="J27" s="79" t="str">
        <x:v>Assurance is ongoing, not a one-time check.</x:v>
      </x:c>
    </x:row>
    <x:row r="28">
      <x:c r="A28" s="77" t="str">
        <x:v>SEC-024</x:v>
      </x:c>
      <x:c r="B28" s="78" t="str">
        <x:v>AI Context Minimisation</x:v>
      </x:c>
      <x:c r="C28" s="78" t="str">
        <x:v>Reduce unnecessary personal data sent to AI</x:v>
      </x:c>
      <x:c r="D28" s="78" t="str">
        <x:v>Provide only task-relevant evidence/context and exclude unnecessary fields/secrets.</x:v>
      </x:c>
      <x:c r="E28" s="78" t="str">
        <x:v>Design Defined</x:v>
      </x:c>
      <x:c r="F28" s="78" t="str">
        <x:v>Prompt/context configuration and test evidence.</x:v>
      </x:c>
      <x:c r="G28" s="78" t="str">
        <x:v>AI Owner / Privacy / Engineering</x:v>
      </x:c>
      <x:c r="H28" s="78" t="str">
        <x:v>Step 27 prompt/context controls</x:v>
      </x:c>
      <x:c r="I28" s="78" t="str">
        <x:v>https://ico.org.uk/for-organisations/uk-gdpr-guidance-and-resources/artificial-intelligence/guidance-on-ai-and-data-protection/ai-and-data-protection-risk-toolkit/</x:v>
      </x:c>
      <x:c r="J28" s="79" t="str">
        <x:v>Current prototype uses synthetic data.</x:v>
      </x:c>
    </x:row>
    <x:row r="29">
      <x:c r="A29" s="77" t="str">
        <x:v>SEC-025</x:v>
      </x:c>
      <x:c r="B29" s="78" t="str">
        <x:v>AI Human Review</x:v>
      </x:c>
      <x:c r="C29" s="78" t="str">
        <x:v>Prevent unreviewed AI output driving material action</x:v>
      </x:c>
      <x:c r="D29" s="78" t="str">
        <x:v>Require meaningful human review with authority to Accept, Correct, Reject or Disregard.</x:v>
      </x:c>
      <x:c r="E29" s="78" t="str">
        <x:v>Prototype Evidence Available</x:v>
      </x:c>
      <x:c r="F29" s="78" t="str">
        <x:v>Production workflow evidence, reviewer training and audit logs.</x:v>
      </x:c>
      <x:c r="G29" s="78" t="str">
        <x:v>Product / Operations / AI Owner</x:v>
      </x:c>
      <x:c r="H29" s="78" t="str">
        <x:v>Step 27 HITL + Step 28 evaluation</x:v>
      </x:c>
      <x:c r="I29" s="78" t="str">
        <x:v>https://ico.org.uk/for-organisations/advice-and-services/audits/data-protection-audit-framework/toolkits/artificial-intelligence/human-review/</x:v>
      </x:c>
      <x:c r="J29" s="79" t="str">
        <x:v>No autonomous refund/fraud/outcome decision.</x:v>
      </x:c>
    </x:row>
    <x:row r="30">
      <x:c r="A30" s="77" t="str">
        <x:v>SEC-026</x:v>
      </x:c>
      <x:c r="B30" s="78" t="str">
        <x:v>AI Authority Boundary</x:v>
      </x:c>
      <x:c r="C30" s="78" t="str">
        <x:v>Keep AI output non-authoritative</x:v>
      </x:c>
      <x:c r="D30" s="78" t="str">
        <x:v>AI may draft summaries but must not directly change authoritative case state or customer outcome.</x:v>
      </x:c>
      <x:c r="E30" s="78" t="str">
        <x:v>Design Defined</x:v>
      </x:c>
      <x:c r="F30" s="78" t="str">
        <x:v>Technical enforcement and negative test evidence.</x:v>
      </x:c>
      <x:c r="G30" s="78" t="str">
        <x:v>Product / Engineering / Security</x:v>
      </x:c>
      <x:c r="H30" s="78" t="str">
        <x:v>Step 26 + Step 27</x:v>
      </x:c>
      <x:c r="I30" s="78" t="str">
        <x:v>https://ico.org.uk/for-organisations/uk-gdpr-guidance-and-resources/artificial-intelligence/guidance-on-ai-and-data-protection/ai-and-data-protection-risk-toolkit/</x:v>
      </x:c>
      <x:c r="J30" s="79" t="str">
        <x:v>Core H1/H2 service must continue without AI.</x:v>
      </x:c>
    </x:row>
    <x:row r="31">
      <x:c r="A31" s="77" t="str">
        <x:v>SEC-027</x:v>
      </x:c>
      <x:c r="B31" s="78" t="str">
        <x:v>AI Evaluation &amp; Audit</x:v>
      </x:c>
      <x:c r="C31" s="78" t="str">
        <x:v>Make AI behaviour reviewable</x:v>
      </x:c>
      <x:c r="D31" s="78" t="str">
        <x:v>Retain controlled evaluation evidence, prompts/context version, output and human disposition where proportionate.</x:v>
      </x:c>
      <x:c r="E31" s="78" t="str">
        <x:v>Prototype Evidence Available</x:v>
      </x:c>
      <x:c r="F31" s="78" t="str">
        <x:v>Production monitoring/evaluation design and audit evidence.</x:v>
      </x:c>
      <x:c r="G31" s="78" t="str">
        <x:v>AI Owner / Risk / Operations</x:v>
      </x:c>
      <x:c r="H31" s="78" t="str">
        <x:v>Step 28 controlled evaluation</x:v>
      </x:c>
      <x:c r="I31" s="78" t="str">
        <x:v>https://ico.org.uk/for-organisations/uk-gdpr-guidance-and-resources/artificial-intelligence/guidance-on-ai-and-data-protection/ai-and-data-protection-risk-toolkit/</x:v>
      </x:c>
      <x:c r="J31" s="79" t="str">
        <x:v>Prototype evaluation is not production assurance.</x:v>
      </x:c>
    </x:row>
    <x:row r="32">
      <x:c r="A32" s="77" t="str">
        <x:v>SEC-028</x:v>
      </x:c>
      <x:c r="B32" s="78" t="str">
        <x:v>AI Input / Prompt Security</x:v>
      </x:c>
      <x:c r="C32" s="78" t="str">
        <x:v>Reduce manipulation and data-leakage risk</x:v>
      </x:c>
      <x:c r="D32" s="78" t="str">
        <x:v>Treat user/evidence content as untrusted; constrain context, tools and output handling; test prompt-injection scenarios.</x:v>
      </x:c>
      <x:c r="E32" s="78" t="str">
        <x:v>Design Defined</x:v>
      </x:c>
      <x:c r="F32" s="78" t="str">
        <x:v>Security testing and guardrail evidence.</x:v>
      </x:c>
      <x:c r="G32" s="78" t="str">
        <x:v>Security / AI Owner / Engineering</x:v>
      </x:c>
      <x:c r="H32" s="78" t="str">
        <x:v>Step 27 guardrails + Step 28 GS-01–10</x:v>
      </x:c>
      <x:c r="I32" s="78" t="str">
        <x:v>https://www.ncsc.gov.uk/collection/guidelines-secure-ai-system-development/introduction</x:v>
      </x:c>
      <x:c r="J32" s="79" t="str">
        <x:v>No model has production privileges.</x:v>
      </x:c>
    </x:row>
    <x:row r="33">
      <x:c r="A33" s="77" t="str">
        <x:v>SEC-029</x:v>
      </x:c>
      <x:c r="B33" s="78" t="str">
        <x:v>AI Failure / Fallback</x:v>
      </x:c>
      <x:c r="C33" s="78" t="str">
        <x:v>Keep service safe when AI is unavailable or unusable</x:v>
      </x:c>
      <x:c r="D33" s="78" t="str">
        <x:v>Allow deterministic/manual continuation and safe disregard of AI output.</x:v>
      </x:c>
      <x:c r="E33" s="78" t="str">
        <x:v>Prototype Evidence Available</x:v>
      </x:c>
      <x:c r="F33" s="78" t="str">
        <x:v>Fallback tests and operational runbook evidence.</x:v>
      </x:c>
      <x:c r="G33" s="78" t="str">
        <x:v>Product / Operations / Engineering</x:v>
      </x:c>
      <x:c r="H33" s="78" t="str">
        <x:v>Step 28 failures + UAT-20 design</x:v>
      </x:c>
      <x:c r="I33" s="78" t="str">
        <x:v>https://www.ncsc.gov.uk/collection/guidelines-secure-ai-system-development/introduction</x:v>
      </x:c>
      <x:c r="J33" s="79" t="str">
        <x:v>AI failure must not block core dispute handling.</x:v>
      </x:c>
    </x:row>
    <x:row r="34">
      <x:c r="A34" s="80" t="str">
        <x:v>SEC-030</x:v>
      </x:c>
      <x:c r="B34" s="81" t="str">
        <x:v>Production Approval Gate</x:v>
      </x:c>
      <x:c r="C34" s="81" t="str">
        <x:v>Prevent unsupported go-live claims</x:v>
      </x:c>
      <x:c r="D34" s="81" t="str">
        <x:v>Require Security, Privacy, Business, Operational and Release evidence before production approval.</x:v>
      </x:c>
      <x:c r="E34" s="81" t="str">
        <x:v>Design Defined</x:v>
      </x:c>
      <x:c r="F34" s="81" t="str">
        <x:v>Completed assurance pack and authorised approvals.</x:v>
      </x:c>
      <x:c r="G34" s="81" t="str">
        <x:v>Business / Security / Privacy / Operations</x:v>
      </x:c>
      <x:c r="H34" s="81" t="str">
        <x:v>Steps 31–35 planned</x:v>
      </x:c>
      <x:c r="I34" s="81" t="str">
        <x:v>https://ico.org.uk/for-organisations/uk-gdpr-guidance-and-resources/data-protection-principles/a-guide-to-the-data-protection-principles/</x:v>
      </x:c>
      <x:c r="J34" s="82" t="str">
        <x:v>Current production approval remains Not Granted.</x:v>
      </x:c>
    </x:row>
  </x:sheetData>
  <x:mergeCells>
    <x:mergeCell ref="A1:J1"/>
    <x:mergeCell ref="A2:J2"/>
  </x:mergeCells>
  <x:conditionalFormatting sqref="E5:E100">
    <x:cfRule type="expression" dxfId="0" priority="1">
      <x:formula>E5="Design Defined"</x:formula>
    </x:cfRule>
    <x:cfRule type="expression" dxfId="1" priority="2">
      <x:formula>E5="Requires Implementation Evidence"</x:formula>
    </x:cfRule>
    <x:cfRule type="expression" dxfId="2" priority="3">
      <x:formula>E5="Requires Governance Decision"</x:formula>
    </x:cfRule>
    <x:cfRule type="expression" dxfId="3" priority="4">
      <x:formula>E5="Prototype Evidence Available"</x:formula>
    </x:cfRule>
  </x:conditionalFormatting>
  <x:dataValidations count="1">
    <x:dataValidation type="list" sqref="E5:E100">
      <x:formula1>"Design Defined,Requires Implementation Evidence,Requires Governance Decision,Prototype Evidence Available,Not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40" hidden="0" customWidth="1"/>
    <x:col min="4" max="4" width="44" hidden="0" customWidth="1"/>
    <x:col min="5" max="5" width="24" hidden="0" customWidth="1"/>
    <x:col min="6" max="6" width="26" hidden="0" customWidth="1"/>
    <x:col min="7" max="7" width="44" hidden="0" customWidth="1"/>
    <x:col min="8" max="8" width="34" hidden="0" customWidth="1"/>
  </x:cols>
  <x:sheetData>
    <x:row r="1">
      <x:c r="A1" s="5" t="str">
        <x:v>PayFix AI 2.0 — UK Data Protection Principles Mapping</x:v>
      </x:c>
      <x:c r="B1" s="5"/>
      <x:c r="C1" s="5"/>
      <x:c r="D1" s="5"/>
      <x:c r="E1" s="5"/>
      <x:c r="F1" s="5"/>
      <x:c r="G1" s="5"/>
      <x:c r="H1" s="5"/>
    </x:row>
    <x:row r="2">
      <x:c r="A2" s="29" t="str">
        <x:v>Design mapping only. The portfolio does not claim legal compliance. A production controller must confirm lawful basis, transparency, retention, rights and organisational responsibilities.</x:v>
      </x:c>
      <x:c r="B2" s="29"/>
      <x:c r="C2" s="29"/>
      <x:c r="D2" s="29"/>
      <x:c r="E2" s="29"/>
      <x:c r="F2" s="29"/>
      <x:c r="G2" s="29"/>
      <x:c r="H2" s="29"/>
    </x:row>
    <x:row r="4">
      <x:c r="A4" s="74" t="str">
        <x:v>Principle</x:v>
      </x:c>
      <x:c r="B4" s="75" t="str">
        <x:v>PayFix Interpretation</x:v>
      </x:c>
      <x:c r="C4" s="75" t="str">
        <x:v>Design / Evidence</x:v>
      </x:c>
      <x:c r="D4" s="75" t="str">
        <x:v>Production Action Required</x:v>
      </x:c>
      <x:c r="E4" s="75" t="str">
        <x:v>Current Status</x:v>
      </x:c>
      <x:c r="F4" s="75" t="str">
        <x:v>Owner / Reviewer</x:v>
      </x:c>
      <x:c r="G4" s="75" t="str">
        <x:v>Source URL</x:v>
      </x:c>
      <x:c r="H4" s="76" t="str">
        <x:v>Notes</x:v>
      </x:c>
    </x:row>
    <x:row r="5">
      <x:c r="A5" s="77" t="str">
        <x:v>Lawfulness, fairness and transparency</x:v>
      </x:c>
      <x:c r="B5" s="78" t="str">
        <x:v>Define why customer/dispute information is processed, make use understandable and prevent hidden material AI decision-making.</x:v>
      </x:c>
      <x:c r="C5" s="78" t="str">
        <x:v>Human-controlled decision model; AI limited to assistive summaries.</x:v>
      </x:c>
      <x:c r="D5" s="78" t="str">
        <x:v>Controller to document lawful basis, transparency information and processing responsibilities.</x:v>
      </x:c>
      <x:c r="E5" s="78" t="str">
        <x:v>Requires Governance Decision</x:v>
      </x:c>
      <x:c r="F5" s="78" t="str">
        <x:v>Privacy / Legal / Product</x:v>
      </x:c>
      <x:c r="G5" s="78" t="str">
        <x:v>https://ico.org.uk/for-organisations/uk-gdpr-guidance-and-resources/data-protection-principles/a-guide-to-the-data-protection-principles/</x:v>
      </x:c>
      <x:c r="H5" s="79" t="str">
        <x:v>Lawful basis is intentionally not invented.</x:v>
      </x:c>
    </x:row>
    <x:row r="6">
      <x:c r="A6" s="77" t="str">
        <x:v>Purpose limitation</x:v>
      </x:c>
      <x:c r="B6" s="78" t="str">
        <x:v>Use data for defined dispute, evidence, complaint, fraud-referral and service purposes only unless reuse is separately assessed.</x:v>
      </x:c>
      <x:c r="C6" s="78" t="str">
        <x:v>Requirements and system boundaries define business purpose.</x:v>
      </x:c>
      <x:c r="D6" s="78" t="str">
        <x:v>Approve purpose inventory and assess any secondary use.</x:v>
      </x:c>
      <x:c r="E6" s="78" t="str">
        <x:v>Requires Governance Decision</x:v>
      </x:c>
      <x:c r="F6" s="78" t="str">
        <x:v>Privacy / Product</x:v>
      </x:c>
      <x:c r="G6" s="78" t="str">
        <x:v>https://ico.org.uk/for-organisations/uk-gdpr-guidance-and-resources/data-protection-principles/a-guide-to-the-data-protection-principles/</x:v>
      </x:c>
      <x:c r="H6" s="79" t="str">
        <x:v>AI context must remain task-bound.</x:v>
      </x:c>
    </x:row>
    <x:row r="7">
      <x:c r="A7" s="77" t="str">
        <x:v>Data minimisation</x:v>
      </x:c>
      <x:c r="B7" s="78" t="str">
        <x:v>Limit collected, displayed and AI-context data to what is needed for the task and role.</x:v>
      </x:c>
      <x:c r="C7" s="78" t="str">
        <x:v>Logical data model, role views and AI context controls.</x:v>
      </x:c>
      <x:c r="D7" s="78" t="str">
        <x:v>Field-by-field production data inventory and justification.</x:v>
      </x:c>
      <x:c r="E7" s="78" t="str">
        <x:v>Design Defined</x:v>
      </x:c>
      <x:c r="F7" s="78" t="str">
        <x:v>Privacy / Product / Engineering</x:v>
      </x:c>
      <x:c r="G7" s="78" t="str">
        <x:v>https://ico.org.uk/for-organisations/uk-gdpr-guidance-and-resources/data-protection-principles/a-guide-to-the-data-protection-principles/</x:v>
      </x:c>
      <x:c r="H7" s="79" t="str">
        <x:v>Prototype is synthetic-only.</x:v>
      </x:c>
    </x:row>
    <x:row r="8">
      <x:c r="A8" s="77" t="str">
        <x:v>Accuracy</x:v>
      </x:c>
      <x:c r="B8" s="78" t="str">
        <x:v>Preserve authoritative data, provenance and correction routes.</x:v>
      </x:c>
      <x:c r="C8" s="78" t="str">
        <x:v>Authoritative case state separated from derived AI output.</x:v>
      </x:c>
      <x:c r="D8" s="78" t="str">
        <x:v>Implement correction workflow and operational ownership.</x:v>
      </x:c>
      <x:c r="E8" s="78" t="str">
        <x:v>Design Defined</x:v>
      </x:c>
      <x:c r="F8" s="78" t="str">
        <x:v>Product / Operations</x:v>
      </x:c>
      <x:c r="G8" s="78" t="str">
        <x:v>https://ico.org.uk/for-organisations/uk-gdpr-guidance-and-resources/data-protection-principles/a-guide-to-the-data-protection-principles/</x:v>
      </x:c>
      <x:c r="H8" s="79" t="str">
        <x:v>Human review required for AI output.</x:v>
      </x:c>
    </x:row>
    <x:row r="9">
      <x:c r="A9" s="77" t="str">
        <x:v>Storage limitation</x:v>
      </x:c>
      <x:c r="B9" s="78" t="str">
        <x:v>Retain identifiable data only as long as necessary for approved purposes.</x:v>
      </x:c>
      <x:c r="C9" s="78" t="str">
        <x:v>Retention design sheet identifies record classes and decision points.</x:v>
      </x:c>
      <x:c r="D9" s="78" t="str">
        <x:v>Approve retention schedule and automated/manual deletion controls.</x:v>
      </x:c>
      <x:c r="E9" s="78" t="str">
        <x:v>Requires Governance Decision</x:v>
      </x:c>
      <x:c r="F9" s="78" t="str">
        <x:v>Privacy / Records / Legal</x:v>
      </x:c>
      <x:c r="G9" s="78" t="str">
        <x:v>https://ico.org.uk/for-organisations/uk-gdpr-guidance-and-resources/data-protection-principles/a-guide-to-the-data-protection-principles/</x:v>
      </x:c>
      <x:c r="H9" s="79" t="str">
        <x:v>No arbitrary periods used.</x:v>
      </x:c>
    </x:row>
    <x:row r="10">
      <x:c r="A10" s="77" t="str">
        <x:v>Integrity and confidentiality (security)</x:v>
      </x:c>
      <x:c r="B10" s="78" t="str">
        <x:v>Protect against unauthorised access, alteration, loss or disclosure.</x:v>
      </x:c>
      <x:c r="C10" s="78" t="str">
        <x:v>RBAC, audit, encryption, secrets and secure-development control design.</x:v>
      </x:c>
      <x:c r="D10" s="78" t="str">
        <x:v>Implement, test and evidence security controls before production.</x:v>
      </x:c>
      <x:c r="E10" s="78" t="str">
        <x:v>Requires Implementation Evidence</x:v>
      </x:c>
      <x:c r="F10" s="78" t="str">
        <x:v>Security / Engineering</x:v>
      </x:c>
      <x:c r="G10" s="78" t="str">
        <x:v>https://ico.org.uk/for-organisations/uk-gdpr-guidance-and-resources/data-protection-principles/a-guide-to-the-data-protection-principles/</x:v>
      </x:c>
      <x:c r="H10" s="79" t="str">
        <x:v>Design is not equivalent to implementation.</x:v>
      </x:c>
    </x:row>
    <x:row r="11">
      <x:c r="A11" s="80" t="str">
        <x:v>Accountability</x:v>
      </x:c>
      <x:c r="B11" s="81" t="str">
        <x:v>Be able to demonstrate decisions, controls, risks and approvals.</x:v>
      </x:c>
      <x:c r="C11" s="81" t="str">
        <x:v>Traceability, governance pages, evaluation evidence and assurance register.</x:v>
      </x:c>
      <x:c r="D11" s="81" t="str">
        <x:v>Maintain ROPA/DPIA/approvals, monitoring and periodic review.</x:v>
      </x:c>
      <x:c r="E11" s="81" t="str">
        <x:v>Design Defined</x:v>
      </x:c>
      <x:c r="F11" s="81" t="str">
        <x:v>Privacy / Business / Security</x:v>
      </x:c>
      <x:c r="G11" s="81" t="str">
        <x:v>https://ico.org.uk/for-organisations/uk-gdpr-guidance-and-resources/data-protection-principles/a-guide-to-the-data-protection-principles/</x:v>
      </x:c>
      <x:c r="H11" s="82" t="str">
        <x:v>Evidence should remain auditable.</x:v>
      </x:c>
    </x:row>
  </x:sheetData>
  <x:mergeCells>
    <x:mergeCell ref="A1:H1"/>
    <x:mergeCell ref="A2:H2"/>
  </x:mergeCells>
  <x:conditionalFormatting sqref="E5:E20">
    <x:cfRule type="expression" dxfId="4" priority="1">
      <x:formula>E5="Design Defined"</x:formula>
    </x:cfRule>
    <x:cfRule type="expression" dxfId="5" priority="2">
      <x:formula>E5="Requires Implementation Evidence"</x:formula>
    </x:cfRule>
    <x:cfRule type="expression" dxfId="6" priority="3">
      <x:formula>E5="Requires Governance Decision"</x:formula>
    </x:cfRule>
  </x:conditionalFormatting>
  <x:dataValidations count="1">
    <x:dataValidation type="list" sqref="E5:E20">
      <x:formula1>"Design Defined,Requires Implementation Evidence,Requires Governance Decision"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24" hidden="0" customWidth="1"/>
    <x:col min="5" max="5" width="38" hidden="0" customWidth="1"/>
    <x:col min="6" max="6" width="40" hidden="0" customWidth="1"/>
    <x:col min="7" max="7" width="34" hidden="0" customWidth="1"/>
    <x:col min="8" max="8" width="42" hidden="0" customWidth="1"/>
    <x:col min="9" max="9" width="36" hidden="0" customWidth="1"/>
    <x:col min="10" max="10" width="24" hidden="0" customWidth="1"/>
  </x:cols>
  <x:sheetData>
    <x:row r="1">
      <x:c r="A1" s="5" t="str">
        <x:v>PayFix AI 2.0 — Data Classification and Minimisation Design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9" t="str">
        <x:v>Current portfolio/prototype data is synthetic. The classifications below describe the target production service and must be confirmed by the future data controller.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4">
      <x:c r="A4" s="74" t="str">
        <x:v>Data Class</x:v>
      </x:c>
      <x:c r="B4" s="75" t="str">
        <x:v>Example Data</x:v>
      </x:c>
      <x:c r="C4" s="75" t="str">
        <x:v>Personal Data?</x:v>
      </x:c>
      <x:c r="D4" s="75" t="str">
        <x:v>Special Category Possible?</x:v>
      </x:c>
      <x:c r="E4" s="75" t="str">
        <x:v>Business Purpose</x:v>
      </x:c>
      <x:c r="F4" s="75" t="str">
        <x:v>Minimisation Rule</x:v>
      </x:c>
      <x:c r="G4" s="75" t="str">
        <x:v>Access Position</x:v>
      </x:c>
      <x:c r="H4" s="75" t="str">
        <x:v>AI Use Position</x:v>
      </x:c>
      <x:c r="I4" s="75" t="str">
        <x:v>Retention Position</x:v>
      </x:c>
      <x:c r="J4" s="76" t="str">
        <x:v>Current Portfolio Position</x:v>
      </x:c>
    </x:row>
    <x:row r="5">
      <x:c r="A5" s="77" t="str">
        <x:v>Customer identity/contact</x:v>
      </x:c>
      <x:c r="B5" s="78" t="str">
        <x:v>Name, contact channel, customer reference</x:v>
      </x:c>
      <x:c r="C5" s="78" t="str">
        <x:v>Yes</x:v>
      </x:c>
      <x:c r="D5" s="78" t="str">
        <x:v>No by design</x:v>
      </x:c>
      <x:c r="E5" s="78" t="str">
        <x:v>Identify/contact the correct customer and link the dispute.</x:v>
      </x:c>
      <x:c r="F5" s="78" t="str">
        <x:v>Use minimum identifiers needed for the journey.</x:v>
      </x:c>
      <x:c r="G5" s="78" t="str">
        <x:v>Need-to-know case access.</x:v>
      </x:c>
      <x:c r="H5" s="78" t="str">
        <x:v>Exclude from AI unless necessary for the summarisation task.</x:v>
      </x:c>
      <x:c r="I5" s="78" t="str">
        <x:v>Retention policy decision required before production.</x:v>
      </x:c>
      <x:c r="J5" s="79" t="str">
        <x:v>Synthetic only</x:v>
      </x:c>
    </x:row>
    <x:row r="6">
      <x:c r="A6" s="77" t="str">
        <x:v>Dispute/case data</x:v>
      </x:c>
      <x:c r="B6" s="78" t="str">
        <x:v>Case ID, dispute type, status, timestamps, ownership</x:v>
      </x:c>
      <x:c r="C6" s="78" t="str">
        <x:v>Yes / linked to person</x:v>
      </x:c>
      <x:c r="D6" s="78" t="str">
        <x:v>No by design</x:v>
      </x:c>
      <x:c r="E6" s="78" t="str">
        <x:v>Operate and audit the dispute process.</x:v>
      </x:c>
      <x:c r="F6" s="78" t="str">
        <x:v>Avoid unrelated profile data.</x:v>
      </x:c>
      <x:c r="G6" s="78" t="str">
        <x:v>Case handlers and authorised specialists.</x:v>
      </x:c>
      <x:c r="H6" s="78" t="str">
        <x:v>Task-relevant case context only.</x:v>
      </x:c>
      <x:c r="I6" s="78" t="str">
        <x:v>Retention policy decision required before production.</x:v>
      </x:c>
      <x:c r="J6" s="79" t="str">
        <x:v>Synthetic only</x:v>
      </x:c>
    </x:row>
    <x:row r="7">
      <x:c r="A7" s="77" t="str">
        <x:v>Transaction references/metadata</x:v>
      </x:c>
      <x:c r="B7" s="78" t="str">
        <x:v>Transaction reference, amount, date, channel metadata</x:v>
      </x:c>
      <x:c r="C7" s="78" t="str">
        <x:v>Usually linked personal data</x:v>
      </x:c>
      <x:c r="D7" s="78" t="str">
        <x:v>No by design</x:v>
      </x:c>
      <x:c r="E7" s="78" t="str">
        <x:v>Investigate disputed transaction and support outcome.</x:v>
      </x:c>
      <x:c r="F7" s="78" t="str">
        <x:v>Do not collect full payment credentials unless necessary and approved.</x:v>
      </x:c>
      <x:c r="G7" s="78" t="str">
        <x:v>Restricted to roles handling the case.</x:v>
      </x:c>
      <x:c r="H7" s="78" t="str">
        <x:v>Use only fields necessary for grounded summary.</x:v>
      </x:c>
      <x:c r="I7" s="78" t="str">
        <x:v>Retention policy decision required before production.</x:v>
      </x:c>
      <x:c r="J7" s="79" t="str">
        <x:v>Synthetic only</x:v>
      </x:c>
    </x:row>
    <x:row r="8">
      <x:c r="A8" s="77" t="str">
        <x:v>Evidence uploads</x:v>
      </x:c>
      <x:c r="B8" s="78" t="str">
        <x:v>Receipts, correspondence, screenshots or supporting documents</x:v>
      </x:c>
      <x:c r="C8" s="78" t="str">
        <x:v>Likely</x:v>
      </x:c>
      <x:c r="D8" s="78" t="str">
        <x:v>Yes, depending on customer-provided content</x:v>
      </x:c>
      <x:c r="E8" s="78" t="str">
        <x:v>Assess facts/evidence for the dispute.</x:v>
      </x:c>
      <x:c r="F8" s="78" t="str">
        <x:v>Request only relevant evidence; warn against unnecessary sensitive content.</x:v>
      </x:c>
      <x:c r="G8" s="78" t="str">
        <x:v>Restricted case/specialist access.</x:v>
      </x:c>
      <x:c r="H8" s="78" t="str">
        <x:v>Only required excerpts/context; treat as untrusted input.</x:v>
      </x:c>
      <x:c r="I8" s="78" t="str">
        <x:v>Retention policy decision required before production.</x:v>
      </x:c>
      <x:c r="J8" s="79" t="str">
        <x:v>Synthetic only</x:v>
      </x:c>
    </x:row>
    <x:row r="9">
      <x:c r="A9" s="77" t="str">
        <x:v>Complaint records</x:v>
      </x:c>
      <x:c r="B9" s="78" t="str">
        <x:v>Complaint reason, communications, status</x:v>
      </x:c>
      <x:c r="C9" s="78" t="str">
        <x:v>Yes</x:v>
      </x:c>
      <x:c r="D9" s="78" t="str">
        <x:v>Possible</x:v>
      </x:c>
      <x:c r="E9" s="78" t="str">
        <x:v>Handle linked complaint without merging authority incorrectly.</x:v>
      </x:c>
      <x:c r="F9" s="78" t="str">
        <x:v>Keep complaint data separate where separate handling is required.</x:v>
      </x:c>
      <x:c r="G9" s="78" t="str">
        <x:v>Complaint and authorised case roles.</x:v>
      </x:c>
      <x:c r="H9" s="78" t="str">
        <x:v>AI use only if approved for defined task; H3 pilots do not decide complaints.</x:v>
      </x:c>
      <x:c r="I9" s="78" t="str">
        <x:v>Retention policy decision required before production.</x:v>
      </x:c>
      <x:c r="J9" s="79" t="str">
        <x:v>Synthetic only</x:v>
      </x:c>
    </x:row>
    <x:row r="10">
      <x:c r="A10" s="77" t="str">
        <x:v>Fraud referral markers</x:v>
      </x:c>
      <x:c r="B10" s="78" t="str">
        <x:v>Referral reason/status and specialist handling metadata</x:v>
      </x:c>
      <x:c r="C10" s="78" t="str">
        <x:v>Yes</x:v>
      </x:c>
      <x:c r="D10" s="78" t="str">
        <x:v>Possible</x:v>
      </x:c>
      <x:c r="E10" s="78" t="str">
        <x:v>Route suspected fraud concerns for authorised review.</x:v>
      </x:c>
      <x:c r="F10" s="78" t="str">
        <x:v>Keep only information needed for referral and investigation.</x:v>
      </x:c>
      <x:c r="G10" s="78" t="str">
        <x:v>Fraud specialist / authorised roles.</x:v>
      </x:c>
      <x:c r="H10" s="78" t="str">
        <x:v>No autonomous fraud classification or customer-impacting decision.</x:v>
      </x:c>
      <x:c r="I10" s="78" t="str">
        <x:v>Retention policy decision required before production.</x:v>
      </x:c>
      <x:c r="J10" s="79" t="str">
        <x:v>Synthetic only</x:v>
      </x:c>
    </x:row>
    <x:row r="11">
      <x:c r="A11" s="77" t="str">
        <x:v>Decision/approval records</x:v>
      </x:c>
      <x:c r="B11" s="78" t="str">
        <x:v>Decision rationale, approval state, approver and timestamps</x:v>
      </x:c>
      <x:c r="C11" s="78" t="str">
        <x:v>Yes / linked</x:v>
      </x:c>
      <x:c r="D11" s="78" t="str">
        <x:v>No by design</x:v>
      </x:c>
      <x:c r="E11" s="78" t="str">
        <x:v>Demonstrate authorised decision and approval history.</x:v>
      </x:c>
      <x:c r="F11" s="78" t="str">
        <x:v>Record necessary rationale and authority evidence.</x:v>
      </x:c>
      <x:c r="G11" s="78" t="str">
        <x:v>Decision-maker, approver, audit roles.</x:v>
      </x:c>
      <x:c r="H11" s="78" t="str">
        <x:v>AI may assist summarisation only; cannot authoritatively decide.</x:v>
      </x:c>
      <x:c r="I11" s="78" t="str">
        <x:v>Retention policy decision required before production.</x:v>
      </x:c>
      <x:c r="J11" s="79" t="str">
        <x:v>Synthetic only</x:v>
      </x:c>
    </x:row>
    <x:row r="12">
      <x:c r="A12" s="77" t="str">
        <x:v>Audit/security logs</x:v>
      </x:c>
      <x:c r="B12" s="78" t="str">
        <x:v>Actor, action, timestamp, object, security event</x:v>
      </x:c>
      <x:c r="C12" s="78" t="str">
        <x:v>May be personal data</x:v>
      </x:c>
      <x:c r="D12" s="78" t="str">
        <x:v>No by design</x:v>
      </x:c>
      <x:c r="E12" s="78" t="str">
        <x:v>Security, accountability, investigation and audit.</x:v>
      </x:c>
      <x:c r="F12" s="78" t="str">
        <x:v>Avoid unnecessary payload/content in logs.</x:v>
      </x:c>
      <x:c r="G12" s="78" t="str">
        <x:v>Privileged operations/security/audit access.</x:v>
      </x:c>
      <x:c r="H12" s="78" t="str">
        <x:v>Do not send logs to AI unless explicitly approved and minimised.</x:v>
      </x:c>
      <x:c r="I12" s="78" t="str">
        <x:v>Retention policy decision required before production.</x:v>
      </x:c>
      <x:c r="J12" s="79" t="str">
        <x:v>Prototype logs only</x:v>
      </x:c>
    </x:row>
    <x:row r="13">
      <x:c r="A13" s="77" t="str">
        <x:v>AI prompt/context</x:v>
      </x:c>
      <x:c r="B13" s="78" t="str">
        <x:v>Selected evidence/case facts supplied to model</x:v>
      </x:c>
      <x:c r="C13" s="78" t="str">
        <x:v>Would be personal in production</x:v>
      </x:c>
      <x:c r="D13" s="78" t="str">
        <x:v>Possible if source evidence contains it</x:v>
      </x:c>
      <x:c r="E13" s="78" t="str">
        <x:v>Generate controlled draft summaries.</x:v>
      </x:c>
      <x:c r="F13" s="78" t="str">
        <x:v>Use minimum necessary context; exclude secrets and irrelevant fields.</x:v>
      </x:c>
      <x:c r="G13" s="78" t="str">
        <x:v>AI service + authorised reviewer only.</x:v>
      </x:c>
      <x:c r="H13" s="78" t="str">
        <x:v>Primary AI processing input; governed and auditable.</x:v>
      </x:c>
      <x:c r="I13" s="78" t="str">
        <x:v>Retention/provider handling decision required.</x:v>
      </x:c>
      <x:c r="J13" s="79" t="str">
        <x:v>Synthetic only</x:v>
      </x:c>
    </x:row>
    <x:row r="14">
      <x:c r="A14" s="77" t="str">
        <x:v>AI generated summary</x:v>
      </x:c>
      <x:c r="B14" s="78" t="str">
        <x:v>Derived evidence or handoff summary</x:v>
      </x:c>
      <x:c r="C14" s="78" t="str">
        <x:v>Would usually remain personal if linked to case</x:v>
      </x:c>
      <x:c r="D14" s="78" t="str">
        <x:v>May reflect sensitive source data</x:v>
      </x:c>
      <x:c r="E14" s="78" t="str">
        <x:v>Assist human understanding and handoff.</x:v>
      </x:c>
      <x:c r="F14" s="78" t="str">
        <x:v>Do not add unsupported facts; keep provenance.</x:v>
      </x:c>
      <x:c r="G14" s="78" t="str">
        <x:v>Authorised case users/reviewers.</x:v>
      </x:c>
      <x:c r="H14" s="78" t="str">
        <x:v>Derived assistance only, not authoritative state.</x:v>
      </x:c>
      <x:c r="I14" s="78" t="str">
        <x:v>Retention position must align to case/audit purpose.</x:v>
      </x:c>
      <x:c r="J14" s="79" t="str">
        <x:v>Synthetic only</x:v>
      </x:c>
    </x:row>
    <x:row r="15">
      <x:c r="A15" s="77" t="str">
        <x:v>Staff identity/role</x:v>
      </x:c>
      <x:c r="B15" s="78" t="str">
        <x:v>Staff ID, role, team, authority and access history</x:v>
      </x:c>
      <x:c r="C15" s="78" t="str">
        <x:v>Yes</x:v>
      </x:c>
      <x:c r="D15" s="78" t="str">
        <x:v>No</x:v>
      </x:c>
      <x:c r="E15" s="78" t="str">
        <x:v>Access control, accountability and audit.</x:v>
      </x:c>
      <x:c r="F15" s="78" t="str">
        <x:v>Use minimum workforce identifiers.</x:v>
      </x:c>
      <x:c r="G15" s="78" t="str">
        <x:v>Managers/security/audit as required.</x:v>
      </x:c>
      <x:c r="H15" s="78" t="str">
        <x:v>Not required in AI prompts except operationally necessary metadata.</x:v>
      </x:c>
      <x:c r="I15" s="78" t="str">
        <x:v>Workforce retention policy applies.</x:v>
      </x:c>
      <x:c r="J15" s="79" t="str">
        <x:v>Portfolio role model only</x:v>
      </x:c>
    </x:row>
    <x:row r="16">
      <x:c r="A16" s="80" t="str">
        <x:v>Credentials/secrets</x:v>
      </x:c>
      <x:c r="B16" s="81" t="str">
        <x:v>Passwords, tokens, API keys, private keys</x:v>
      </x:c>
      <x:c r="C16" s="81" t="str">
        <x:v>Security secret</x:v>
      </x:c>
      <x:c r="D16" s="81" t="str">
        <x:v>No</x:v>
      </x:c>
      <x:c r="E16" s="81" t="str">
        <x:v>Authenticate systems and integrations.</x:v>
      </x:c>
      <x:c r="F16" s="81" t="str">
        <x:v>Never store in business datasets, prompts, screenshots or source code.</x:v>
      </x:c>
      <x:c r="G16" s="81" t="str">
        <x:v>Strict privileged/system access.</x:v>
      </x:c>
      <x:c r="H16" s="81" t="str">
        <x:v>Prohibited from AI context.</x:v>
      </x:c>
      <x:c r="I16" s="81" t="str">
        <x:v>Separate secrets lifecycle/rotation policy.</x:v>
      </x:c>
      <x:c r="J16" s="82" t="str">
        <x:v>Prototype key handling only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30" hidden="0" customWidth="1"/>
    <x:col min="9" max="9" width="22" hidden="0" customWidth="1"/>
    <x:col min="10" max="10" width="42" hidden="0" customWidth="1"/>
  </x:cols>
  <x:sheetData>
    <x:row r="1">
      <x:c r="A1" s="5" t="str">
        <x:v>PayFix AI 2.0 — Logical Access and Authority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9" t="str">
        <x:v>Logical design only. Production access must be technically implemented, tested, reviewed and supported by identity-management evidence.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4">
      <x:c r="A4" s="74" t="str">
        <x:v>Role</x:v>
      </x:c>
      <x:c r="B4" s="75" t="str">
        <x:v>Business Purpose</x:v>
      </x:c>
      <x:c r="C4" s="75" t="str">
        <x:v>Case Data</x:v>
      </x:c>
      <x:c r="D4" s="75" t="str">
        <x:v>Evidence</x:v>
      </x:c>
      <x:c r="E4" s="75" t="str">
        <x:v>Decision Authority</x:v>
      </x:c>
      <x:c r="F4" s="75" t="str">
        <x:v>Approval Authority</x:v>
      </x:c>
      <x:c r="G4" s="75" t="str">
        <x:v>Audit Log Access</x:v>
      </x:c>
      <x:c r="H4" s="75" t="str">
        <x:v>AI Summary Access</x:v>
      </x:c>
      <x:c r="I4" s="75" t="str">
        <x:v>Admin Rights</x:v>
      </x:c>
      <x:c r="J4" s="76" t="str">
        <x:v>Key Separation / Constraint</x:v>
      </x:c>
    </x:row>
    <x:row r="5">
      <x:c r="A5" s="77" t="str">
        <x:v>Case Handler</x:v>
      </x:c>
      <x:c r="B5" s="78" t="str">
        <x:v>Manage assigned dispute journey</x:v>
      </x:c>
      <x:c r="C5" s="78" t="str">
        <x:v>Read/Write assigned cases</x:v>
      </x:c>
      <x:c r="D5" s="78" t="str">
        <x:v>Read/Request/Attach</x:v>
      </x:c>
      <x:c r="E5" s="78" t="str">
        <x:v>Prepare/record within delegated role</x:v>
      </x:c>
      <x:c r="F5" s="78" t="str">
        <x:v>None unless separately authorised</x:v>
      </x:c>
      <x:c r="G5" s="78" t="str">
        <x:v>Own-case activity only</x:v>
      </x:c>
      <x:c r="H5" s="78" t="str">
        <x:v>Generate/review where authorised</x:v>
      </x:c>
      <x:c r="I5" s="78" t="str">
        <x:v>None</x:v>
      </x:c>
      <x:c r="J5" s="79" t="str">
        <x:v>Cannot approve own restricted decision where segregation is required.</x:v>
      </x:c>
    </x:row>
    <x:row r="6">
      <x:c r="A6" s="77" t="str">
        <x:v>Specialist</x:v>
      </x:c>
      <x:c r="B6" s="78" t="str">
        <x:v>Review specialist referral</x:v>
      </x:c>
      <x:c r="C6" s="78" t="str">
        <x:v>Read referred cases</x:v>
      </x:c>
      <x:c r="D6" s="78" t="str">
        <x:v>Read relevant evidence</x:v>
      </x:c>
      <x:c r="E6" s="78" t="str">
        <x:v>Specialist input/recommendation</x:v>
      </x:c>
      <x:c r="F6" s="78" t="str">
        <x:v>None</x:v>
      </x:c>
      <x:c r="G6" s="78" t="str">
        <x:v>Relevant activity only</x:v>
      </x:c>
      <x:c r="H6" s="78" t="str">
        <x:v>Review relevant summary</x:v>
      </x:c>
      <x:c r="I6" s="78" t="str">
        <x:v>None</x:v>
      </x:c>
      <x:c r="J6" s="79" t="str">
        <x:v>Access limited to referral scope.</x:v>
      </x:c>
    </x:row>
    <x:row r="7">
      <x:c r="A7" s="77" t="str">
        <x:v>Approver</x:v>
      </x:c>
      <x:c r="B7" s="78" t="str">
        <x:v>Review decisions requiring approval</x:v>
      </x:c>
      <x:c r="C7" s="78" t="str">
        <x:v>Read relevant case data</x:v>
      </x:c>
      <x:c r="D7" s="78" t="str">
        <x:v>Read relevant evidence</x:v>
      </x:c>
      <x:c r="E7" s="78" t="str">
        <x:v>Review proposed decision</x:v>
      </x:c>
      <x:c r="F7" s="78" t="str">
        <x:v>Approve/Reject within authority</x:v>
      </x:c>
      <x:c r="G7" s="78" t="str">
        <x:v>Relevant decision trail</x:v>
      </x:c>
      <x:c r="H7" s="78" t="str">
        <x:v>Review supporting AI summary</x:v>
      </x:c>
      <x:c r="I7" s="78" t="str">
        <x:v>None</x:v>
      </x:c>
      <x:c r="J7" s="79" t="str">
        <x:v>Separate approval from case preparation where required.</x:v>
      </x:c>
    </x:row>
    <x:row r="8">
      <x:c r="A8" s="77" t="str">
        <x:v>Complaints Handler</x:v>
      </x:c>
      <x:c r="B8" s="78" t="str">
        <x:v>Handle linked complaint process</x:v>
      </x:c>
      <x:c r="C8" s="78" t="str">
        <x:v>Read complaint + necessary case context</x:v>
      </x:c>
      <x:c r="D8" s="78" t="str">
        <x:v>Read necessary evidence</x:v>
      </x:c>
      <x:c r="E8" s="78" t="str">
        <x:v>Complaint actions only</x:v>
      </x:c>
      <x:c r="F8" s="78" t="str">
        <x:v>As defined by complaint authority</x:v>
      </x:c>
      <x:c r="G8" s="78" t="str">
        <x:v>Complaint audit trail</x:v>
      </x:c>
      <x:c r="H8" s="78" t="str">
        <x:v>Only if approved for complaint task</x:v>
      </x:c>
      <x:c r="I8" s="78" t="str">
        <x:v>None</x:v>
      </x:c>
      <x:c r="J8" s="79" t="str">
        <x:v>Complaint and dispute authority remain distinct.</x:v>
      </x:c>
    </x:row>
    <x:row r="9">
      <x:c r="A9" s="77" t="str">
        <x:v>Fraud Specialist</x:v>
      </x:c>
      <x:c r="B9" s="78" t="str">
        <x:v>Assess fraud referral</x:v>
      </x:c>
      <x:c r="C9" s="78" t="str">
        <x:v>Read referred case data</x:v>
      </x:c>
      <x:c r="D9" s="78" t="str">
        <x:v>Read necessary evidence</x:v>
      </x:c>
      <x:c r="E9" s="78" t="str">
        <x:v>Fraud specialist action within role</x:v>
      </x:c>
      <x:c r="F9" s="78" t="str">
        <x:v>As separately authorised</x:v>
      </x:c>
      <x:c r="G9" s="78" t="str">
        <x:v>Fraud-referral audit trail</x:v>
      </x:c>
      <x:c r="H9" s="78" t="str">
        <x:v>No autonomous fraud decision</x:v>
      </x:c>
      <x:c r="I9" s="78" t="str">
        <x:v>None</x:v>
      </x:c>
      <x:c r="J9" s="79" t="str">
        <x:v>AI cannot make customer-impacting fraud decision.</x:v>
      </x:c>
    </x:row>
    <x:row r="10">
      <x:c r="A10" s="77" t="str">
        <x:v>Finance / Refund</x:v>
      </x:c>
      <x:c r="B10" s="78" t="str">
        <x:v>Execute authorised financial action</x:v>
      </x:c>
      <x:c r="C10" s="78" t="str">
        <x:v>Read minimum authorised outcome data</x:v>
      </x:c>
      <x:c r="D10" s="78" t="str">
        <x:v>Normally no broad evidence access</x:v>
      </x:c>
      <x:c r="E10" s="78" t="str">
        <x:v>No case adjudication</x:v>
      </x:c>
      <x:c r="F10" s="78" t="str">
        <x:v>Execute only after required authorisation</x:v>
      </x:c>
      <x:c r="G10" s="78" t="str">
        <x:v>Financial action trail</x:v>
      </x:c>
      <x:c r="H10" s="78" t="str">
        <x:v>Normally not needed</x:v>
      </x:c>
      <x:c r="I10" s="78" t="str">
        <x:v>None</x:v>
      </x:c>
      <x:c r="J10" s="79" t="str">
        <x:v>Must not bypass decision/approval controls.</x:v>
      </x:c>
    </x:row>
    <x:row r="11">
      <x:c r="A11" s="77" t="str">
        <x:v>Operations Support</x:v>
      </x:c>
      <x:c r="B11" s="78" t="str">
        <x:v>Support workflow/service operation</x:v>
      </x:c>
      <x:c r="C11" s="78" t="str">
        <x:v>Limited operational access</x:v>
      </x:c>
      <x:c r="D11" s="78" t="str">
        <x:v>No content access unless required</x:v>
      </x:c>
      <x:c r="E11" s="78" t="str">
        <x:v>None</x:v>
      </x:c>
      <x:c r="F11" s="78" t="str">
        <x:v>None</x:v>
      </x:c>
      <x:c r="G11" s="78" t="str">
        <x:v>Operational logs as authorised</x:v>
      </x:c>
      <x:c r="H11" s="78" t="str">
        <x:v>No default access</x:v>
      </x:c>
      <x:c r="I11" s="78" t="str">
        <x:v>Limited support admin</x:v>
      </x:c>
      <x:c r="J11" s="79" t="str">
        <x:v>Use temporary/least-privilege elevation where possible.</x:v>
      </x:c>
    </x:row>
    <x:row r="12">
      <x:c r="A12" s="77" t="str">
        <x:v>Security Administrator</x:v>
      </x:c>
      <x:c r="B12" s="78" t="str">
        <x:v>Protect identity/security configuration</x:v>
      </x:c>
      <x:c r="C12" s="78" t="str">
        <x:v>No routine business access</x:v>
      </x:c>
      <x:c r="D12" s="78" t="str">
        <x:v>No routine evidence access</x:v>
      </x:c>
      <x:c r="E12" s="78" t="str">
        <x:v>None</x:v>
      </x:c>
      <x:c r="F12" s="78" t="str">
        <x:v>None</x:v>
      </x:c>
      <x:c r="G12" s="78" t="str">
        <x:v>Privileged security logs</x:v>
      </x:c>
      <x:c r="H12" s="78" t="str">
        <x:v>No routine access</x:v>
      </x:c>
      <x:c r="I12" s="78" t="str">
        <x:v>Security admin only</x:v>
      </x:c>
      <x:c r="J12" s="79" t="str">
        <x:v>Privileged activity logged and reviewed.</x:v>
      </x:c>
    </x:row>
    <x:row r="13">
      <x:c r="A13" s="77" t="str">
        <x:v>Audit / Compliance</x:v>
      </x:c>
      <x:c r="B13" s="78" t="str">
        <x:v>Independent review and assurance</x:v>
      </x:c>
      <x:c r="C13" s="78" t="str">
        <x:v>Read-only as authorised</x:v>
      </x:c>
      <x:c r="D13" s="78" t="str">
        <x:v>Read-only as necessary</x:v>
      </x:c>
      <x:c r="E13" s="78" t="str">
        <x:v>None</x:v>
      </x:c>
      <x:c r="F13" s="78" t="str">
        <x:v>None</x:v>
      </x:c>
      <x:c r="G13" s="78" t="str">
        <x:v>Read authorised audit evidence</x:v>
      </x:c>
      <x:c r="H13" s="78" t="str">
        <x:v>Read reviewed output/evidence where necessary</x:v>
      </x:c>
      <x:c r="I13" s="78" t="str">
        <x:v>None</x:v>
      </x:c>
      <x:c r="J13" s="79" t="str">
        <x:v>No operational modification rights.</x:v>
      </x:c>
    </x:row>
    <x:row r="14">
      <x:c r="A14" s="80" t="str">
        <x:v>AI Service</x:v>
      </x:c>
      <x:c r="B14" s="81" t="str">
        <x:v>Generate controlled draft evidence/handoff summaries</x:v>
      </x:c>
      <x:c r="C14" s="81" t="str">
        <x:v>Minimum task context via service</x:v>
      </x:c>
      <x:c r="D14" s="81" t="str">
        <x:v>Selected evidence/context only</x:v>
      </x:c>
      <x:c r="E14" s="81" t="str">
        <x:v>None</x:v>
      </x:c>
      <x:c r="F14" s="81" t="str">
        <x:v>None</x:v>
      </x:c>
      <x:c r="G14" s="81" t="str">
        <x:v>Service activity logged</x:v>
      </x:c>
      <x:c r="H14" s="81" t="str">
        <x:v>Generate derived output only</x:v>
      </x:c>
      <x:c r="I14" s="81" t="str">
        <x:v>No business/admin authority</x:v>
      </x:c>
      <x:c r="J14" s="82" t="str">
        <x:v>No direct authoritative writes; human review mandatory.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8" hidden="0" customWidth="1"/>
    <x:col min="4" max="4" width="28" hidden="0" customWidth="1"/>
    <x:col min="5" max="5" width="46" hidden="0" customWidth="1"/>
    <x:col min="6" max="6" width="38" hidden="0" customWidth="1"/>
    <x:col min="7" max="7" width="26" hidden="0" customWidth="1"/>
    <x:col min="8" max="8" width="24" hidden="0" customWidth="1"/>
  </x:cols>
  <x:sheetData>
    <x:row r="1">
      <x:c r="A1" s="5" t="str">
        <x:v>PayFix AI 2.0 — Retention and Deletion Design</x:v>
      </x:c>
      <x:c r="B1" s="5"/>
      <x:c r="C1" s="5"/>
      <x:c r="D1" s="5"/>
      <x:c r="E1" s="5"/>
      <x:c r="F1" s="5"/>
      <x:c r="G1" s="5"/>
      <x:c r="H1" s="5"/>
    </x:row>
    <x:row r="2">
      <x:c r="A2" s="34" t="str">
        <x:v>No retention periods are invented in this portfolio. Production periods must be justified against purpose, legal/regulatory obligations and organisational records policy.</x:v>
      </x:c>
      <x:c r="B2" s="34"/>
      <x:c r="C2" s="34"/>
      <x:c r="D2" s="34"/>
      <x:c r="E2" s="34"/>
      <x:c r="F2" s="34"/>
      <x:c r="G2" s="34"/>
      <x:c r="H2" s="34"/>
    </x:row>
    <x:row r="4">
      <x:c r="A4" s="74" t="str">
        <x:v>Record Type</x:v>
      </x:c>
      <x:c r="B4" s="75" t="str">
        <x:v>Purpose</x:v>
      </x:c>
      <x:c r="C4" s="75" t="str">
        <x:v>Retention Position</x:v>
      </x:c>
      <x:c r="D4" s="75" t="str">
        <x:v>Retention Trigger</x:v>
      </x:c>
      <x:c r="E4" s="75" t="str">
        <x:v>Deletion / Anonymisation Approach</x:v>
      </x:c>
      <x:c r="F4" s="75" t="str">
        <x:v>Review / Hold Exception</x:v>
      </x:c>
      <x:c r="G4" s="75" t="str">
        <x:v>Owner</x:v>
      </x:c>
      <x:c r="H4" s="76" t="str">
        <x:v>Current Status</x:v>
      </x:c>
    </x:row>
    <x:row r="5">
      <x:c r="A5" s="77" t="str">
        <x:v>Dispute case record</x:v>
      </x:c>
      <x:c r="B5" s="78" t="str">
        <x:v>Operate and evidence dispute lifecycle</x:v>
      </x:c>
      <x:c r="C5" s="78" t="str">
        <x:v>Period to be approved before production</x:v>
      </x:c>
      <x:c r="D5" s="78" t="str">
        <x:v>Case closure / final outcome</x:v>
      </x:c>
      <x:c r="E5" s="78" t="str">
        <x:v>Delete or anonymise when no longer required, subject to approved obligations.</x:v>
      </x:c>
      <x:c r="F5" s="78" t="str">
        <x:v>Legal hold, complaint, fraud or regulatory need may alter disposal.</x:v>
      </x:c>
      <x:c r="G5" s="78" t="str">
        <x:v>Records / Product / Legal</x:v>
      </x:c>
      <x:c r="H5" s="79" t="str">
        <x:v>Policy Decision Required</x:v>
      </x:c>
    </x:row>
    <x:row r="6">
      <x:c r="A6" s="77" t="str">
        <x:v>Customer evidence</x:v>
      </x:c>
      <x:c r="B6" s="78" t="str">
        <x:v>Support assessment and decision</x:v>
      </x:c>
      <x:c r="C6" s="78" t="str">
        <x:v>Period to be approved before production</x:v>
      </x:c>
      <x:c r="D6" s="78" t="str">
        <x:v>Evidence no longer needed for approved purpose</x:v>
      </x:c>
      <x:c r="E6" s="78" t="str">
        <x:v>Secure deletion; minimise duplicates and derivative copies.</x:v>
      </x:c>
      <x:c r="F6" s="78" t="str">
        <x:v>Hold only where approved/legal basis exists.</x:v>
      </x:c>
      <x:c r="G6" s="78" t="str">
        <x:v>Records / Privacy / Product</x:v>
      </x:c>
      <x:c r="H6" s="79" t="str">
        <x:v>Policy Decision Required</x:v>
      </x:c>
    </x:row>
    <x:row r="7">
      <x:c r="A7" s="77" t="str">
        <x:v>Complaint record</x:v>
      </x:c>
      <x:c r="B7" s="78" t="str">
        <x:v>Handle and evidence complaint</x:v>
      </x:c>
      <x:c r="C7" s="78" t="str">
        <x:v>Period to be approved before production</x:v>
      </x:c>
      <x:c r="D7" s="78" t="str">
        <x:v>Complaint closure</x:v>
      </x:c>
      <x:c r="E7" s="78" t="str">
        <x:v>Dispose according to approved complaint/records policy.</x:v>
      </x:c>
      <x:c r="F7" s="78" t="str">
        <x:v>Legal/regulatory hold where applicable.</x:v>
      </x:c>
      <x:c r="G7" s="78" t="str">
        <x:v>Complaints / Legal</x:v>
      </x:c>
      <x:c r="H7" s="79" t="str">
        <x:v>Policy Decision Required</x:v>
      </x:c>
    </x:row>
    <x:row r="8">
      <x:c r="A8" s="77" t="str">
        <x:v>Fraud referral record</x:v>
      </x:c>
      <x:c r="B8" s="78" t="str">
        <x:v>Support authorised fraud assessment</x:v>
      </x:c>
      <x:c r="C8" s="78" t="str">
        <x:v>Period to be approved before production</x:v>
      </x:c>
      <x:c r="D8" s="78" t="str">
        <x:v>Referral/investigation closure</x:v>
      </x:c>
      <x:c r="E8" s="78" t="str">
        <x:v>Controlled deletion/anonymisation after approved retention.</x:v>
      </x:c>
      <x:c r="F8" s="78" t="str">
        <x:v>Fraud/legal requirements may apply.</x:v>
      </x:c>
      <x:c r="G8" s="78" t="str">
        <x:v>Fraud / Legal / Privacy</x:v>
      </x:c>
      <x:c r="H8" s="79" t="str">
        <x:v>Policy Decision Required</x:v>
      </x:c>
    </x:row>
    <x:row r="9">
      <x:c r="A9" s="77" t="str">
        <x:v>Decision/approval history</x:v>
      </x:c>
      <x:c r="B9" s="78" t="str">
        <x:v>Accountability and audit</x:v>
      </x:c>
      <x:c r="C9" s="78" t="str">
        <x:v>Period to be approved before production</x:v>
      </x:c>
      <x:c r="D9" s="78" t="str">
        <x:v>Case closure / final decision</x:v>
      </x:c>
      <x:c r="E9" s="78" t="str">
        <x:v>Retain only required audit evidence, then dispose securely.</x:v>
      </x:c>
      <x:c r="F9" s="78" t="str">
        <x:v>Legal/regulatory hold may apply.</x:v>
      </x:c>
      <x:c r="G9" s="78" t="str">
        <x:v>Product / Audit / Records</x:v>
      </x:c>
      <x:c r="H9" s="79" t="str">
        <x:v>Policy Decision Required</x:v>
      </x:c>
    </x:row>
    <x:row r="10">
      <x:c r="A10" s="77" t="str">
        <x:v>Audit/security logs</x:v>
      </x:c>
      <x:c r="B10" s="78" t="str">
        <x:v>Security, investigation and accountability</x:v>
      </x:c>
      <x:c r="C10" s="78" t="str">
        <x:v>Period to be risk-justified before production</x:v>
      </x:c>
      <x:c r="D10" s="78" t="str">
        <x:v>Log creation</x:v>
      </x:c>
      <x:c r="E10" s="78" t="str">
        <x:v>Secure expiry/deletion after approved operational/security need.</x:v>
      </x:c>
      <x:c r="F10" s="78" t="str">
        <x:v>Incident/legal hold may extend.</x:v>
      </x:c>
      <x:c r="G10" s="78" t="str">
        <x:v>Security / Operations</x:v>
      </x:c>
      <x:c r="H10" s="79" t="str">
        <x:v>Policy Decision Required</x:v>
      </x:c>
    </x:row>
    <x:row r="11">
      <x:c r="A11" s="77" t="str">
        <x:v>AI prompt/context and output</x:v>
      </x:c>
      <x:c r="B11" s="78" t="str">
        <x:v>Controlled AI assistance and evaluation</x:v>
      </x:c>
      <x:c r="C11" s="78" t="str">
        <x:v>Provider/system retention position must be explicitly approved</x:v>
      </x:c>
      <x:c r="D11" s="78" t="str">
        <x:v>Task completion / case lifecycle as applicable</x:v>
      </x:c>
      <x:c r="E11" s="78" t="str">
        <x:v>Minimise storage; delete or retain only where justified for case/audit/evaluation purpose.</x:v>
      </x:c>
      <x:c r="F11" s="78" t="str">
        <x:v>Investigation/evaluation hold must be documented.</x:v>
      </x:c>
      <x:c r="G11" s="78" t="str">
        <x:v>AI Owner / Privacy / Security</x:v>
      </x:c>
      <x:c r="H11" s="79" t="str">
        <x:v>Policy Decision Required</x:v>
      </x:c>
    </x:row>
    <x:row r="12">
      <x:c r="A12" s="80" t="str">
        <x:v>Synthetic evaluation dataset</x:v>
      </x:c>
      <x:c r="B12" s="81" t="str">
        <x:v>Portfolio evaluation only</x:v>
      </x:c>
      <x:c r="C12" s="81" t="str">
        <x:v>Retain as portfolio evidence where it contains no real personal data</x:v>
      </x:c>
      <x:c r="D12" s="81" t="str">
        <x:v>Portfolio lifecycle</x:v>
      </x:c>
      <x:c r="E12" s="81" t="str">
        <x:v>Archive/delete under project evidence policy.</x:v>
      </x:c>
      <x:c r="F12" s="81" t="str">
        <x:v>None related to personal-data rights if genuinely synthetic.</x:v>
      </x:c>
      <x:c r="G12" s="81" t="str">
        <x:v>Portfolio Owner</x:v>
      </x:c>
      <x:c r="H12" s="82" t="str">
        <x:v>Synthetic - Portfolio Evidence</x:v>
      </x:c>
    </x:row>
  </x:sheetData>
  <x:mergeCells>
    <x:mergeCell ref="A1:H1"/>
    <x:mergeCell ref="A2:H2"/>
  </x:mergeCells>
  <x:conditionalFormatting sqref="H5:H20">
    <x:cfRule type="expression" dxfId="7" priority="1">
      <x:formula>H5="Policy Decision Required"</x:formula>
    </x:cfRule>
    <x:cfRule type="expression" dxfId="8" priority="2">
      <x:formula>H5="Synthetic - Portfolio Evidence"</x:formula>
    </x:cfRule>
  </x:conditionalFormatting>
  <x:dataValidations count="1">
    <x:dataValidation type="list" sqref="H5:H20">
      <x:formula1>"Policy Decision Required,Synthetic - Portfolio Evidence,Approved,Implemented"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46" hidden="0" customWidth="1"/>
    <x:col min="4" max="4" width="34" hidden="0" customWidth="1"/>
    <x:col min="5" max="5" width="32" hidden="0" customWidth="1"/>
    <x:col min="6" max="6" width="24" hidden="0" customWidth="1"/>
    <x:col min="7" max="7" width="44" hidden="0" customWidth="1"/>
    <x:col min="8" max="8" width="28" hidden="0" customWidth="1"/>
    <x:col min="9" max="9" width="42" hidden="0" customWidth="1"/>
    <x:col min="10" max="10" width="34" hidden="0" customWidth="1"/>
  </x:cols>
  <x:sheetData>
    <x:row r="1">
      <x:c r="A1" s="5" t="str">
        <x:v>PayFix AI 2.0 — Controlled AI Privacy and Security Controls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0" t="str">
        <x:v>H3 AI remains assistive. Evidence Summarisation and Handoff Summarisation are the only controlled pilot use cases. Human review is mandatory and AI has no authoritative decision/write authority.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>
      <x:c r="A4" s="74" t="str">
        <x:v>AI Control ID</x:v>
      </x:c>
      <x:c r="B4" s="75" t="str">
        <x:v>Risk / Concern</x:v>
      </x:c>
      <x:c r="C4" s="75" t="str">
        <x:v>Control Design</x:v>
      </x:c>
      <x:c r="D4" s="75" t="str">
        <x:v>Human Oversight</x:v>
      </x:c>
      <x:c r="E4" s="75" t="str">
        <x:v>Current Evidence</x:v>
      </x:c>
      <x:c r="F4" s="75" t="str">
        <x:v>Current Status</x:v>
      </x:c>
      <x:c r="G4" s="75" t="str">
        <x:v>Production Evidence Needed</x:v>
      </x:c>
      <x:c r="H4" s="75" t="str">
        <x:v>Owner / Reviewer</x:v>
      </x:c>
      <x:c r="I4" s="75" t="str">
        <x:v>Source URL</x:v>
      </x:c>
      <x:c r="J4" s="76" t="str">
        <x:v>Notes</x:v>
      </x:c>
    </x:row>
    <x:row r="5">
      <x:c r="A5" s="77" t="str">
        <x:v>AI-SEC-01</x:v>
      </x:c>
      <x:c r="B5" s="78" t="str">
        <x:v>Real personal data unintentionally used during portfolio testing</x:v>
      </x:c>
      <x:c r="C5" s="78" t="str">
        <x:v>Use synthetic evaluation data only.</x:v>
      </x:c>
      <x:c r="D5" s="78" t="str">
        <x:v>N/A for synthetic data preparation</x:v>
      </x:c>
      <x:c r="E5" s="78" t="str">
        <x:v>Step 28 synthetic dataset</x:v>
      </x:c>
      <x:c r="F5" s="78" t="str">
        <x:v>Prototype Evidence Available</x:v>
      </x:c>
      <x:c r="G5" s="78" t="str">
        <x:v>Production data-governance approval before any real data use.</x:v>
      </x:c>
      <x:c r="H5" s="78" t="str">
        <x:v>AI Owner / Privacy</x:v>
      </x:c>
      <x:c r="I5" s="78" t="str">
        <x:v>https://ico.org.uk/for-organisations/uk-gdpr-guidance-and-resources/artificial-intelligence/guidance-on-ai-and-data-protection/ai-and-data-protection-risk-toolkit/</x:v>
      </x:c>
      <x:c r="J5" s="79" t="str">
        <x:v>Current portfolio contains synthetic evaluation evidence.</x:v>
      </x:c>
    </x:row>
    <x:row r="6">
      <x:c r="A6" s="77" t="str">
        <x:v>AI-SEC-02</x:v>
      </x:c>
      <x:c r="B6" s="78" t="str">
        <x:v>Excessive customer/context data sent to model</x:v>
      </x:c>
      <x:c r="C6" s="78" t="str">
        <x:v>Minimum necessary task context; exclude irrelevant fields and secrets.</x:v>
      </x:c>
      <x:c r="D6" s="78" t="str">
        <x:v>Reviewer can reject/disregard output and source context.</x:v>
      </x:c>
      <x:c r="E6" s="78" t="str">
        <x:v>Step 27 prompt/context design</x:v>
      </x:c>
      <x:c r="F6" s="78" t="str">
        <x:v>Design Defined</x:v>
      </x:c>
      <x:c r="G6" s="78" t="str">
        <x:v>Implemented context filters and data-flow test evidence.</x:v>
      </x:c>
      <x:c r="H6" s="78" t="str">
        <x:v>AI Owner / Privacy / Engineering</x:v>
      </x:c>
      <x:c r="I6" s="78" t="str">
        <x:v>https://ico.org.uk/for-organisations/uk-gdpr-guidance-and-resources/artificial-intelligence/guidance-on-ai-and-data-protection/ai-and-data-protection-risk-toolkit/</x:v>
      </x:c>
      <x:c r="J6" s="79" t="str">
        <x:v>Minimisation applies before model call.</x:v>
      </x:c>
    </x:row>
    <x:row r="7">
      <x:c r="A7" s="77" t="str">
        <x:v>AI-SEC-03</x:v>
      </x:c>
      <x:c r="B7" s="78" t="str">
        <x:v>AI invents unsupported facts</x:v>
      </x:c>
      <x:c r="C7" s="78" t="str">
        <x:v>Ground summary in supplied case/evidence context and require source-aware review.</x:v>
      </x:c>
      <x:c r="D7" s="78" t="str">
        <x:v>Accept / Correct / Reject / Disregard</x:v>
      </x:c>
      <x:c r="E7" s="78" t="str">
        <x:v>Step 27 + Step 28 evaluation</x:v>
      </x:c>
      <x:c r="F7" s="78" t="str">
        <x:v>Prototype Evidence Available</x:v>
      </x:c>
      <x:c r="G7" s="78" t="str">
        <x:v>Production evaluation and monitoring evidence.</x:v>
      </x:c>
      <x:c r="H7" s="78" t="str">
        <x:v>AI Owner / Operations</x:v>
      </x:c>
      <x:c r="I7" s="78" t="str">
        <x:v>https://ico.org.uk/for-organisations/uk-gdpr-guidance-and-resources/artificial-intelligence/guidance-on-ai-and-data-protection/ai-and-data-protection-risk-toolkit/</x:v>
      </x:c>
      <x:c r="J7" s="79" t="str">
        <x:v>AI output is derived assistance.</x:v>
      </x:c>
    </x:row>
    <x:row r="8">
      <x:c r="A8" s="77" t="str">
        <x:v>AI-SEC-04</x:v>
      </x:c>
      <x:c r="B8" s="78" t="str">
        <x:v>Automation bias causes uncritical acceptance</x:v>
      </x:c>
      <x:c r="C8" s="78" t="str">
        <x:v>Meaningful human review by authorised staff before use.</x:v>
      </x:c>
      <x:c r="D8" s="78" t="str">
        <x:v>Mandatory reviewer authority to challenge output.</x:v>
      </x:c>
      <x:c r="E8" s="78" t="str">
        <x:v>Step 27 HITL model</x:v>
      </x:c>
      <x:c r="F8" s="78" t="str">
        <x:v>Design Defined</x:v>
      </x:c>
      <x:c r="G8" s="78" t="str">
        <x:v>Reviewer training, UI workflow and audit evidence.</x:v>
      </x:c>
      <x:c r="H8" s="78" t="str">
        <x:v>Product / Operations / Privacy</x:v>
      </x:c>
      <x:c r="I8" s="78" t="str">
        <x:v>https://ico.org.uk/for-organisations/advice-and-services/audits/data-protection-audit-framework/toolkits/artificial-intelligence/human-review/</x:v>
      </x:c>
      <x:c r="J8" s="79" t="str">
        <x:v>Human review must be meaningful, not ceremonial.</x:v>
      </x:c>
    </x:row>
    <x:row r="9">
      <x:c r="A9" s="77" t="str">
        <x:v>AI-SEC-05</x:v>
      </x:c>
      <x:c r="B9" s="78" t="str">
        <x:v>AI makes customer-impacting decision</x:v>
      </x:c>
      <x:c r="C9" s="78" t="str">
        <x:v>Prohibit autonomous refund, fraud or dispute-outcome decisions.</x:v>
      </x:c>
      <x:c r="D9" s="78" t="str">
        <x:v>Human decision/approval remains authoritative.</x:v>
      </x:c>
      <x:c r="E9" s="78" t="str">
        <x:v>Step 27 authority boundary</x:v>
      </x:c>
      <x:c r="F9" s="78" t="str">
        <x:v>Design Defined</x:v>
      </x:c>
      <x:c r="G9" s="78" t="str">
        <x:v>Negative testing and access-control evidence.</x:v>
      </x:c>
      <x:c r="H9" s="78" t="str">
        <x:v>Product / Security / Engineering</x:v>
      </x:c>
      <x:c r="I9" s="78" t="str">
        <x:v>https://ico.org.uk/for-organisations/advice-and-services/audits/data-protection-audit-framework/toolkits/artificial-intelligence/human-review/</x:v>
      </x:c>
      <x:c r="J9" s="79" t="str">
        <x:v>No production decision automation approved.</x:v>
      </x:c>
    </x:row>
    <x:row r="10">
      <x:c r="A10" s="77" t="str">
        <x:v>AI-SEC-06</x:v>
      </x:c>
      <x:c r="B10" s="78" t="str">
        <x:v>AI writes directly to authoritative case state</x:v>
      </x:c>
      <x:c r="C10" s="78" t="str">
        <x:v>No direct authoritative writes from AI service.</x:v>
      </x:c>
      <x:c r="D10" s="78" t="str">
        <x:v>Human-controlled save/decision action.</x:v>
      </x:c>
      <x:c r="E10" s="78" t="str">
        <x:v>Step 26/27 architecture</x:v>
      </x:c>
      <x:c r="F10" s="78" t="str">
        <x:v>Design Defined</x:v>
      </x:c>
      <x:c r="G10" s="78" t="str">
        <x:v>Technical enforcement and negative test evidence.</x:v>
      </x:c>
      <x:c r="H10" s="78" t="str">
        <x:v>Engineering / Security</x:v>
      </x:c>
      <x:c r="I10" s="78" t="str">
        <x:v>https://www.ncsc.gov.uk/collection/guidelines-secure-ai-system-development/introduction</x:v>
      </x:c>
      <x:c r="J10" s="79" t="str">
        <x:v>Derived assistance separated from authoritative state.</x:v>
      </x:c>
    </x:row>
    <x:row r="11">
      <x:c r="A11" s="77" t="str">
        <x:v>AI-SEC-07</x:v>
      </x:c>
      <x:c r="B11" s="78" t="str">
        <x:v>Prompt injection or malicious evidence manipulates model</x:v>
      </x:c>
      <x:c r="C11" s="78" t="str">
        <x:v>Treat evidence/user content as untrusted; constrain prompt, tools and output use.</x:v>
      </x:c>
      <x:c r="D11" s="78" t="str">
        <x:v>Reviewer remains final control.</x:v>
      </x:c>
      <x:c r="E11" s="78" t="str">
        <x:v>Step 27 guardrails + Step 28 GS tests</x:v>
      </x:c>
      <x:c r="F11" s="78" t="str">
        <x:v>Prototype Evidence Available</x:v>
      </x:c>
      <x:c r="G11" s="78" t="str">
        <x:v>Adversarial/security testing in target architecture.</x:v>
      </x:c>
      <x:c r="H11" s="78" t="str">
        <x:v>Security / AI Owner</x:v>
      </x:c>
      <x:c r="I11" s="78" t="str">
        <x:v>https://www.ncsc.gov.uk/collection/guidelines-secure-ai-system-development/introduction</x:v>
      </x:c>
      <x:c r="J11" s="79" t="str">
        <x:v>No tool or privileged action granted to model.</x:v>
      </x:c>
    </x:row>
    <x:row r="12">
      <x:c r="A12" s="77" t="str">
        <x:v>AI-SEC-08</x:v>
      </x:c>
      <x:c r="B12" s="78" t="str">
        <x:v>Secrets or credentials leak to model/provider</x:v>
      </x:c>
      <x:c r="C12" s="78" t="str">
        <x:v>Block secrets from prompts and keep credentials in managed secret storage.</x:v>
      </x:c>
      <x:c r="D12" s="78" t="str">
        <x:v>Operational review of integration/configuration.</x:v>
      </x:c>
      <x:c r="E12" s="78" t="str">
        <x:v>Step 28 prototype handling lessons</x:v>
      </x:c>
      <x:c r="F12" s="78" t="str">
        <x:v>Design Defined</x:v>
      </x:c>
      <x:c r="G12" s="78" t="str">
        <x:v>Secret scanning and integration security evidence.</x:v>
      </x:c>
      <x:c r="H12" s="78" t="str">
        <x:v>Engineering / Security</x:v>
      </x:c>
      <x:c r="I12" s="78" t="str">
        <x:v>https://www.ncsc.gov.uk/collection/developers-collection/principles/secure-your-development-environment</x:v>
      </x:c>
      <x:c r="J12" s="79" t="str">
        <x:v>No keys in GitHub or screenshots.</x:v>
      </x:c>
    </x:row>
    <x:row r="13">
      <x:c r="A13" s="77" t="str">
        <x:v>AI-SEC-09</x:v>
      </x:c>
      <x:c r="B13" s="78" t="str">
        <x:v>Provider retains/uses production data beyond approved purpose</x:v>
      </x:c>
      <x:c r="C13" s="78" t="str">
        <x:v>Production provider terms, data handling, retention and processor/subprocessor position must be reviewed.</x:v>
      </x:c>
      <x:c r="D13" s="78" t="str">
        <x:v>Privacy/security approval before production.</x:v>
      </x:c>
      <x:c r="E13" s="78" t="str">
        <x:v>No production provider selected</x:v>
      </x:c>
      <x:c r="F13" s="78" t="str">
        <x:v>Requires Governance Decision</x:v>
      </x:c>
      <x:c r="G13" s="78" t="str">
        <x:v>Supplier due diligence and approved contract/data-flow evidence.</x:v>
      </x:c>
      <x:c r="H13" s="78" t="str">
        <x:v>Privacy / Procurement / Security</x:v>
      </x:c>
      <x:c r="I13" s="78" t="str">
        <x:v>https://ico.org.uk/for-organisations/uk-gdpr-guidance-and-resources/artificial-intelligence/guidance-on-ai-and-data-protection/ai-and-data-protection-risk-toolkit/</x:v>
      </x:c>
      <x:c r="J13" s="79" t="str">
        <x:v>Prototype provider dependency is not a production recommendation.</x:v>
      </x:c>
    </x:row>
    <x:row r="14">
      <x:c r="A14" s="77" t="str">
        <x:v>AI-SEC-10</x:v>
      </x:c>
      <x:c r="B14" s="78" t="str">
        <x:v>Data location/international transfer risk</x:v>
      </x:c>
      <x:c r="C14" s="78" t="str">
        <x:v>Confirm hosting/data location and applicable transfer safeguards before production.</x:v>
      </x:c>
      <x:c r="D14" s="78" t="str">
        <x:v>Privacy/legal approval.</x:v>
      </x:c>
      <x:c r="E14" s="78" t="str">
        <x:v>Not assessed for production</x:v>
      </x:c>
      <x:c r="F14" s="78" t="str">
        <x:v>Requires Governance Decision</x:v>
      </x:c>
      <x:c r="G14" s="78" t="str">
        <x:v>Approved international-transfer assessment where applicable.</x:v>
      </x:c>
      <x:c r="H14" s="78" t="str">
        <x:v>Privacy / Legal / Procurement</x:v>
      </x:c>
      <x:c r="I14" s="78" t="str">
        <x:v>https://ico.org.uk/for-organisations/uk-gdpr-guidance-and-resources/artificial-intelligence/guidance-on-ai-and-data-protection/ai-and-data-protection-risk-toolkit/</x:v>
      </x:c>
      <x:c r="J14" s="79" t="str">
        <x:v>No assumption about provider location.</x:v>
      </x:c>
    </x:row>
    <x:row r="15">
      <x:c r="A15" s="77" t="str">
        <x:v>AI-SEC-11</x:v>
      </x:c>
      <x:c r="B15" s="78" t="str">
        <x:v>AI unavailable or output unusable</x:v>
      </x:c>
      <x:c r="C15" s="78" t="str">
        <x:v>Core H1/H2 process continues without AI; safe fallback/disregard.</x:v>
      </x:c>
      <x:c r="D15" s="78" t="str">
        <x:v>Human continues manually/deterministically.</x:v>
      </x:c>
      <x:c r="E15" s="78" t="str">
        <x:v>Step 28 controlled failures + UAT-20</x:v>
      </x:c>
      <x:c r="F15" s="78" t="str">
        <x:v>Prototype Evidence Available</x:v>
      </x:c>
      <x:c r="G15" s="78" t="str">
        <x:v>Operational fallback tests/runbook.</x:v>
      </x:c>
      <x:c r="H15" s="78" t="str">
        <x:v>Product / Operations / Engineering</x:v>
      </x:c>
      <x:c r="I15" s="78" t="str">
        <x:v>https://www.ncsc.gov.uk/collection/guidelines-secure-ai-system-development/introduction</x:v>
      </x:c>
      <x:c r="J15" s="79" t="str">
        <x:v>AI is non-critical to core authority.</x:v>
      </x:c>
    </x:row>
    <x:row r="16">
      <x:c r="A16" s="77" t="str">
        <x:v>AI-SEC-12</x:v>
      </x:c>
      <x:c r="B16" s="78" t="str">
        <x:v>AI behaviour cannot be investigated</x:v>
      </x:c>
      <x:c r="C16" s="78" t="str">
        <x:v>Log model/config version, permitted context reference, output and human disposition where proportionate.</x:v>
      </x:c>
      <x:c r="D16" s="78" t="str">
        <x:v>Human disposition recorded.</x:v>
      </x:c>
      <x:c r="E16" s="78" t="str">
        <x:v>Step 28 evaluation evidence</x:v>
      </x:c>
      <x:c r="F16" s="78" t="str">
        <x:v>Design Defined</x:v>
      </x:c>
      <x:c r="G16" s="78" t="str">
        <x:v>Production logging/monitoring and retention design.</x:v>
      </x:c>
      <x:c r="H16" s="78" t="str">
        <x:v>AI Owner / Security / Operations</x:v>
      </x:c>
      <x:c r="I16" s="78" t="str">
        <x:v>https://www.ncsc.gov.uk/collection/technology-assurance/principles-product-design-and-functionality/6-security-events-should-be-logged-and-monitored</x:v>
      </x:c>
      <x:c r="J16" s="79" t="str">
        <x:v>Avoid logging unnecessary sensitive content.</x:v>
      </x:c>
    </x:row>
    <x:row r="17">
      <x:c r="A17" s="77" t="str">
        <x:v>AI-SEC-13</x:v>
      </x:c>
      <x:c r="B17" s="78" t="str">
        <x:v>Privacy risk not assessed before real-data deployment</x:v>
      </x:c>
      <x:c r="C17" s="78" t="str">
        <x:v>DPIA screening and full DPIA where indicated before production processing.</x:v>
      </x:c>
      <x:c r="D17" s="78" t="str">
        <x:v>Authorised privacy review/approval.</x:v>
      </x:c>
      <x:c r="E17" s="78" t="str">
        <x:v>Step 32 design</x:v>
      </x:c>
      <x:c r="F17" s="78" t="str">
        <x:v>Requires Governance Decision</x:v>
      </x:c>
      <x:c r="G17" s="78" t="str">
        <x:v>Completed DPIA with residual-risk decision.</x:v>
      </x:c>
      <x:c r="H17" s="78" t="str">
        <x:v>Privacy / Product / Security</x:v>
      </x:c>
      <x:c r="I17" s="78" t="str">
        <x:v>https://ico.org.uk/for-organisations/uk-gdpr-guidance-and-resources/accountability-and-governance/data-protection-impact-assessments-dpias/when-do-we-need-to-do-a-dpia/</x:v>
      </x:c>
      <x:c r="J17" s="79" t="str">
        <x:v>Portfolio screening indicates full DPIA should be completed before production.</x:v>
      </x:c>
    </x:row>
    <x:row r="18">
      <x:c r="A18" s="77" t="str">
        <x:v>AI-SEC-14</x:v>
      </x:c>
      <x:c r="B18" s="78" t="str">
        <x:v>Model/service changes silently alter behaviour</x:v>
      </x:c>
      <x:c r="C18" s="78" t="str">
        <x:v>Control model/provider/config changes and re-evaluate material changes.</x:v>
      </x:c>
      <x:c r="D18" s="78" t="str">
        <x:v>Human governance approval for material change.</x:v>
      </x:c>
      <x:c r="E18" s="78" t="str">
        <x:v>Step 27 evaluation framework</x:v>
      </x:c>
      <x:c r="F18" s="78" t="str">
        <x:v>Design Defined</x:v>
      </x:c>
      <x:c r="G18" s="78" t="str">
        <x:v>Change record, regression evaluation and approval evidence.</x:v>
      </x:c>
      <x:c r="H18" s="78" t="str">
        <x:v>AI Owner / Change Authority</x:v>
      </x:c>
      <x:c r="I18" s="78" t="str">
        <x:v>https://www.ncsc.gov.uk/collection/guidelines-secure-ai-system-development/introduction</x:v>
      </x:c>
      <x:c r="J18" s="79" t="str">
        <x:v>No silent production model swaps.</x:v>
      </x:c>
    </x:row>
    <x:row r="19">
      <x:c r="A19" s="80" t="str">
        <x:v>AI-SEC-15</x:v>
      </x:c>
      <x:c r="B19" s="81" t="str">
        <x:v>AI used beyond approved scope</x:v>
      </x:c>
      <x:c r="C19" s="81" t="str">
        <x:v>Explicitly constrain approved use cases to Evidence Summarisation and Handoff Summarisation unless separately assessed.</x:v>
      </x:c>
      <x:c r="D19" s="81" t="str">
        <x:v>Human/product governance must approve scope changes.</x:v>
      </x:c>
      <x:c r="E19" s="81" t="str">
        <x:v>Step 27 H3 scope</x:v>
      </x:c>
      <x:c r="F19" s="81" t="str">
        <x:v>Design Defined</x:v>
      </x:c>
      <x:c r="G19" s="81" t="str">
        <x:v>Approved change assessment for any additional use case.</x:v>
      </x:c>
      <x:c r="H19" s="81" t="str">
        <x:v>Product / Privacy / Risk</x:v>
      </x:c>
      <x:c r="I19" s="81" t="str">
        <x:v>https://ico.org.uk/for-organisations/uk-gdpr-guidance-and-resources/artificial-intelligence/guidance-on-ai-and-data-protection/ai-and-data-protection-risk-toolkit/</x:v>
      </x:c>
      <x:c r="J19" s="82" t="str">
        <x:v>H4 remains conditional, not committed.</x:v>
      </x:c>
    </x:row>
  </x:sheetData>
  <x:mergeCells>
    <x:mergeCell ref="A1:J1"/>
    <x:mergeCell ref="A2:J2"/>
  </x:mergeCells>
  <x:conditionalFormatting sqref="F5:F100">
    <x:cfRule type="expression" dxfId="9" priority="1">
      <x:formula>F5="Prototype Evidence Available"</x:formula>
    </x:cfRule>
    <x:cfRule type="expression" dxfId="10" priority="2">
      <x:formula>F5="Design Defined"</x:formula>
    </x:cfRule>
    <x:cfRule type="expression" dxfId="11" priority="3">
      <x:formula>F5="Requires Governance Decision"</x:formula>
    </x:cfRule>
    <x:cfRule type="expression" dxfId="12" priority="4">
      <x:formula>F5="Requires Implementation Evidence"</x:formula>
    </x:cfRule>
  </x:conditionalFormatting>
  <x:dataValidations count="1">
    <x:dataValidation type="list" sqref="F5:F100">
      <x:formula1>"Design Defined,Prototype Evidence Available,Requires Governance Decision,Requires Implementation Evidence"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5" hidden="0" customWidth="1"/>
    <x:col min="5" max="5" width="30" hidden="0" customWidth="1"/>
    <x:col min="6" max="6" width="44" hidden="0" customWidth="1"/>
    <x:col min="7" max="7" width="28" hidden="0" customWidth="1"/>
    <x:col min="8" max="8" width="18" hidden="0" customWidth="1"/>
  </x:cols>
  <x:sheetData>
    <x:row r="1">
      <x:c r="A1" s="5" t="str">
        <x:v>PayFix AI 2.0 — Step 32 Assurance Summary</x:v>
      </x:c>
      <x:c r="B1" s="5"/>
      <x:c r="C1" s="5"/>
      <x:c r="D1" s="5"/>
      <x:c r="E1" s="5"/>
      <x:c r="F1" s="5"/>
      <x:c r="G1" s="5"/>
      <x:c r="H1" s="5"/>
    </x:row>
    <x:row r="3">
      <x:c r="A3" s="47" t="str">
        <x:v>Portfolio / Prototype Position</x:v>
      </x:c>
      <x:c r="B3" s="54" t="str">
        <x:v>Synthetic data only; no production customer-data processing claimed</x:v>
      </x:c>
      <x:c r="D3" s="19" t="str">
        <x:v>Production Assurance Gates — must be evidenced before approval</x:v>
      </x:c>
      <x:c r="E3" s="19"/>
      <x:c r="F3" s="19"/>
      <x:c r="G3" s="19"/>
      <x:c r="H3" s="19"/>
    </x:row>
    <x:row r="5">
      <x:c r="A5" s="47" t="str">
        <x:v>Production Assurance Position</x:v>
      </x:c>
      <x:c r="B5" s="60" t="str">
        <x:v>NOT READY FOR PRODUCTION APPROVAL</x:v>
      </x:c>
      <x:c r="D5" s="74" t="str">
        <x:v>Gate</x:v>
      </x:c>
      <x:c r="E5" s="75" t="str">
        <x:v>Current Position</x:v>
      </x:c>
      <x:c r="F5" s="75" t="str">
        <x:v>Required Before Production</x:v>
      </x:c>
      <x:c r="G5" s="75" t="str">
        <x:v>Decision Owner</x:v>
      </x:c>
      <x:c r="H5" s="76" t="str">
        <x:v>Status</x:v>
      </x:c>
    </x:row>
    <x:row r="6">
      <x:c r="D6" s="77" t="str">
        <x:v>Privacy governance</x:v>
      </x:c>
      <x:c r="E6" s="78" t="str">
        <x:v>Lawful basis/notice/ROPA not finalised</x:v>
      </x:c>
      <x:c r="F6" s="78" t="str">
        <x:v>Controller privacy governance approved</x:v>
      </x:c>
      <x:c r="G6" s="78" t="str">
        <x:v>Privacy / Legal</x:v>
      </x:c>
      <x:c r="H6" s="79" t="str">
        <x:v>Open</x:v>
      </x:c>
    </x:row>
    <x:row r="7">
      <x:c r="A7" s="74" t="str">
        <x:v>Assurance Metric</x:v>
      </x:c>
      <x:c r="B7" s="76" t="str">
        <x:v>Count</x:v>
      </x:c>
      <x:c r="D7" s="77" t="str">
        <x:v>DPIA</x:v>
      </x:c>
      <x:c r="E7" s="78" t="str">
        <x:v>Screening indicates full DPIA should be completed</x:v>
      </x:c>
      <x:c r="F7" s="78" t="str">
        <x:v>Approved DPIA and residual-risk decision</x:v>
      </x:c>
      <x:c r="G7" s="78" t="str">
        <x:v>Privacy / Product / Security</x:v>
      </x:c>
      <x:c r="H7" s="79" t="str">
        <x:v>Open</x:v>
      </x:c>
    </x:row>
    <x:row r="8">
      <x:c r="A8" s="92" t="str">
        <x:v>Total assurance controls</x:v>
      </x:c>
      <x:c r="B8" s="93" t="n">
        <x:f>COUNTA(Assurance_Register!A5:A34)</x:f>
        <x:v>30</x:v>
      </x:c>
      <x:c r="D8" s="77" t="str">
        <x:v>Retention</x:v>
      </x:c>
      <x:c r="E8" s="78" t="str">
        <x:v>No invented retention periods</x:v>
      </x:c>
      <x:c r="F8" s="78" t="str">
        <x:v>Approved retention/deletion schedule</x:v>
      </x:c>
      <x:c r="G8" s="78" t="str">
        <x:v>Records / Privacy / Legal</x:v>
      </x:c>
      <x:c r="H8" s="79" t="str">
        <x:v>Open</x:v>
      </x:c>
    </x:row>
    <x:row r="9">
      <x:c r="A9" s="92" t="str">
        <x:v>Design Defined</x:v>
      </x:c>
      <x:c r="B9" s="93" t="n">
        <x:f>COUNTIF(Assurance_Register!E5:E34,"Design Defined")</x:f>
        <x:v>14</x:v>
      </x:c>
      <x:c r="D9" s="77" t="str">
        <x:v>Access &amp; identity</x:v>
      </x:c>
      <x:c r="E9" s="78" t="str">
        <x:v>Logical RBAC designed</x:v>
      </x:c>
      <x:c r="F9" s="78" t="str">
        <x:v>Implemented RBAC, MFA, access tests and reviews</x:v>
      </x:c>
      <x:c r="G9" s="78" t="str">
        <x:v>Security / Engineering</x:v>
      </x:c>
      <x:c r="H9" s="79" t="str">
        <x:v>Open</x:v>
      </x:c>
    </x:row>
    <x:row r="10">
      <x:c r="A10" s="92" t="str">
        <x:v>Prototype Evidence Available</x:v>
      </x:c>
      <x:c r="B10" s="93" t="n">
        <x:f>COUNTIF(Assurance_Register!E5:E34,"Prototype Evidence Available")</x:f>
        <x:v>3</x:v>
      </x:c>
      <x:c r="D10" s="77" t="str">
        <x:v>Security controls</x:v>
      </x:c>
      <x:c r="E10" s="78" t="str">
        <x:v>Architecture/control design exists</x:v>
      </x:c>
      <x:c r="F10" s="78" t="str">
        <x:v>Encryption, logging, vulnerability and security-test evidence</x:v>
      </x:c>
      <x:c r="G10" s="78" t="str">
        <x:v>Security / Engineering</x:v>
      </x:c>
      <x:c r="H10" s="79" t="str">
        <x:v>Open</x:v>
      </x:c>
    </x:row>
    <x:row r="11">
      <x:c r="A11" s="92" t="str">
        <x:v>Requires Implementation Evidence</x:v>
      </x:c>
      <x:c r="B11" s="93" t="n">
        <x:f>COUNTIF(Assurance_Register!E5:E34,"Requires Implementation Evidence")</x:f>
        <x:v>5</x:v>
      </x:c>
      <x:c r="D11" s="77" t="str">
        <x:v>AI supplier assurance</x:v>
      </x:c>
      <x:c r="E11" s="78" t="str">
        <x:v>No production model/provider selected</x:v>
      </x:c>
      <x:c r="F11" s="78" t="str">
        <x:v>Provider security/privacy/contract/data-flow assessment</x:v>
      </x:c>
      <x:c r="G11" s="78" t="str">
        <x:v>Procurement / Privacy / Security</x:v>
      </x:c>
      <x:c r="H11" s="79" t="str">
        <x:v>Open</x:v>
      </x:c>
    </x:row>
    <x:row r="12">
      <x:c r="A12" s="92" t="str">
        <x:v>Requires Governance Decision</x:v>
      </x:c>
      <x:c r="B12" s="93" t="n">
        <x:f>COUNTIF(Assurance_Register!E5:E34,"Requires Governance Decision")</x:f>
        <x:v>8</x:v>
      </x:c>
      <x:c r="D12" s="77" t="str">
        <x:v>AI human oversight</x:v>
      </x:c>
      <x:c r="E12" s="78" t="str">
        <x:v>Design + prototype evidence available</x:v>
      </x:c>
      <x:c r="F12" s="78" t="str">
        <x:v>Production workflow, training, audit and negative tests</x:v>
      </x:c>
      <x:c r="G12" s="78" t="str">
        <x:v>Product / Operations / Risk</x:v>
      </x:c>
      <x:c r="H12" s="79" t="str">
        <x:v>Open</x:v>
      </x:c>
    </x:row>
    <x:row r="13">
      <x:c r="A13" s="92" t="str">
        <x:v>Privacy principles mapped</x:v>
      </x:c>
      <x:c r="B13" s="93" t="n">
        <x:f>COUNTA(Privacy_Principles!A5:A11)</x:f>
        <x:v>7</x:v>
      </x:c>
      <x:c r="D13" s="77" t="str">
        <x:v>Incident &amp; recovery</x:v>
      </x:c>
      <x:c r="E13" s="78" t="str">
        <x:v>Design intent only</x:v>
      </x:c>
      <x:c r="F13" s="78" t="str">
        <x:v>Incident plan, recovery controls and exercise/test evidence</x:v>
      </x:c>
      <x:c r="G13" s="78" t="str">
        <x:v>Security / Operations</x:v>
      </x:c>
      <x:c r="H13" s="79" t="str">
        <x:v>Open</x:v>
      </x:c>
    </x:row>
    <x:row r="14">
      <x:c r="A14" s="92" t="str">
        <x:v>Data classes documented</x:v>
      </x:c>
      <x:c r="B14" s="93" t="n">
        <x:f>COUNTA(Data_Classification!A5:A16)</x:f>
        <x:v>12</x:v>
      </x:c>
      <x:c r="D14" s="77" t="str">
        <x:v>Business/UAT</x:v>
      </x:c>
      <x:c r="E14" s="78" t="str">
        <x:v>UAT designed; full-service execution not started</x:v>
      </x:c>
      <x:c r="F14" s="78" t="str">
        <x:v>Observed UAT evidence and business acceptance</x:v>
      </x:c>
      <x:c r="G14" s="78" t="str">
        <x:v>Business / Product</x:v>
      </x:c>
      <x:c r="H14" s="79" t="str">
        <x:v>Open</x:v>
      </x:c>
    </x:row>
    <x:row r="15">
      <x:c r="A15" s="92" t="str">
        <x:v>Logical roles documented</x:v>
      </x:c>
      <x:c r="B15" s="93" t="n">
        <x:f>COUNTA(Access_Control_Matrix!A5:A14)</x:f>
        <x:v>10</x:v>
      </x:c>
      <x:c r="D15" s="80" t="str">
        <x:v>Production approval</x:v>
      </x:c>
      <x:c r="E15" s="81" t="str">
        <x:v>Not granted</x:v>
      </x:c>
      <x:c r="F15" s="81" t="str">
        <x:v>Authorised multi-disciplinary release decision</x:v>
      </x:c>
      <x:c r="G15" s="81" t="str">
        <x:v>Business / Security / Privacy / Operations</x:v>
      </x:c>
      <x:c r="H15" s="82" t="str">
        <x:v>Open</x:v>
      </x:c>
    </x:row>
    <x:row r="16">
      <x:c r="A16" s="92" t="str">
        <x:v>Retention record classes</x:v>
      </x:c>
      <x:c r="B16" s="93" t="n">
        <x:f>COUNTA(Retention_Deletion!A5:A12)</x:f>
        <x:v>8</x:v>
      </x:c>
    </x:row>
    <x:row r="17">
      <x:c r="A17" s="94" t="str">
        <x:v>AI privacy/security controls</x:v>
      </x:c>
      <x:c r="B17" s="95" t="n">
        <x:f>COUNTA(AI_Privacy_Security!A5:A19)</x:f>
        <x:v>15</x:v>
      </x:c>
      <x:c r="D17" s="66" t="str">
        <x:v>DPIA screening conclusion: because the target service would process customer/dispute information in a financial-service context and introduces controlled AI assistance, a full DPIA should be completed before any production use of real personal data. This portfolio does not substitute for an organisation's formal DPIA, legal review or regulatory assessment.</x:v>
      </x:c>
      <x:c r="E17" s="66"/>
      <x:c r="F17" s="66"/>
      <x:c r="G17" s="66"/>
      <x:c r="H17" s="66"/>
    </x:row>
    <x:row r="18">
      <x:c r="D18" s="66"/>
      <x:c r="E18" s="66"/>
      <x:c r="F18" s="66"/>
      <x:c r="G18" s="66"/>
      <x:c r="H18" s="66"/>
    </x:row>
    <x:row r="19">
      <x:c r="D19" s="66"/>
      <x:c r="E19" s="66"/>
      <x:c r="F19" s="66"/>
      <x:c r="G19" s="66"/>
      <x:c r="H19" s="66"/>
    </x:row>
    <x:row r="20">
      <x:c r="D20" s="66"/>
      <x:c r="E20" s="66"/>
      <x:c r="F20" s="66"/>
      <x:c r="G20" s="66"/>
      <x:c r="H20" s="66"/>
    </x:row>
    <x:row r="22">
      <x:c r="D22" s="70" t="str">
        <x:v>Step 32 conclusion: security, privacy and AI assurance controls are designed and traceable, but implementation evidence, governance decisions and formal approvals remain outstanding. Production Approval: NOT GRANTED.</x:v>
      </x:c>
      <x:c r="E22" s="70"/>
      <x:c r="F22" s="70"/>
      <x:c r="G22" s="70"/>
      <x:c r="H22" s="70"/>
    </x:row>
    <x:row r="23">
      <x:c r="D23" s="70"/>
      <x:c r="E23" s="70"/>
      <x:c r="F23" s="70"/>
      <x:c r="G23" s="70"/>
      <x:c r="H23" s="70"/>
    </x:row>
    <x:row r="24">
      <x:c r="D24" s="70"/>
      <x:c r="E24" s="70"/>
      <x:c r="F24" s="70"/>
      <x:c r="G24" s="70"/>
      <x:c r="H24" s="70"/>
    </x:row>
    <x:row r="25">
      <x:c r="D25" s="70"/>
      <x:c r="E25" s="70"/>
      <x:c r="F25" s="70"/>
      <x:c r="G25" s="70"/>
      <x:c r="H25" s="70"/>
    </x:row>
  </x:sheetData>
  <x:mergeCells>
    <x:mergeCell ref="A1:H1"/>
    <x:mergeCell ref="D3:H3"/>
    <x:mergeCell ref="D17:H20"/>
    <x:mergeCell ref="D22:H25"/>
  </x:mergeCells>
  <x:conditionalFormatting sqref="H6:H15">
    <x:cfRule type="expression" dxfId="13" priority="1">
      <x:formula>H6="Open"</x:formula>
    </x:cfRule>
  </x:conditionalFormatting>
  <x:dataValidations count="1">
    <x:dataValidation type="list" sqref="H6:H15">
      <x:formula1>"Open,Complete,Not Applicable"</x:formula1>
    </x:dataValidation>
  </x:dataValidations>
  <x:pageMargins left="0.7" right="0.7" top="0.75" bottom="0.75" header="0.3" footer="0.3"/>
  <x:drawing xmlns:r="http://schemas.openxmlformats.org/officeDocument/2006/relationships" r:id="Rc1028f4ff15f4843"/>
</x:worksheet>
</file>