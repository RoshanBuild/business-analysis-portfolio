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03fd221aeb864fea" /></Relationships>
</file>

<file path=xl/workbook.xml><?xml version="1.0" encoding="utf-8"?>
<x:workbook xmlns:x="http://schemas.openxmlformats.org/spreadsheetml/2006/main">
  <x:sheets>
    <x:sheet xmlns:r="http://schemas.openxmlformats.org/officeDocument/2006/relationships" name="RTM" sheetId="1" r:id="R892953937d3f4d05"/>
    <x:sheet xmlns:r="http://schemas.openxmlformats.org/officeDocument/2006/relationships" name="UAT_Test_Cases" sheetId="2" r:id="R3fd0d1fbf3df4283"/>
    <x:sheet xmlns:r="http://schemas.openxmlformats.org/officeDocument/2006/relationships" name="Coverage_Summary" sheetId="3" r:id="R16f439f257b344e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1F1F1F"/>
      <x:name val="Carlito"/>
    </x:font>
    <x:font>
      <x:b/>
      <x:sz val="11"/>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1" fillId="4" borderId="0" xfId="0" applyNumberFormat="1" applyFont="1" applyFill="1" applyBorder="1" applyAlignment="1">
      <x:alignment horizontal="center" vertical="center" wrapText="1"/>
    </x:xf>
    <x:xf numFmtId="0" fontId="3" fillId="5" borderId="0" xfId="0" applyNumberFormat="1" applyFont="1" applyFill="1" applyBorder="1" applyAlignment="1">
      <x:alignment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3" fillId="3" borderId="0" xfId="0" applyNumberFormat="1" applyFont="1" applyFill="1" applyBorder="1"/>
    <x:xf numFmtId="0" fontId="3" fillId="3"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1" fillId="6" borderId="0" xfId="0" applyNumberFormat="1" applyFont="1" applyFill="1" applyBorder="1" applyAlignment="1">
      <x:alignment horizontal="center" vertical="center" wrapText="1"/>
    </x:xf>
    <x:xf numFmtId="0" fontId="3" fillId="7" borderId="0" xfId="0" applyNumberFormat="1" applyFont="1" applyFill="1" applyBorder="1" applyAlignment="1">
      <x:alignment wrapText="1"/>
    </x:xf>
  </x:cellXfs>
  <x:cellStyles count="1">
    <x:cellStyle name="Normal" xfId="0"/>
  </x:cellStyles>
  <x:dxfs count="15">
    <x:dxf>
      <x:fill>
        <x:patternFill>
          <x:bgColor rgb="FFE2F0D9"/>
        </x:patternFill>
      </x:fill>
    </x:dxf>
    <x:dxf>
      <x:fill>
        <x:patternFill>
          <x:bgColor rgb="FFFCE4D6"/>
        </x:patternFill>
      </x:fill>
    </x:dxf>
    <x:dxf>
      <x:fill>
        <x:patternFill>
          <x:bgColor rgb="FFFFF2CC"/>
        </x:patternFill>
      </x:fill>
    </x:dxf>
    <x:dxf>
      <x:fill>
        <x:patternFill>
          <x:bgColor rgb="FFE2F0D9"/>
        </x:patternFill>
      </x:fill>
    </x:dxf>
    <x:dxf>
      <x:fill>
        <x:patternFill>
          <x:bgColor rgb="FFFFF2CC"/>
        </x:patternFill>
      </x:fill>
    </x:dxf>
    <x:dxf>
      <x:fill>
        <x:patternFill>
          <x:bgColor rgb="FFE2F0D9"/>
        </x:patternFill>
      </x:fill>
    </x:dxf>
    <x:dxf>
      <x:fill>
        <x:patternFill>
          <x:bgColor rgb="FFFFF2CC"/>
        </x:patternFill>
      </x:fill>
    </x:dxf>
    <x:dxf>
      <x:font>
        <x:b/>
      </x:font>
      <x:fill>
        <x:patternFill>
          <x:bgColor rgb="FFFCE4D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FF2CC"/>
        </x:patternFill>
      </x:fill>
    </x:dxf>
    <x:dxf>
      <x:fill>
        <x:patternFill>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3db349e90bb4f52" /><Relationship Type="http://schemas.openxmlformats.org/officeDocument/2006/relationships/theme" Target="/xl/theme/theme1.xml" Id="R0a7bf4253d4a44fc" /><Relationship Type="http://schemas.openxmlformats.org/officeDocument/2006/relationships/sharedStrings" Target="/xl/sharedStrings.xml" Id="Rb31f7d26b470443c" /><Relationship Type="http://schemas.openxmlformats.org/officeDocument/2006/relationships/worksheet" Target="/xl/worksheets/sheet1.xml" Id="R892953937d3f4d05" /><Relationship Type="http://schemas.openxmlformats.org/officeDocument/2006/relationships/worksheet" Target="/xl/worksheets/sheet2.xml" Id="R3fd0d1fbf3df4283" /><Relationship Type="http://schemas.openxmlformats.org/officeDocument/2006/relationships/worksheet" Target="/xl/worksheets/sheet3.xml" Id="R16f439f257b344ec"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8ea897c64c4e2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UAT Test Case Status</a:t>
            </a:r>
          </a:p>
        </c:rich>
      </c:tx>
    </c:title>
    <c:plotArea>
      <c:barChart>
        <c:barDir val="col"/>
        <c:varyColors val="0"/>
        <c:ser>
          <c:idx val="0"/>
          <c:order val="0"/>
          <c:tx>
            <c:v>Count</c:v>
          </c:tx>
          <c:cat>
            <c:strRef>
              <c:f>'Coverage_Summary'!$A$14:$A$15</c:f>
              <c:strCache>
                <c:ptCount val="0"/>
              </c:strCache>
            </c:strRef>
          </c:cat>
          <c:val>
            <c:numRef>
              <c:f>'Coverage_Summary'!$B$14:$B$15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9</xdr:row>
      <xdr:rowOff>0</xdr:rowOff>
    </xdr:from>
    <xdr:to>
      <xdr:col>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8ea897c64c4e2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cf67d317d7da484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42" hidden="0" customWidth="1"/>
    <x:col min="4" max="4" width="16" hidden="0" customWidth="1"/>
    <x:col min="5" max="5" width="18" hidden="0" customWidth="1"/>
    <x:col min="6" max="6" width="28" hidden="0" customWidth="1"/>
    <x:col min="7" max="7" width="18" hidden="0" customWidth="1"/>
    <x:col min="8" max="8" width="12" hidden="0" customWidth="1"/>
    <x:col min="9" max="9" width="22" hidden="0" customWidth="1"/>
    <x:col min="10" max="10" width="26" hidden="0" customWidth="1"/>
    <x:col min="11" max="11" width="30" hidden="0" customWidth="1"/>
    <x:col min="12" max="12" width="18" hidden="0" customWidth="1"/>
    <x:col min="13" max="13" width="36" hidden="0" customWidth="1"/>
    <x:col min="15" max="15" width="18" hidden="0" customWidth="1"/>
    <x:col min="16" max="16" width="18" hidden="0" customWidth="1"/>
    <x:col min="17" max="17" width="18" hidden="0" customWidth="1"/>
  </x:cols>
  <x:sheetData>
    <x:row r="1" ht="34" customHeight="1">
      <x:c r="A1" s="6" t="str">
        <x:v>Requirement ID</x:v>
      </x:c>
      <x:c r="B1" s="6" t="str">
        <x:v>Requirement Type</x:v>
      </x:c>
      <x:c r="C1" s="6" t="str">
        <x:v>Requirement Summary</x:v>
      </x:c>
      <x:c r="D1" s="6" t="str">
        <x:v>Delivery Horizon</x:v>
      </x:c>
      <x:c r="E1" s="6" t="str">
        <x:v>Backlog Story ID</x:v>
      </x:c>
      <x:c r="F1" s="6" t="str">
        <x:v>Verification Method</x:v>
      </x:c>
      <x:c r="G1" s="6" t="str">
        <x:v>UAT Test Case ID</x:v>
      </x:c>
      <x:c r="H1" s="6" t="str">
        <x:v>Priority</x:v>
      </x:c>
      <x:c r="I1" s="6" t="str">
        <x:v>Coverage Status</x:v>
      </x:c>
      <x:c r="J1" s="6" t="str">
        <x:v>Execution Status</x:v>
      </x:c>
      <x:c r="K1" s="6" t="str">
        <x:v>Evidence Reference</x:v>
      </x:c>
      <x:c r="L1" s="6" t="str">
        <x:v>Defect / Issue ID</x:v>
      </x:c>
      <x:c r="M1" s="6" t="str">
        <x:v>Notes</x:v>
      </x:c>
      <x:c r="O1" s="6" t="str">
        <x:v>RTM Completion Notes</x:v>
      </x:c>
      <x:c r="P1" s="6"/>
      <x:c r="Q1" s="6"/>
    </x:row>
    <x:row r="2">
      <x:c r="A2" s="14" t="str">
        <x:v>BR-001</x:v>
      </x:c>
      <x:c r="B2" s="14" t="str">
        <x:v>Business Requirement</x:v>
      </x:c>
      <x:c r="C2" s="14" t="str">
        <x:v>The future dispute service must enable an end-to-end payment-dispute lifecycle from initiation through investigation, specialist handling where required, decision, customer communication and closure.</x:v>
      </x:c>
      <x:c r="D2" s="14" t="str">
        <x:v>H1</x:v>
      </x:c>
      <x:c r="E2" s="14"/>
      <x:c r="F2" s="14" t="str">
        <x:v>UAT</x:v>
      </x:c>
      <x:c r="G2" s="14" t="str">
        <x:v>UAT-01</x:v>
      </x:c>
      <x:c r="H2" s="14" t="str">
        <x:v>Must</x:v>
      </x:c>
      <x:c r="I2" s="14" t="str">
        <x:v>Mapped</x:v>
      </x:c>
      <x:c r="J2" s="14" t="str">
        <x:v>Designed - Not Executed</x:v>
      </x:c>
      <x:c r="K2" s="14"/>
      <x:c r="L2" s="14"/>
      <x:c r="M2" s="14" t="str">
        <x:v>Source: Step 24 Requirements Baseline PDF p.35. No exact US-xxx story allocation is stated in the Step 25 source for this requirement; leave as capability/cross-cutting coverage rather than inventing a mapping.</x:v>
      </x:c>
      <x:c r="O2" s="14" t="str">
        <x:v>Step 30 RTM has been populated from the uploaded Step 24 Requirements Baseline PDF.
All 228 catalogue IDs are present. 225 detailed requirement statements were extractable from the PDF.
CR-013, CR-014 and CR-015 are listed by the Step 24 Control Requirements Register as Automation Controls, but their detailed statements are absent from the exported PDF, so they are deliberately recorded as traceability gaps rather than invented.
Exact US-xxx mappings for H1/H2 requirements require the Step 25 Product Backlog source; only established H3 AI mappings are populated.</x:v>
      </x:c>
      <x:c r="P2" s="14"/>
      <x:c r="Q2" s="14"/>
    </x:row>
    <x:row r="3">
      <x:c r="A3" s="14" t="str">
        <x:v>BR-002</x:v>
      </x:c>
      <x:c r="B3" s="14" t="str">
        <x:v>Business Requirement</x:v>
      </x:c>
      <x:c r="C3" s="14" t="str">
        <x:v>The future dispute service must enable the appropriate information and evidence required for a case to be captured and assessed at the earliest suitable stage without unnecessarily preventing valid cases from progressing.</x:v>
      </x:c>
      <x:c r="D3" s="14" t="str">
        <x:v>H1</x:v>
      </x:c>
      <x:c r="E3" s="14" t="str">
        <x:v>US-006, US-008, US-058</x:v>
      </x:c>
      <x:c r="F3" s="14" t="str">
        <x:v>UAT</x:v>
      </x:c>
      <x:c r="G3" s="14"/>
      <x:c r="H3" s="14" t="str">
        <x:v>Must</x:v>
      </x:c>
      <x:c r="I3" s="14" t="str">
        <x:v>Mapped</x:v>
      </x:c>
      <x:c r="J3" s="14" t="str">
        <x:v>Designed - Not Executed</x:v>
      </x:c>
      <x:c r="K3" s="14"/>
      <x:c r="L3" s="14"/>
      <x:c r="M3" s="14" t="str">
        <x:v>Source: Step 24 Requirements Baseline PDF p.36. Step 25 story mapping populated from Product Backlog traceability; H3 AIR mapping refined in Step 30 where applicable.</x:v>
      </x:c>
      <x:c r="O3" s="14"/>
      <x:c r="P3" s="14"/>
      <x:c r="Q3" s="14"/>
    </x:row>
    <x:row r="4">
      <x:c r="A4" s="14" t="str">
        <x:v>BR-003</x:v>
      </x:c>
      <x:c r="B4" s="14" t="str">
        <x:v>Business Requirement</x:v>
      </x:c>
      <x:c r="C4" s="14" t="str">
        <x:v>The future dispute service must enable consistent classification and routing using defined business logic where suitable while supporting authorised handling of ambiguous and exceptional cases.</x:v>
      </x:c>
      <x:c r="D4" s="14" t="str">
        <x:v>H1</x:v>
      </x:c>
      <x:c r="E4" s="14" t="str">
        <x:v>US-009, US-010, US-011, US-012, US-013, US-050, US-056, US-057</x:v>
      </x:c>
      <x:c r="F4" s="14" t="str">
        <x:v>UAT</x:v>
      </x:c>
      <x:c r="G4" s="14" t="str">
        <x:v>UAT-12</x:v>
      </x:c>
      <x:c r="H4" s="14" t="str">
        <x:v>Must</x:v>
      </x:c>
      <x:c r="I4" s="14" t="str">
        <x:v>Mapped</x:v>
      </x:c>
      <x:c r="J4" s="14" t="str">
        <x:v>Designed - Not Executed</x:v>
      </x:c>
      <x:c r="K4" s="14"/>
      <x:c r="L4" s="14"/>
      <x:c r="M4" s="14" t="str">
        <x:v>Source: Step 24 Requirements Baseline PDF p.36. Step 25 story mapping populated from Product Backlog traceability; H3 AIR mapping refined in Step 30 where applicable.</x:v>
      </x:c>
      <x:c r="O4" s="14"/>
      <x:c r="P4" s="14"/>
      <x:c r="Q4" s="14"/>
    </x:row>
    <x:row r="5">
      <x:c r="A5" s="14" t="str">
        <x:v>BR-004</x:v>
      </x:c>
      <x:c r="B5" s="14" t="str">
        <x:v>Business Requirement</x:v>
      </x:c>
      <x:c r="C5" s="14" t="str">
        <x:v>Every active dispute case must have an identifiable current responsibility state, including an appropriate queue, role or owner responsible for its current progression.</x:v>
      </x:c>
      <x:c r="D5" s="14" t="str">
        <x:v>H1</x:v>
      </x:c>
      <x:c r="E5" s="14" t="str">
        <x:v>US-012, US-013, US-014, US-015, US-064, US-065, US-066</x:v>
      </x:c>
      <x:c r="F5" s="14" t="str">
        <x:v>UAT</x:v>
      </x:c>
      <x:c r="G5" s="14" t="str">
        <x:v>UAT-04, UAT-13</x:v>
      </x:c>
      <x:c r="H5" s="14" t="str">
        <x:v>Must</x:v>
      </x:c>
      <x:c r="I5" s="14" t="str">
        <x:v>Mapped</x:v>
      </x:c>
      <x:c r="J5" s="14" t="str">
        <x:v>Designed - Not Executed</x:v>
      </x:c>
      <x:c r="K5" s="14"/>
      <x:c r="L5" s="14"/>
      <x:c r="M5" s="14" t="str">
        <x:v>Source: Step 24 Requirements Baseline PDF p.37. Step 25 story mapping populated from Product Backlog traceability; H3 AIR mapping refined in Step 30 where applicable.</x:v>
      </x:c>
      <x:c r="O5" s="14"/>
      <x:c r="P5" s="14"/>
      <x:c r="Q5" s="14"/>
    </x:row>
    <x:row r="6">
      <x:c r="A6" s="14" t="str">
        <x:v>BR-005</x:v>
      </x:c>
      <x:c r="B6" s="14" t="str">
        <x:v>Business Requirement</x:v>
      </x:c>
      <x:c r="C6" s="14" t="str">
        <x:v>The future dispute service must enable additional customer information or evidence to be requested, tracked and returned to the appropriate case activity using an explicit reason and customer-action state.</x:v>
      </x:c>
      <x:c r="D6" s="14" t="str">
        <x:v>H1</x:v>
      </x:c>
      <x:c r="E6" s="14" t="str">
        <x:v>US-007, US-018, US-019, US-020, US-027, US-028, US-058</x:v>
      </x:c>
      <x:c r="F6" s="14" t="str">
        <x:v>UAT</x:v>
      </x:c>
      <x:c r="G6" s="14" t="str">
        <x:v>UAT-02</x:v>
      </x:c>
      <x:c r="H6" s="14" t="str">
        <x:v>Must</x:v>
      </x:c>
      <x:c r="I6" s="14" t="str">
        <x:v>Mapped</x:v>
      </x:c>
      <x:c r="J6" s="14" t="str">
        <x:v>Designed - Not Executed</x:v>
      </x:c>
      <x:c r="K6" s="14"/>
      <x:c r="L6" s="14"/>
      <x:c r="M6" s="14" t="str">
        <x:v>Source: Step 24 Requirements Baseline PDF p.38. Step 25 story mapping populated from Product Backlog traceability; H3 AIR mapping refined in Step 30 where applicable.</x:v>
      </x:c>
      <x:c r="O6" s="14"/>
      <x:c r="P6" s="14"/>
      <x:c r="Q6" s="14"/>
    </x:row>
    <x:row r="7">
      <x:c r="A7" s="14" t="str">
        <x:v>BR-006</x:v>
      </x:c>
      <x:c r="B7" s="14" t="str">
        <x:v>Business Requirement</x:v>
      </x:c>
      <x:c r="C7" s="14" t="str">
        <x:v>The future dispute service must enable specialist referrals to contain sufficient reason, requested action and relevant case context, with clear specialist ownership and an appropriate return path.</x:v>
      </x:c>
      <x:c r="D7" s="14" t="str">
        <x:v>H1</x:v>
      </x:c>
      <x:c r="E7" s="14" t="str">
        <x:v>US-023, US-024, US-025, US-026, US-027, US-028, US-029</x:v>
      </x:c>
      <x:c r="F7" s="14" t="str">
        <x:v>UAT</x:v>
      </x:c>
      <x:c r="G7" s="14" t="str">
        <x:v>UAT-05, UAT-06</x:v>
      </x:c>
      <x:c r="H7" s="14" t="str">
        <x:v>Must</x:v>
      </x:c>
      <x:c r="I7" s="14" t="str">
        <x:v>Mapped</x:v>
      </x:c>
      <x:c r="J7" s="14" t="str">
        <x:v>Designed - Not Executed</x:v>
      </x:c>
      <x:c r="K7" s="14"/>
      <x:c r="L7" s="14"/>
      <x:c r="M7" s="14" t="str">
        <x:v>Source: Step 24 Requirements Baseline PDF p.38. Step 25 story mapping populated from Product Backlog traceability; H3 AIR mapping refined in Step 30 where applicable.</x:v>
      </x:c>
      <x:c r="O7" s="14"/>
      <x:c r="P7" s="14"/>
      <x:c r="Q7" s="14"/>
    </x:row>
    <x:row r="8">
      <x:c r="A8" s="14" t="str">
        <x:v>BR-007</x:v>
      </x:c>
      <x:c r="B8" s="14" t="str">
        <x:v>Business Requirement</x:v>
      </x:c>
      <x:c r="C8" s="14" t="str">
        <x:v>The future dispute service must retain appropriate accountable human authority for sensitive dispute decisions, Fraud outcomes, required refund approvals, complaint outcomes and relevant service exceptions.</x:v>
      </x:c>
      <x:c r="D8" s="14" t="str">
        <x:v>H1</x:v>
      </x:c>
      <x:c r="E8" s="14" t="str">
        <x:v>US-030, US-031, US-032, US-033, US-034, US-050, US-051, US-052</x:v>
      </x:c>
      <x:c r="F8" s="14" t="str">
        <x:v>UAT</x:v>
      </x:c>
      <x:c r="G8" s="14" t="str">
        <x:v>UAT-07, UAT-08, UAT-15</x:v>
      </x:c>
      <x:c r="H8" s="14" t="str">
        <x:v>Must</x:v>
      </x:c>
      <x:c r="I8" s="14" t="str">
        <x:v>Mapped</x:v>
      </x:c>
      <x:c r="J8" s="14" t="str">
        <x:v>Designed - Not Executed</x:v>
      </x:c>
      <x:c r="K8" s="14"/>
      <x:c r="L8" s="14"/>
      <x:c r="M8" s="14" t="str">
        <x:v>Source: Step 24 Requirements Baseline PDF p.39. Step 25 story mapping populated from Product Backlog traceability; H3 AIR mapping refined in Step 30 where applicable.</x:v>
      </x:c>
    </x:row>
    <x:row r="9">
      <x:c r="A9" s="14" t="str">
        <x:v>BR-008</x:v>
      </x:c>
      <x:c r="B9" s="14" t="str">
        <x:v>Business Requirement</x:v>
      </x:c>
      <x:c r="C9" s="14" t="str">
        <x:v>The future dispute service must enable customers to receive meaningful information about dispute progress, required customer action, relevant next steps and final outcome where appropriate.</x:v>
      </x:c>
      <x:c r="D9" s="14" t="str">
        <x:v>H1</x:v>
      </x:c>
      <x:c r="E9" s="14" t="str">
        <x:v>US-007, US-035, US-036, US-037, US-038, US-039, US-058, US-059, US-060</x:v>
      </x:c>
      <x:c r="F9" s="14" t="str">
        <x:v>UAT</x:v>
      </x:c>
      <x:c r="G9" s="14" t="str">
        <x:v>UAT-09</x:v>
      </x:c>
      <x:c r="H9" s="14" t="str">
        <x:v>Must</x:v>
      </x:c>
      <x:c r="I9" s="14" t="str">
        <x:v>Mapped</x:v>
      </x:c>
      <x:c r="J9" s="14" t="str">
        <x:v>Designed - Not Executed</x:v>
      </x:c>
      <x:c r="K9" s="14"/>
      <x:c r="L9" s="14"/>
      <x:c r="M9" s="14" t="str">
        <x:v>Source: Step 24 Requirements Baseline PDF p.40. Step 25 story mapping populated from Product Backlog traceability; H3 AIR mapping refined in Step 30 where applicable.</x:v>
      </x:c>
    </x:row>
    <x:row r="10">
      <x:c r="A10" s="14" t="str">
        <x:v>BR-009</x:v>
      </x:c>
      <x:c r="B10" s="14" t="str">
        <x:v>Business Requirement</x:v>
      </x:c>
      <x:c r="C10" s="14" t="str">
        <x:v>The future dispute service must retain an appropriate assisted and human-supported route for customers for whom the standard journey is insufficient or unsuitable.</x:v>
      </x:c>
      <x:c r="D10" s="14" t="str">
        <x:v>H1</x:v>
      </x:c>
      <x:c r="E10" s="14" t="str">
        <x:v>US-036, US-039, US-060</x:v>
      </x:c>
      <x:c r="F10" s="14" t="str">
        <x:v>UAT</x:v>
      </x:c>
      <x:c r="G10" s="14"/>
      <x:c r="H10" s="14" t="str">
        <x:v>Must</x:v>
      </x:c>
      <x:c r="I10" s="14" t="str">
        <x:v>Mapped</x:v>
      </x:c>
      <x:c r="J10" s="14" t="str">
        <x:v>Designed - Not Executed</x:v>
      </x:c>
      <x:c r="K10" s="14"/>
      <x:c r="L10" s="14"/>
      <x:c r="M10" s="14" t="str">
        <x:v>Source: Step 24 Requirements Baseline PDF p.40. Step 25 story mapping populated from Product Backlog traceability; H3 AIR mapping refined in Step 30 where applicable.</x:v>
      </x:c>
    </x:row>
    <x:row r="11">
      <x:c r="A11" s="14" t="str">
        <x:v>BR-010</x:v>
      </x:c>
      <x:c r="B11" s="14" t="str">
        <x:v>Business Requirement</x:v>
      </x:c>
      <x:c r="C11" s="14" t="str">
        <x:v>The future dispute service must enable material waiting, handoff and rework activity to be recorded with sufficient reason and lifecycle information to support operational management and process improvement.</x:v>
      </x:c>
      <x:c r="D11" s="14" t="str">
        <x:v>H1</x:v>
      </x:c>
      <x:c r="E11" s="14" t="str">
        <x:v>US-011, US-012, US-014, US-015, US-016, US-017, US-019, US-020, US-021, US-022, US-023, US-024, US-025, US-026, US-027, US-028, US-029, US-047, US-048, US-059, US-064, US-065, US-066</x:v>
      </x:c>
      <x:c r="F11" s="14" t="str">
        <x:v>UAT</x:v>
      </x:c>
      <x:c r="G11" s="14"/>
      <x:c r="H11" s="14" t="str">
        <x:v>Must</x:v>
      </x:c>
      <x:c r="I11" s="14" t="str">
        <x:v>Mapped</x:v>
      </x:c>
      <x:c r="J11" s="14" t="str">
        <x:v>Designed - Not Executed</x:v>
      </x:c>
      <x:c r="K11" s="14"/>
      <x:c r="L11" s="14"/>
      <x:c r="M11" s="14" t="str">
        <x:v>Source: Step 24 Requirements Baseline PDF p.41. Step 25 story mapping populated from Product Backlog traceability; H3 AIR mapping refined in Step 30 where applicable.</x:v>
      </x:c>
    </x:row>
    <x:row r="12">
      <x:c r="A12" s="14" t="str">
        <x:v>BR-011</x:v>
      </x:c>
      <x:c r="B12" s="14" t="str">
        <x:v>Business Requirement</x:v>
      </x:c>
      <x:c r="C12" s="14" t="str">
        <x:v>The future dispute service must provide appropriate traceability of material case activities, ownership changes, specialist involvement, decisions, approvals, overrides and customer communications.</x:v>
      </x:c>
      <x:c r="D12" s="14" t="str">
        <x:v>H1</x:v>
      </x:c>
      <x:c r="E12" s="14" t="str">
        <x:v>US-015, US-016, US-017, US-018, US-020, US-021, US-022, US-023, US-024, US-025, US-026, US-028, US-029, US-030, US-031, US-032, US-033, US-034, US-035, US-036, US-037, US-038, US-039, US-040, US-041, US-042, US-043, US-044, US-045, US-046, US-048, US-049, US-050, US-051, US-052, US-053, US-054, US-055, US-056, US-057, US-058, US-059, US-060, US-061, US-062, US-063, US-064, US-065, US-066</x:v>
      </x:c>
      <x:c r="F12" s="14" t="str">
        <x:v>UAT</x:v>
      </x:c>
      <x:c r="G12" s="14"/>
      <x:c r="H12" s="14" t="str">
        <x:v>Must</x:v>
      </x:c>
      <x:c r="I12" s="14" t="str">
        <x:v>Mapped</x:v>
      </x:c>
      <x:c r="J12" s="14" t="str">
        <x:v>Designed - Not Executed</x:v>
      </x:c>
      <x:c r="K12" s="14"/>
      <x:c r="L12" s="14"/>
      <x:c r="M12" s="14" t="str">
        <x:v>Source: Step 24 Requirements Baseline PDF p.42. Step 25 story mapping populated from Product Backlog traceability; H3 AIR mapping refined in Step 30 where applicable.</x:v>
      </x:c>
    </x:row>
    <x:row r="13">
      <x:c r="A13" s="14" t="str">
        <x:v>BR-012</x:v>
      </x:c>
      <x:c r="B13" s="14" t="str">
        <x:v>Business Requirement</x:v>
      </x:c>
      <x:c r="C13" s="14" t="str">
        <x:v>The future dispute service must enable valid cases to continue through an authorised exception or fallback route when standard rules, automation, system integration or optional AI assistance cannot safely complete an activity.</x:v>
      </x:c>
      <x:c r="D13" s="14" t="str">
        <x:v>H1</x:v>
      </x:c>
      <x:c r="E13" s="14" t="str">
        <x:v>US-008, US-010, US-013, US-050, US-051, US-052, US-053, US-054, US-055, US-056, US-059</x:v>
      </x:c>
      <x:c r="F13" s="14" t="str">
        <x:v>UAT</x:v>
      </x:c>
      <x:c r="G13" s="14" t="str">
        <x:v>UAT-12, UAT-16</x:v>
      </x:c>
      <x:c r="H13" s="14" t="str">
        <x:v>Must</x:v>
      </x:c>
      <x:c r="I13" s="14" t="str">
        <x:v>Mapped</x:v>
      </x:c>
      <x:c r="J13" s="14" t="str">
        <x:v>Designed - Not Executed</x:v>
      </x:c>
      <x:c r="K13" s="14"/>
      <x:c r="L13" s="14"/>
      <x:c r="M13" s="14" t="str">
        <x:v>Source: Step 24 Requirements Baseline PDF p.42. Step 25 story mapping populated from Product Backlog traceability; H3 AIR mapping refined in Step 30 where applicable.</x:v>
      </x:c>
    </x:row>
    <x:row r="14">
      <x:c r="A14" s="14" t="str">
        <x:v>BR-013</x:v>
      </x:c>
      <x:c r="B14" s="14" t="str">
        <x:v>Business Requirement</x:v>
      </x:c>
      <x:c r="C14" s="14" t="str">
        <x:v>The future dispute service must enable complaint and escalation handling to use the relevant dispute history, decision information and customer communication history without unnecessary reconstruction of the case.</x:v>
      </x:c>
      <x:c r="D14" s="14" t="str">
        <x:v>H1</x:v>
      </x:c>
      <x:c r="E14" s="14" t="str">
        <x:v>US-040, US-041, US-042</x:v>
      </x:c>
      <x:c r="F14" s="14" t="str">
        <x:v>UAT</x:v>
      </x:c>
      <x:c r="G14" s="14" t="str">
        <x:v>UAT-11</x:v>
      </x:c>
      <x:c r="H14" s="14" t="str">
        <x:v>Must</x:v>
      </x:c>
      <x:c r="I14" s="14" t="str">
        <x:v>Mapped</x:v>
      </x:c>
      <x:c r="J14" s="14" t="str">
        <x:v>Designed - Not Executed</x:v>
      </x:c>
      <x:c r="K14" s="14"/>
      <x:c r="L14" s="14"/>
      <x:c r="M14" s="14" t="str">
        <x:v>Source: Step 24 Requirements Baseline PDF p.43. Step 25 story mapping populated from Product Backlog traceability; H3 AIR mapping refined in Step 30 where applicable.</x:v>
      </x:c>
    </x:row>
    <x:row r="15">
      <x:c r="A15" s="14" t="str">
        <x:v>BR-014</x:v>
      </x:c>
      <x:c r="B15" s="14" t="str">
        <x:v>Business Requirement</x:v>
      </x:c>
      <x:c r="C15" s="14" t="str">
        <x:v>The future dispute service must ensure that a dispute is only finalised when applicable decision, approval, customer communication and required business/control activities have been appropriately completed or accounted for.</x:v>
      </x:c>
      <x:c r="D15" s="14" t="str">
        <x:v>H1</x:v>
      </x:c>
      <x:c r="E15" s="14" t="str">
        <x:v>US-043</x:v>
      </x:c>
      <x:c r="F15" s="14" t="str">
        <x:v>UAT</x:v>
      </x:c>
      <x:c r="G15" s="14" t="str">
        <x:v>UAT-10</x:v>
      </x:c>
      <x:c r="H15" s="14" t="str">
        <x:v>Must</x:v>
      </x:c>
      <x:c r="I15" s="14" t="str">
        <x:v>Mapped</x:v>
      </x:c>
      <x:c r="J15" s="14" t="str">
        <x:v>Designed - Not Executed</x:v>
      </x:c>
      <x:c r="K15" s="14"/>
      <x:c r="L15" s="14"/>
      <x:c r="M15" s="14" t="str">
        <x:v>Source: Step 24 Requirements Baseline PDF p.44. Step 25 story mapping populated from Product Backlog traceability; H3 AIR mapping refined in Step 30 where applicable.</x:v>
      </x:c>
    </x:row>
    <x:row r="16">
      <x:c r="A16" s="14" t="str">
        <x:v>BR-015</x:v>
      </x:c>
      <x:c r="B16" s="14" t="str">
        <x:v>Business Requirement</x:v>
      </x:c>
      <x:c r="C16" s="14" t="str">
        <x:v>The future dispute service should enable stable and repeatable administrative activities to be automated where the underlying business logic, exception handling and recovery behaviour are sufficiently defined.</x:v>
      </x:c>
      <x:c r="D16" s="14" t="str">
        <x:v>H2</x:v>
      </x:c>
      <x:c r="E16" s="14" t="str">
        <x:v>US-056, US-057, US-058, US-059, US-060</x:v>
      </x:c>
      <x:c r="F16" s="14" t="str">
        <x:v>UAT</x:v>
      </x:c>
      <x:c r="G16" s="14" t="str">
        <x:v>UAT-16</x:v>
      </x:c>
      <x:c r="H16" s="14" t="str">
        <x:v>Should</x:v>
      </x:c>
      <x:c r="I16" s="14" t="str">
        <x:v>Mapped</x:v>
      </x:c>
      <x:c r="J16" s="14" t="str">
        <x:v>Designed - Not Executed</x:v>
      </x:c>
      <x:c r="K16" s="14"/>
      <x:c r="L16" s="14"/>
      <x:c r="M16" s="14" t="str">
        <x:v>Source: Step 24 Requirements Baseline PDF p.44. Step 25 story mapping populated from Product Backlog traceability; H3 AIR mapping refined in Step 30 where applicable.</x:v>
      </x:c>
    </x:row>
    <x:row r="17">
      <x:c r="A17" s="14" t="str">
        <x:v>BR-016</x:v>
      </x:c>
      <x:c r="B17" s="14" t="str">
        <x:v>Business Requirement</x:v>
      </x:c>
      <x:c r="C17" s="14" t="str">
        <x:v>The core payment-dispute service must operate end-to-end without AI, and any AI-assisted capability must only be introduced where its incremental value, controls and human-review arrangements are sufficiently demonstrated.</x:v>
      </x:c>
      <x:c r="D17" s="14" t="str">
        <x:v>H1</x:v>
      </x:c>
      <x:c r="E17" s="14" t="str">
        <x:v>US-050, US-051, US-052, US-053, US-054, US-055, US-056, US-057, US-058, US-059, US-060, US-061, US-062, US-063, US-064, US-065, US-066</x:v>
      </x:c>
      <x:c r="F17" s="14" t="str">
        <x:v>UAT</x:v>
      </x:c>
      <x:c r="G17" s="14"/>
      <x:c r="H17" s="14" t="str">
        <x:v>Must</x:v>
      </x:c>
      <x:c r="I17" s="14" t="str">
        <x:v>Mapped</x:v>
      </x:c>
      <x:c r="J17" s="14" t="str">
        <x:v>Designed - Not Executed</x:v>
      </x:c>
      <x:c r="K17" s="14"/>
      <x:c r="L17" s="14"/>
      <x:c r="M17" s="14" t="str">
        <x:v>Source: Step 24 Requirements Baseline PDF p.45. Step 25 story mapping populated from Product Backlog traceability; H3 AIR mapping refined in Step 30 where applicable.</x:v>
      </x:c>
    </x:row>
    <x:row r="18">
      <x:c r="A18" s="14" t="str">
        <x:v>BR-017</x:v>
      </x:c>
      <x:c r="B18" s="14" t="str">
        <x:v>Business Requirement</x:v>
      </x:c>
      <x:c r="C18" s="14" t="str">
        <x:v>The future dispute service should enable reliable measurement of process performance and recurring friction so that service improvements can be identified, prioritised and evaluated against defined baseline evidence.</x:v>
      </x:c>
      <x:c r="D18" s="14" t="str">
        <x:v>H1</x:v>
      </x:c>
      <x:c r="E18" s="14" t="str">
        <x:v>US-044, US-045, US-046, US-047, US-048, US-049</x:v>
      </x:c>
      <x:c r="F18" s="14" t="str">
        <x:v>UAT</x:v>
      </x:c>
      <x:c r="G18" s="14"/>
      <x:c r="H18" s="14" t="str">
        <x:v>Should</x:v>
      </x:c>
      <x:c r="I18" s="14" t="str">
        <x:v>Mapped</x:v>
      </x:c>
      <x:c r="J18" s="14" t="str">
        <x:v>Designed - Not Executed</x:v>
      </x:c>
      <x:c r="K18" s="14"/>
      <x:c r="L18" s="14"/>
      <x:c r="M18" s="14" t="str">
        <x:v>Source: Step 24 Requirements Baseline PDF p.46. Step 25 story mapping populated from Product Backlog traceability; H3 AIR mapping refined in Step 30 where applicable.</x:v>
      </x:c>
    </x:row>
    <x:row r="19">
      <x:c r="A19" s="14" t="str">
        <x:v>UR-CUS-001</x:v>
      </x:c>
      <x:c r="B19" s="14" t="str">
        <x:v>User Requirement</x:v>
      </x:c>
      <x:c r="C19" s="14" t="str">
        <x:v>A customer needs to understand what information or evidence is required for their dispute so that they can provide the appropriate information without unnecessary repetition or uncertainty.</x:v>
      </x:c>
      <x:c r="D19" s="14" t="str">
        <x:v>H1</x:v>
      </x:c>
      <x:c r="E19" s="14"/>
      <x:c r="F19" s="14" t="str">
        <x:v>UAT</x:v>
      </x:c>
      <x:c r="G19" s="14" t="str">
        <x:v>UAT-02</x:v>
      </x:c>
      <x:c r="H19" s="14" t="str">
        <x:v>Must</x:v>
      </x:c>
      <x:c r="I19" s="14" t="str">
        <x:v>Mapped</x:v>
      </x:c>
      <x:c r="J19" s="14" t="str">
        <x:v>Designed - Not Executed</x:v>
      </x:c>
      <x:c r="K19" s="14"/>
      <x:c r="L19" s="14"/>
      <x:c r="M19" s="14" t="str">
        <x:v>Source: Step 24 Requirements Baseline PDF p.57. No exact US-xxx story allocation is stated in the Step 25 source for this requirement; leave as capability/cross-cutting coverage rather than inventing a mapping.</x:v>
      </x:c>
    </x:row>
    <x:row r="20">
      <x:c r="A20" s="14" t="str">
        <x:v>UR-CUS-002</x:v>
      </x:c>
      <x:c r="B20" s="14" t="str">
        <x:v>User Requirement</x:v>
      </x:c>
      <x:c r="C20" s="14" t="str">
        <x:v>A customer needs confirmation that their dispute has been received and information about the immediate next step so that they know the dispute journey has started.</x:v>
      </x:c>
      <x:c r="D20" s="14" t="str">
        <x:v>H1</x:v>
      </x:c>
      <x:c r="E20" s="14"/>
      <x:c r="F20" s="14" t="str">
        <x:v>UAT</x:v>
      </x:c>
      <x:c r="G20" s="14" t="str">
        <x:v>UAT-01</x:v>
      </x:c>
      <x:c r="H20" s="14" t="str">
        <x:v>Must</x:v>
      </x:c>
      <x:c r="I20" s="14" t="str">
        <x:v>Mapped</x:v>
      </x:c>
      <x:c r="J20" s="14" t="str">
        <x:v>Designed - Not Executed</x:v>
      </x:c>
      <x:c r="K20" s="14"/>
      <x:c r="L20" s="14"/>
      <x:c r="M20" s="14" t="str">
        <x:v>Source: Step 24 Requirements Baseline PDF p.58. No exact US-xxx story allocation is stated in the Step 25 source for this requirement; leave as capability/cross-cutting coverage rather than inventing a mapping.</x:v>
      </x:c>
    </x:row>
    <x:row r="21">
      <x:c r="A21" s="14" t="str">
        <x:v>UR-CUS-003</x:v>
      </x:c>
      <x:c r="B21" s="14" t="str">
        <x:v>User Requirement</x:v>
      </x:c>
      <x:c r="C21" s="14" t="str">
        <x:v>A customer needs meaningful information about the current position of their dispute so that they can understand its progress without relying on unnecessary support contact.</x:v>
      </x:c>
      <x:c r="D21" s="14" t="str">
        <x:v>H1</x:v>
      </x:c>
      <x:c r="E21" s="14" t="str">
        <x:v>US-035, US-037</x:v>
      </x:c>
      <x:c r="F21" s="14" t="str">
        <x:v>UAT</x:v>
      </x:c>
      <x:c r="G21" s="14"/>
      <x:c r="H21" s="14" t="str">
        <x:v>Must</x:v>
      </x:c>
      <x:c r="I21" s="14" t="str">
        <x:v>Mapped</x:v>
      </x:c>
      <x:c r="J21" s="14" t="str">
        <x:v>Designed - Not Executed</x:v>
      </x:c>
      <x:c r="K21" s="14"/>
      <x:c r="L21" s="14"/>
      <x:c r="M21" s="14" t="str">
        <x:v>Source: Step 24 Requirements Baseline PDF p.58. Step 25 story mapping populated from Product Backlog traceability; H3 AIR mapping refined in Step 30 where applicable.</x:v>
      </x:c>
    </x:row>
    <x:row r="22">
      <x:c r="A22" s="14" t="str">
        <x:v>UR-CUS-004</x:v>
      </x:c>
      <x:c r="B22" s="14" t="str">
        <x:v>User Requirement</x:v>
      </x:c>
      <x:c r="C22" s="14" t="str">
        <x:v>A customer needs to know whether they are required to take an action, what action is required and why where appropriate, so that avoidable delay or uncertainty is reduced.</x:v>
      </x:c>
      <x:c r="D22" s="14" t="str">
        <x:v>H1</x:v>
      </x:c>
      <x:c r="E22" s="14" t="str">
        <x:v>US-036</x:v>
      </x:c>
      <x:c r="F22" s="14" t="str">
        <x:v>UAT</x:v>
      </x:c>
      <x:c r="G22" s="14" t="str">
        <x:v>UAT-02</x:v>
      </x:c>
      <x:c r="H22" s="14" t="str">
        <x:v>Must</x:v>
      </x:c>
      <x:c r="I22" s="14" t="str">
        <x:v>Mapped</x:v>
      </x:c>
      <x:c r="J22" s="14" t="str">
        <x:v>Designed - Not Executed</x:v>
      </x:c>
      <x:c r="K22" s="14"/>
      <x:c r="L22" s="14"/>
      <x:c r="M22" s="14" t="str">
        <x:v>Source: Step 24 Requirements Baseline PDF p.59. Step 25 story mapping populated from Product Backlog traceability; H3 AIR mapping refined in Step 30 where applicable.</x:v>
      </x:c>
    </x:row>
    <x:row r="23">
      <x:c r="A23" s="14" t="str">
        <x:v>UR-CUS-005</x:v>
      </x:c>
      <x:c r="B23" s="14" t="str">
        <x:v>User Requirement</x:v>
      </x:c>
      <x:c r="C23" s="14" t="str">
        <x:v>A customer who requires additional support needs an appropriate accessible or assisted route so that the standard digital journey does not prevent them from progressing their dispute.</x:v>
      </x:c>
      <x:c r="D23" s="14" t="str">
        <x:v>H1</x:v>
      </x:c>
      <x:c r="E23" s="14" t="str">
        <x:v>US-036, US-039</x:v>
      </x:c>
      <x:c r="F23" s="14" t="str">
        <x:v>UAT</x:v>
      </x:c>
      <x:c r="G23" s="14"/>
      <x:c r="H23" s="14" t="str">
        <x:v>Must</x:v>
      </x:c>
      <x:c r="I23" s="14" t="str">
        <x:v>Mapped</x:v>
      </x:c>
      <x:c r="J23" s="14" t="str">
        <x:v>Designed - Not Executed</x:v>
      </x:c>
      <x:c r="K23" s="14"/>
      <x:c r="L23" s="14"/>
      <x:c r="M23" s="14" t="str">
        <x:v>Source: Step 24 Requirements Baseline PDF p.59. Step 25 story mapping populated from Product Backlog traceability; H3 AIR mapping refined in Step 30 where applicable.</x:v>
      </x:c>
    </x:row>
    <x:row r="24">
      <x:c r="A24" s="14" t="str">
        <x:v>UR-CUS-006</x:v>
      </x:c>
      <x:c r="B24" s="14" t="str">
        <x:v>User Requirement</x:v>
      </x:c>
      <x:c r="C24" s="14" t="str">
        <x:v>A customer needs access to appropriate human assistance when self-service, automation or another standard service route is insufficient for their situation.</x:v>
      </x:c>
      <x:c r="D24" s="14" t="str">
        <x:v>H1</x:v>
      </x:c>
      <x:c r="E24" s="14" t="str">
        <x:v>US-039</x:v>
      </x:c>
      <x:c r="F24" s="14" t="str">
        <x:v>UAT</x:v>
      </x:c>
      <x:c r="G24" s="14"/>
      <x:c r="H24" s="14" t="str">
        <x:v>Must</x:v>
      </x:c>
      <x:c r="I24" s="14" t="str">
        <x:v>Mapped</x:v>
      </x:c>
      <x:c r="J24" s="14" t="str">
        <x:v>Designed - Not Executed</x:v>
      </x:c>
      <x:c r="K24" s="14"/>
      <x:c r="L24" s="14"/>
      <x:c r="M24" s="14" t="str">
        <x:v>Source: Step 24 Requirements Baseline PDF p.60. Step 25 story mapping populated from Product Backlog traceability; H3 AIR mapping refined in Step 30 where applicable.</x:v>
      </x:c>
    </x:row>
    <x:row r="25">
      <x:c r="A25" s="14" t="str">
        <x:v>UR-CUS-007</x:v>
      </x:c>
      <x:c r="B25" s="14" t="str">
        <x:v>User Requirement</x:v>
      </x:c>
      <x:c r="C25" s="14" t="str">
        <x:v>A customer with a long-running or specialist dispute needs appropriate progress information so that internal specialist processing does not leave them without meaningful understanding of the case position.</x:v>
      </x:c>
      <x:c r="D25" s="14" t="str">
        <x:v>H1</x:v>
      </x:c>
      <x:c r="E25" s="14"/>
      <x:c r="F25" s="14" t="str">
        <x:v>UAT</x:v>
      </x:c>
      <x:c r="G25" s="14"/>
      <x:c r="H25" s="14" t="str">
        <x:v>Should</x:v>
      </x:c>
      <x:c r="I25" s="14" t="str">
        <x:v>Mapped</x:v>
      </x:c>
      <x:c r="J25" s="14" t="str">
        <x:v>Designed - Not Executed</x:v>
      </x:c>
      <x:c r="K25" s="14"/>
      <x:c r="L25" s="14"/>
      <x:c r="M25" s="14" t="str">
        <x:v>Source: Step 24 Requirements Baseline PDF p.61. No exact US-xxx story allocation is stated in the Step 25 source for this requirement; leave as capability/cross-cutting coverage rather than inventing a mapping.</x:v>
      </x:c>
    </x:row>
    <x:row r="26">
      <x:c r="A26" s="14" t="str">
        <x:v>UR-CUS-008</x:v>
      </x:c>
      <x:c r="B26" s="14" t="str">
        <x:v>User Requirement</x:v>
      </x:c>
      <x:c r="C26" s="14" t="str">
        <x:v>A customer needs to understand the final dispute outcome, relevant explanation and available next steps so that they can understand what has happened and what they can do next.</x:v>
      </x:c>
      <x:c r="D26" s="14" t="str">
        <x:v>H1</x:v>
      </x:c>
      <x:c r="E26" s="14" t="str">
        <x:v>US-037</x:v>
      </x:c>
      <x:c r="F26" s="14" t="str">
        <x:v>UAT</x:v>
      </x:c>
      <x:c r="G26" s="14"/>
      <x:c r="H26" s="14" t="str">
        <x:v>Must</x:v>
      </x:c>
      <x:c r="I26" s="14" t="str">
        <x:v>Mapped</x:v>
      </x:c>
      <x:c r="J26" s="14" t="str">
        <x:v>Designed - Not Executed</x:v>
      </x:c>
      <x:c r="K26" s="14"/>
      <x:c r="L26" s="14"/>
      <x:c r="M26" s="14" t="str">
        <x:v>Source: Step 24 Requirements Baseline PDF p.61. Step 25 story mapping populated from Product Backlog traceability; H3 AIR mapping refined in Step 30 where applicable.</x:v>
      </x:c>
    </x:row>
    <x:row r="27">
      <x:c r="A27" s="14" t="str">
        <x:v>UR-CUS-009</x:v>
      </x:c>
      <x:c r="B27" s="14" t="str">
        <x:v>User Requirement</x:v>
      </x:c>
      <x:c r="C27" s="14" t="str">
        <x:v>A customer needs information and evidence already appropriately provided to be reused where suitable so that they are not unnecessarily required to repeat the same information during the dispute journey.</x:v>
      </x:c>
      <x:c r="D27" s="14" t="str">
        <x:v>H1</x:v>
      </x:c>
      <x:c r="E27" s="14" t="str">
        <x:v>US-038</x:v>
      </x:c>
      <x:c r="F27" s="14" t="str">
        <x:v>UAT</x:v>
      </x:c>
      <x:c r="G27" s="14"/>
      <x:c r="H27" s="14" t="str">
        <x:v>Should</x:v>
      </x:c>
      <x:c r="I27" s="14" t="str">
        <x:v>Mapped</x:v>
      </x:c>
      <x:c r="J27" s="14" t="str">
        <x:v>Designed - Not Executed</x:v>
      </x:c>
      <x:c r="K27" s="14"/>
      <x:c r="L27" s="14"/>
      <x:c r="M27" s="14" t="str">
        <x:v>Source: Step 24 Requirements Baseline PDF p.62. Step 25 story mapping populated from Product Backlog traceability; H3 AIR mapping refined in Step 30 where applicable.</x:v>
      </x:c>
    </x:row>
    <x:row r="28">
      <x:c r="A28" s="14" t="str">
        <x:v>UR-CS-001</x:v>
      </x:c>
      <x:c r="B28" s="14" t="str">
        <x:v>User Requirement</x:v>
      </x:c>
      <x:c r="C28" s="14" t="str">
        <x:v>A Customer Service user needs to understand the current dispute status, responsible queue or owner and whether customer action is required so that they can provide accurate support without reconstructing the case journey.</x:v>
      </x:c>
      <x:c r="D28" s="14" t="str">
        <x:v>H1</x:v>
      </x:c>
      <x:c r="E28" s="14"/>
      <x:c r="F28" s="14" t="str">
        <x:v>UAT</x:v>
      </x:c>
      <x:c r="G28" s="14"/>
      <x:c r="H28" s="14" t="str">
        <x:v>Must</x:v>
      </x:c>
      <x:c r="I28" s="14" t="str">
        <x:v>Mapped</x:v>
      </x:c>
      <x:c r="J28" s="14" t="str">
        <x:v>Designed - Not Executed</x:v>
      </x:c>
      <x:c r="K28" s="14"/>
      <x:c r="L28" s="14"/>
      <x:c r="M28" s="14" t="str">
        <x:v>Source: Step 24 Requirements Baseline PDF p.63. No exact US-xxx story allocation is stated in the Step 25 source for this requirement; leave as capability/cross-cutting coverage rather than inventing a mapping.</x:v>
      </x:c>
    </x:row>
    <x:row r="29">
      <x:c r="A29" s="14" t="str">
        <x:v>UR-OPS-001</x:v>
      </x:c>
      <x:c r="B29" s="14" t="str">
        <x:v>User Requirement</x:v>
      </x:c>
      <x:c r="C29" s="14" t="str">
        <x:v>A Payment Operations analyst needs sufficiently complete case information and relevant evidence so that they can investigate the dispute without unnecessary reconstruction or avoidable information requests.</x:v>
      </x:c>
      <x:c r="D29" s="14" t="str">
        <x:v>H1</x:v>
      </x:c>
      <x:c r="E29" s="14"/>
      <x:c r="F29" s="14" t="str">
        <x:v>UAT</x:v>
      </x:c>
      <x:c r="G29" s="14"/>
      <x:c r="H29" s="14" t="str">
        <x:v>Must</x:v>
      </x:c>
      <x:c r="I29" s="14" t="str">
        <x:v>Mapped</x:v>
      </x:c>
      <x:c r="J29" s="14" t="str">
        <x:v>Designed - Not Executed</x:v>
      </x:c>
      <x:c r="K29" s="14"/>
      <x:c r="L29" s="14"/>
      <x:c r="M29" s="14" t="str">
        <x:v>Source: Step 24 Requirements Baseline PDF p.63. No exact US-xxx story allocation is stated in the Step 25 source for this requirement; leave as capability/cross-cutting coverage rather than inventing a mapping.</x:v>
      </x:c>
    </x:row>
    <x:row r="30">
      <x:c r="A30" s="14" t="str">
        <x:v>UR-OPS-002</x:v>
      </x:c>
      <x:c r="B30" s="14" t="str">
        <x:v>User Requirement</x:v>
      </x:c>
      <x:c r="C30" s="14" t="str">
        <x:v>A Payment Operations analyst needs clear specialist-referral criteria, ownership and return expectations so that specialist involvement can be initiated and completed without unnecessary ambiguity or transfer.</x:v>
      </x:c>
      <x:c r="D30" s="14" t="str">
        <x:v>H1</x:v>
      </x:c>
      <x:c r="E30" s="14"/>
      <x:c r="F30" s="14" t="str">
        <x:v>UAT</x:v>
      </x:c>
      <x:c r="G30" s="14" t="str">
        <x:v>UAT-05, UAT-06</x:v>
      </x:c>
      <x:c r="H30" s="14" t="str">
        <x:v>Must</x:v>
      </x:c>
      <x:c r="I30" s="14" t="str">
        <x:v>Mapped</x:v>
      </x:c>
      <x:c r="J30" s="14" t="str">
        <x:v>Designed - Not Executed</x:v>
      </x:c>
      <x:c r="K30" s="14"/>
      <x:c r="L30" s="14"/>
      <x:c r="M30" s="14" t="str">
        <x:v>Source: Step 24 Requirements Baseline PDF p.64. No exact US-xxx story allocation is stated in the Step 25 source for this requirement; leave as capability/cross-cutting coverage rather than inventing a mapping.</x:v>
      </x:c>
    </x:row>
    <x:row r="31">
      <x:c r="A31" s="14" t="str">
        <x:v>UR-OPS-003</x:v>
      </x:c>
      <x:c r="B31" s="14" t="str">
        <x:v>User Requirement</x:v>
      </x:c>
      <x:c r="C31" s="14" t="str">
        <x:v>An operational user receiving a transferred dispute needs sufficient context about the reason for transfer, previous activity and requested next action so that they can continue the case without unnecessary reconstruction or clarification.</x:v>
      </x:c>
      <x:c r="D31" s="14" t="str">
        <x:v>H1</x:v>
      </x:c>
      <x:c r="E31" s="14" t="str">
        <x:v>US-042</x:v>
      </x:c>
      <x:c r="F31" s="14" t="str">
        <x:v>UAT</x:v>
      </x:c>
      <x:c r="G31" s="14" t="str">
        <x:v>UAT-04</x:v>
      </x:c>
      <x:c r="H31" s="14" t="str">
        <x:v>Must</x:v>
      </x:c>
      <x:c r="I31" s="14" t="str">
        <x:v>Mapped</x:v>
      </x:c>
      <x:c r="J31" s="14" t="str">
        <x:v>Designed - Not Executed</x:v>
      </x:c>
      <x:c r="K31" s="14"/>
      <x:c r="L31" s="14"/>
      <x:c r="M31" s="14" t="str">
        <x:v>Source: Step 24 Requirements Baseline PDF p.65. Step 25 story mapping populated from Product Backlog traceability; H3 AIR mapping refined in Step 30 where applicable.</x:v>
      </x:c>
    </x:row>
    <x:row r="32">
      <x:c r="A32" s="14" t="str">
        <x:v>UR-FRA-001</x:v>
      </x:c>
      <x:c r="B32" s="14" t="str">
        <x:v>User Requirement</x:v>
      </x:c>
      <x:c r="C32" s="14" t="str">
        <x:v>A Fraud reviewer needs a structured referral containing the relevant reason, case context, available evidence and requested specialist action so that they can perform Fraud Review without unnecessary case reconstruction.</x:v>
      </x:c>
      <x:c r="D32" s="14" t="str">
        <x:v>H1</x:v>
      </x:c>
      <x:c r="E32" s="14"/>
      <x:c r="F32" s="14" t="str">
        <x:v>UAT</x:v>
      </x:c>
      <x:c r="G32" s="14"/>
      <x:c r="H32" s="14" t="str">
        <x:v>Must</x:v>
      </x:c>
      <x:c r="I32" s="14" t="str">
        <x:v>Mapped</x:v>
      </x:c>
      <x:c r="J32" s="14" t="str">
        <x:v>Designed - Not Executed</x:v>
      </x:c>
      <x:c r="K32" s="14"/>
      <x:c r="L32" s="14"/>
      <x:c r="M32" s="14" t="str">
        <x:v>Source: Step 24 Requirements Baseline PDF p.65. No exact US-xxx story allocation is stated in the Step 25 source for this requirement; leave as capability/cross-cutting coverage rather than inventing a mapping.</x:v>
      </x:c>
    </x:row>
    <x:row r="33">
      <x:c r="A33" s="14" t="str">
        <x:v>UR-FIN-001</x:v>
      </x:c>
      <x:c r="B33" s="14" t="str">
        <x:v>User Requirement</x:v>
      </x:c>
      <x:c r="C33" s="14" t="str">
        <x:v>An authorised Refund / Finance user needs the relevant refund basis, supporting information and required approval context so that an appropriate financial-control decision can be made and recorded.</x:v>
      </x:c>
      <x:c r="D33" s="14" t="str">
        <x:v>H1</x:v>
      </x:c>
      <x:c r="E33" s="14"/>
      <x:c r="F33" s="14" t="str">
        <x:v>UAT</x:v>
      </x:c>
      <x:c r="G33" s="14" t="str">
        <x:v>UAT-08</x:v>
      </x:c>
      <x:c r="H33" s="14" t="str">
        <x:v>Must</x:v>
      </x:c>
      <x:c r="I33" s="14" t="str">
        <x:v>Mapped</x:v>
      </x:c>
      <x:c r="J33" s="14" t="str">
        <x:v>Designed - Not Executed</x:v>
      </x:c>
      <x:c r="K33" s="14"/>
      <x:c r="L33" s="14"/>
      <x:c r="M33" s="14" t="str">
        <x:v>Source: Step 24 Requirements Baseline PDF p.66. No exact US-xxx story allocation is stated in the Step 25 source for this requirement; leave as capability/cross-cutting coverage rather than inventing a mapping.</x:v>
      </x:c>
    </x:row>
    <x:row r="34">
      <x:c r="A34" s="14" t="str">
        <x:v>UR-TEC-001</x:v>
      </x:c>
      <x:c r="B34" s="14" t="str">
        <x:v>User Requirement</x:v>
      </x:c>
      <x:c r="C34" s="14" t="str">
        <x:v>A Technical Support user needs clear technical referral context, the reason for investigation and relevant case information so that the technical issue can be investigated without unnecessary reconstruction.</x:v>
      </x:c>
      <x:c r="D34" s="14" t="str">
        <x:v>H1</x:v>
      </x:c>
      <x:c r="E34" s="14"/>
      <x:c r="F34" s="14" t="str">
        <x:v>UAT</x:v>
      </x:c>
      <x:c r="G34" s="14"/>
      <x:c r="H34" s="14" t="str">
        <x:v>Must</x:v>
      </x:c>
      <x:c r="I34" s="14" t="str">
        <x:v>Mapped</x:v>
      </x:c>
      <x:c r="J34" s="14" t="str">
        <x:v>Designed - Not Executed</x:v>
      </x:c>
      <x:c r="K34" s="14"/>
      <x:c r="L34" s="14"/>
      <x:c r="M34" s="14" t="str">
        <x:v>Source: Step 24 Requirements Baseline PDF p.67. No exact US-xxx story allocation is stated in the Step 25 source for this requirement; leave as capability/cross-cutting coverage rather than inventing a mapping.</x:v>
      </x:c>
    </x:row>
    <x:row r="35">
      <x:c r="A35" s="14" t="str">
        <x:v>UR-COM-001</x:v>
      </x:c>
      <x:c r="B35" s="14" t="str">
        <x:v>User Requirement</x:v>
      </x:c>
      <x:c r="C35" s="14" t="str">
        <x:v>A Complaints user needs access to the relevant dispute history, decisions and customer communications so that the complaint can be reviewed without unnecessarily reconstructing the underlying case.</x:v>
      </x:c>
      <x:c r="D35" s="14" t="str">
        <x:v>H1</x:v>
      </x:c>
      <x:c r="E35" s="14" t="str">
        <x:v>US-040, US-041, US-042</x:v>
      </x:c>
      <x:c r="F35" s="14" t="str">
        <x:v>UAT</x:v>
      </x:c>
      <x:c r="G35" s="14" t="str">
        <x:v>UAT-11</x:v>
      </x:c>
      <x:c r="H35" s="14" t="str">
        <x:v>Must</x:v>
      </x:c>
      <x:c r="I35" s="14" t="str">
        <x:v>Mapped</x:v>
      </x:c>
      <x:c r="J35" s="14" t="str">
        <x:v>Designed - Not Executed</x:v>
      </x:c>
      <x:c r="K35" s="14"/>
      <x:c r="L35" s="14"/>
      <x:c r="M35" s="14" t="str">
        <x:v>Source: Step 24 Requirements Baseline PDF p.68. Step 25 story mapping populated from Product Backlog traceability; H3 AIR mapping refined in Step 30 where applicable.</x:v>
      </x:c>
    </x:row>
    <x:row r="36">
      <x:c r="A36" s="14" t="str">
        <x:v>UR-SVC-001</x:v>
      </x:c>
      <x:c r="B36" s="14" t="str">
        <x:v>User Requirement</x:v>
      </x:c>
      <x:c r="C36" s="14" t="str">
        <x:v>A Service or Process Owner needs material dispute activities, ownership changes, handoffs, waiting, rework, decisions and overrides to be traceable so that operational performance and control can be understood.</x:v>
      </x:c>
      <x:c r="D36" s="14" t="str">
        <x:v>H1</x:v>
      </x:c>
      <x:c r="E36" s="14"/>
      <x:c r="F36" s="14" t="str">
        <x:v>UAT</x:v>
      </x:c>
      <x:c r="G36" s="14"/>
      <x:c r="H36" s="14" t="str">
        <x:v>Must</x:v>
      </x:c>
      <x:c r="I36" s="14" t="str">
        <x:v>Mapped</x:v>
      </x:c>
      <x:c r="J36" s="14" t="str">
        <x:v>Designed - Not Executed</x:v>
      </x:c>
      <x:c r="K36" s="14"/>
      <x:c r="L36" s="14"/>
      <x:c r="M36" s="14" t="str">
        <x:v>Source: Step 24 Requirements Baseline PDF p.68. No exact US-xxx story allocation is stated in the Step 25 source for this requirement; leave as capability/cross-cutting coverage rather than inventing a mapping.</x:v>
      </x:c>
    </x:row>
    <x:row r="37">
      <x:c r="A37" s="14" t="str">
        <x:v>UR-SVC-002</x:v>
      </x:c>
      <x:c r="B37" s="14" t="str">
        <x:v>User Requirement</x:v>
      </x:c>
      <x:c r="C37" s="14" t="str">
        <x:v>A Service or Process Owner needs reliable structured process-event information so that recurring delay, handoff, rework and service-performance patterns can be measured and prioritised for improvement.</x:v>
      </x:c>
      <x:c r="D37" s="14" t="str">
        <x:v>H1</x:v>
      </x:c>
      <x:c r="E37" s="14"/>
      <x:c r="F37" s="14" t="str">
        <x:v>UAT</x:v>
      </x:c>
      <x:c r="G37" s="14"/>
      <x:c r="H37" s="14" t="str">
        <x:v>Should</x:v>
      </x:c>
      <x:c r="I37" s="14" t="str">
        <x:v>Mapped</x:v>
      </x:c>
      <x:c r="J37" s="14" t="str">
        <x:v>Designed - Not Executed</x:v>
      </x:c>
      <x:c r="K37" s="14"/>
      <x:c r="L37" s="14"/>
      <x:c r="M37" s="14" t="str">
        <x:v>Source: Step 24 Requirements Baseline PDF p.69. No exact US-xxx story allocation is stated in the Step 25 source for this requirement; leave as capability/cross-cutting coverage rather than inventing a mapping.</x:v>
      </x:c>
    </x:row>
    <x:row r="38">
      <x:c r="A38" s="14" t="str">
        <x:v>FR-001</x:v>
      </x:c>
      <x:c r="B38" s="14" t="str">
        <x:v>Functional Requirement</x:v>
      </x:c>
      <x:c r="C38" s="14" t="str">
        <x:v>The service shall enable a payment dispute to be initiated through an available standard or assisted service route.</x:v>
      </x:c>
      <x:c r="D38" s="14" t="str">
        <x:v>H1</x:v>
      </x:c>
      <x:c r="E38" s="14" t="str">
        <x:v>US-001</x:v>
      </x:c>
      <x:c r="F38" s="14" t="str">
        <x:v>UAT</x:v>
      </x:c>
      <x:c r="G38" s="14"/>
      <x:c r="H38" s="14" t="str">
        <x:v>Must</x:v>
      </x:c>
      <x:c r="I38" s="14" t="str">
        <x:v>Mapped</x:v>
      </x:c>
      <x:c r="J38" s="14" t="str">
        <x:v>Designed - Not Executed</x:v>
      </x:c>
      <x:c r="K38" s="14"/>
      <x:c r="L38" s="14"/>
      <x:c r="M38" s="14" t="str">
        <x:v>Source: Step 24 Requirements Baseline PDF p.80. Step 25 story mapping populated from Product Backlog traceability; H3 AIR mapping refined in Step 30 where applicable.</x:v>
      </x:c>
    </x:row>
    <x:row r="39">
      <x:c r="A39" s="14" t="str">
        <x:v>FR-002</x:v>
      </x:c>
      <x:c r="B39" s="14" t="str">
        <x:v>Functional Requirement</x:v>
      </x:c>
      <x:c r="C39" s="14" t="str">
        <x:v>The service shall enable an authorised Customer Service user to assist a customer with dispute initiation where assistance is required.</x:v>
      </x:c>
      <x:c r="D39" s="14" t="str">
        <x:v>H1</x:v>
      </x:c>
      <x:c r="E39" s="14" t="str">
        <x:v>US-002</x:v>
      </x:c>
      <x:c r="F39" s="14" t="str">
        <x:v>UAT</x:v>
      </x:c>
      <x:c r="G39" s="14"/>
      <x:c r="H39" s="14" t="str">
        <x:v>Must</x:v>
      </x:c>
      <x:c r="I39" s="14" t="str">
        <x:v>Mapped</x:v>
      </x:c>
      <x:c r="J39" s="14" t="str">
        <x:v>Designed - Not Executed</x:v>
      </x:c>
      <x:c r="K39" s="14"/>
      <x:c r="L39" s="14"/>
      <x:c r="M39" s="14" t="str">
        <x:v>Source: Step 24 Requirements Baseline PDF p.81. Step 25 story mapping populated from Product Backlog traceability; H3 AIR mapping refined in Step 30 where applicable.</x:v>
      </x:c>
    </x:row>
    <x:row r="40">
      <x:c r="A40" s="14" t="str">
        <x:v>FR-003</x:v>
      </x:c>
      <x:c r="B40" s="14" t="str">
        <x:v>Functional Requirement</x:v>
      </x:c>
      <x:c r="C40" s="14" t="str">
        <x:v>The service shall create a unique dispute case when a valid initiation is recorded.</x:v>
      </x:c>
      <x:c r="D40" s="14" t="str">
        <x:v>H1</x:v>
      </x:c>
      <x:c r="E40" s="14" t="str">
        <x:v>US-003</x:v>
      </x:c>
      <x:c r="F40" s="14" t="str">
        <x:v>UAT</x:v>
      </x:c>
      <x:c r="G40" s="14" t="str">
        <x:v>UAT-01</x:v>
      </x:c>
      <x:c r="H40" s="14" t="str">
        <x:v>Must</x:v>
      </x:c>
      <x:c r="I40" s="14" t="str">
        <x:v>Mapped</x:v>
      </x:c>
      <x:c r="J40" s="14" t="str">
        <x:v>Designed - Not Executed</x:v>
      </x:c>
      <x:c r="K40" s="14"/>
      <x:c r="L40" s="14"/>
      <x:c r="M40" s="14" t="str">
        <x:v>Source: Step 24 Requirements Baseline PDF p.81. Step 25 story mapping populated from Product Backlog traceability; H3 AIR mapping refined in Step 30 where applicable.</x:v>
      </x:c>
    </x:row>
    <x:row r="41">
      <x:c r="A41" s="14" t="str">
        <x:v>FR-004</x:v>
      </x:c>
      <x:c r="B41" s="14" t="str">
        <x:v>Functional Requirement</x:v>
      </x:c>
      <x:c r="C41" s="14" t="str">
        <x:v>The service shall associate the dispute case with the relevant customer and transaction reference where available.</x:v>
      </x:c>
      <x:c r="D41" s="14" t="str">
        <x:v>H1</x:v>
      </x:c>
      <x:c r="E41" s="14" t="str">
        <x:v>US-004</x:v>
      </x:c>
      <x:c r="F41" s="14" t="str">
        <x:v>UAT</x:v>
      </x:c>
      <x:c r="G41" s="14"/>
      <x:c r="H41" s="14" t="str">
        <x:v>Must</x:v>
      </x:c>
      <x:c r="I41" s="14" t="str">
        <x:v>Mapped</x:v>
      </x:c>
      <x:c r="J41" s="14" t="str">
        <x:v>Designed - Not Executed</x:v>
      </x:c>
      <x:c r="K41" s="14"/>
      <x:c r="L41" s="14"/>
      <x:c r="M41" s="14" t="str">
        <x:v>Source: Step 24 Requirements Baseline PDF p.81. Step 25 story mapping populated from Product Backlog traceability; H3 AIR mapping refined in Step 30 where applicable.</x:v>
      </x:c>
    </x:row>
    <x:row r="42">
      <x:c r="A42" s="14" t="str">
        <x:v>FR-005</x:v>
      </x:c>
      <x:c r="B42" s="14" t="str">
        <x:v>Functional Requirement</x:v>
      </x:c>
      <x:c r="C42" s="14" t="str">
        <x:v>The service shall capture the customer's dispute description and relevant initiation information without replacing the customer's original information with generated content.</x:v>
      </x:c>
      <x:c r="D42" s="14" t="str">
        <x:v>H1</x:v>
      </x:c>
      <x:c r="E42" s="14" t="str">
        <x:v>US-004</x:v>
      </x:c>
      <x:c r="F42" s="14" t="str">
        <x:v>UAT</x:v>
      </x:c>
      <x:c r="G42" s="14"/>
      <x:c r="H42" s="14" t="str">
        <x:v>Must</x:v>
      </x:c>
      <x:c r="I42" s="14" t="str">
        <x:v>Mapped</x:v>
      </x:c>
      <x:c r="J42" s="14" t="str">
        <x:v>Designed - Not Executed</x:v>
      </x:c>
      <x:c r="K42" s="14"/>
      <x:c r="L42" s="14"/>
      <x:c r="M42" s="14" t="str">
        <x:v>Source: Step 24 Requirements Baseline PDF p.82. Step 25 story mapping populated from Product Backlog traceability; H3 AIR mapping refined in Step 30 where applicable.</x:v>
      </x:c>
    </x:row>
    <x:row r="43">
      <x:c r="A43" s="14" t="str">
        <x:v>FR-006</x:v>
      </x:c>
      <x:c r="B43" s="14" t="str">
        <x:v>Functional Requirement</x:v>
      </x:c>
      <x:c r="C43" s="14" t="str">
        <x:v>The service shall provide confirmation that the dispute has been received together with appropriate immediate next-step information.</x:v>
      </x:c>
      <x:c r="D43" s="14" t="str">
        <x:v>H1</x:v>
      </x:c>
      <x:c r="E43" s="14" t="str">
        <x:v>US-005</x:v>
      </x:c>
      <x:c r="F43" s="14" t="str">
        <x:v>UAT</x:v>
      </x:c>
      <x:c r="G43" s="14"/>
      <x:c r="H43" s="14" t="str">
        <x:v>Must</x:v>
      </x:c>
      <x:c r="I43" s="14" t="str">
        <x:v>Mapped</x:v>
      </x:c>
      <x:c r="J43" s="14" t="str">
        <x:v>Designed - Not Executed</x:v>
      </x:c>
      <x:c r="K43" s="14"/>
      <x:c r="L43" s="14"/>
      <x:c r="M43" s="14" t="str">
        <x:v>Source: Step 24 Requirements Baseline PDF p.82. Step 25 story mapping populated from Product Backlog traceability; H3 AIR mapping refined in Step 30 where applicable.</x:v>
      </x:c>
    </x:row>
    <x:row r="44">
      <x:c r="A44" s="14" t="str">
        <x:v>FR-007</x:v>
      </x:c>
      <x:c r="B44" s="14" t="str">
        <x:v>Functional Requirement</x:v>
      </x:c>
      <x:c r="C44" s="14" t="str">
        <x:v>The service shall assess whether the minimum information required for the current process stage is available.</x:v>
      </x:c>
      <x:c r="D44" s="14" t="str">
        <x:v>H1</x:v>
      </x:c>
      <x:c r="E44" s="14" t="str">
        <x:v>US-006</x:v>
      </x:c>
      <x:c r="F44" s="14" t="str">
        <x:v>UAT</x:v>
      </x:c>
      <x:c r="G44" s="14"/>
      <x:c r="H44" s="14" t="str">
        <x:v>Must</x:v>
      </x:c>
      <x:c r="I44" s="14" t="str">
        <x:v>Mapped</x:v>
      </x:c>
      <x:c r="J44" s="14" t="str">
        <x:v>Designed - Not Executed</x:v>
      </x:c>
      <x:c r="K44" s="14"/>
      <x:c r="L44" s="14"/>
      <x:c r="M44" s="14" t="str">
        <x:v>Source: Step 24 Requirements Baseline PDF p.83. Step 25 story mapping populated from Product Backlog traceability; H3 AIR mapping refined in Step 30 where applicable.</x:v>
      </x:c>
    </x:row>
    <x:row r="45">
      <x:c r="A45" s="14" t="str">
        <x:v>FR-008</x:v>
      </x:c>
      <x:c r="B45" s="14" t="str">
        <x:v>Functional Requirement</x:v>
      </x:c>
      <x:c r="C45" s="14" t="str">
        <x:v>Where required information is missing, the service shall identify that additional information or evidence is required rather than silently progressing the case as complete.</x:v>
      </x:c>
      <x:c r="D45" s="14" t="str">
        <x:v>H1</x:v>
      </x:c>
      <x:c r="E45" s="14" t="str">
        <x:v>US-007</x:v>
      </x:c>
      <x:c r="F45" s="14" t="str">
        <x:v>UAT</x:v>
      </x:c>
      <x:c r="G45" s="14" t="str">
        <x:v>UAT-02</x:v>
      </x:c>
      <x:c r="H45" s="14" t="str">
        <x:v>Must</x:v>
      </x:c>
      <x:c r="I45" s="14" t="str">
        <x:v>Mapped</x:v>
      </x:c>
      <x:c r="J45" s="14" t="str">
        <x:v>Designed - Not Executed</x:v>
      </x:c>
      <x:c r="K45" s="14"/>
      <x:c r="L45" s="14"/>
      <x:c r="M45" s="14" t="str">
        <x:v>Source: Step 24 Requirements Baseline PDF p.83. Step 25 story mapping populated from Product Backlog traceability; H3 AIR mapping refined in Step 30 where applicable.</x:v>
      </x:c>
    </x:row>
    <x:row r="46">
      <x:c r="A46" s="14" t="str">
        <x:v>FR-009</x:v>
      </x:c>
      <x:c r="B46" s="14" t="str">
        <x:v>Functional Requirement</x:v>
      </x:c>
      <x:c r="C46" s="14" t="str">
        <x:v>The service shall support an authorised human exception where a case is permitted to progress despite incomplete information.</x:v>
      </x:c>
      <x:c r="D46" s="14" t="str">
        <x:v>H1</x:v>
      </x:c>
      <x:c r="E46" s="14" t="str">
        <x:v>US-008</x:v>
      </x:c>
      <x:c r="F46" s="14" t="str">
        <x:v>UAT</x:v>
      </x:c>
      <x:c r="G46" s="14" t="str">
        <x:v>UAT-12</x:v>
      </x:c>
      <x:c r="H46" s="14" t="str">
        <x:v>Must</x:v>
      </x:c>
      <x:c r="I46" s="14" t="str">
        <x:v>Mapped</x:v>
      </x:c>
      <x:c r="J46" s="14" t="str">
        <x:v>Designed - Not Executed</x:v>
      </x:c>
      <x:c r="K46" s="14"/>
      <x:c r="L46" s="14"/>
      <x:c r="M46" s="14" t="str">
        <x:v>Source: Step 24 Requirements Baseline PDF p.84. Step 25 story mapping populated from Product Backlog traceability; H3 AIR mapping refined in Step 30 where applicable.</x:v>
      </x:c>
    </x:row>
    <x:row r="47">
      <x:c r="A47" s="14" t="str">
        <x:v>FR-010</x:v>
      </x:c>
      <x:c r="B47" s="14" t="str">
        <x:v>Functional Requirement</x:v>
      </x:c>
      <x:c r="C47" s="14" t="str">
        <x:v>The service shall maintain whether customer action is currently required and the applicable type of customer action.</x:v>
      </x:c>
      <x:c r="D47" s="14" t="str">
        <x:v>H1</x:v>
      </x:c>
      <x:c r="E47" s="14" t="str">
        <x:v>US-007</x:v>
      </x:c>
      <x:c r="F47" s="14" t="str">
        <x:v>UAT</x:v>
      </x:c>
      <x:c r="G47" s="14"/>
      <x:c r="H47" s="14" t="str">
        <x:v>Must</x:v>
      </x:c>
      <x:c r="I47" s="14" t="str">
        <x:v>Mapped</x:v>
      </x:c>
      <x:c r="J47" s="14" t="str">
        <x:v>Designed - Not Executed</x:v>
      </x:c>
      <x:c r="K47" s="14"/>
      <x:c r="L47" s="14"/>
      <x:c r="M47" s="14" t="str">
        <x:v>Source: Step 24 Requirements Baseline PDF p.84. Step 25 story mapping populated from Product Backlog traceability; H3 AIR mapping refined in Step 30 where applicable.</x:v>
      </x:c>
    </x:row>
    <x:row r="48">
      <x:c r="A48" s="14" t="str">
        <x:v>FR-011</x:v>
      </x:c>
      <x:c r="B48" s="14" t="str">
        <x:v>Functional Requirement</x:v>
      </x:c>
      <x:c r="C48" s="14" t="str">
        <x:v>When additional customer information or evidence is required, the service shall issue an appropriate request and return the received information to the relevant case activity.</x:v>
      </x:c>
      <x:c r="D48" s="14" t="str">
        <x:v>H1</x:v>
      </x:c>
      <x:c r="E48" s="14" t="str">
        <x:v>US-007</x:v>
      </x:c>
      <x:c r="F48" s="14" t="str">
        <x:v>UAT</x:v>
      </x:c>
      <x:c r="G48" s="14" t="str">
        <x:v>UAT-02, UAT-03</x:v>
      </x:c>
      <x:c r="H48" s="14" t="str">
        <x:v>Must</x:v>
      </x:c>
      <x:c r="I48" s="14" t="str">
        <x:v>Mapped</x:v>
      </x:c>
      <x:c r="J48" s="14" t="str">
        <x:v>Designed - Not Executed</x:v>
      </x:c>
      <x:c r="K48" s="14"/>
      <x:c r="L48" s="14"/>
      <x:c r="M48" s="14" t="str">
        <x:v>Source: Step 24 Requirements Baseline PDF p.85. Step 25 story mapping populated from Product Backlog traceability; H3 AIR mapping refined in Step 30 where applicable.</x:v>
      </x:c>
    </x:row>
    <x:row r="49">
      <x:c r="A49" s="14" t="str">
        <x:v>FR-012</x:v>
      </x:c>
      <x:c r="B49" s="14" t="str">
        <x:v>Functional Requirement</x:v>
      </x:c>
      <x:c r="C49" s="14" t="str">
        <x:v>The service shall apply defined deterministic classification logic where the available information is sufficient for such logic.</x:v>
      </x:c>
      <x:c r="D49" s="14" t="str">
        <x:v>H1</x:v>
      </x:c>
      <x:c r="E49" s="14" t="str">
        <x:v>US-009, US-057</x:v>
      </x:c>
      <x:c r="F49" s="14" t="str">
        <x:v>UAT</x:v>
      </x:c>
      <x:c r="G49" s="14"/>
      <x:c r="H49" s="14" t="str">
        <x:v>Must</x:v>
      </x:c>
      <x:c r="I49" s="14" t="str">
        <x:v>Mapped</x:v>
      </x:c>
      <x:c r="J49" s="14" t="str">
        <x:v>Designed - Not Executed</x:v>
      </x:c>
      <x:c r="K49" s="14"/>
      <x:c r="L49" s="14"/>
      <x:c r="M49" s="14" t="str">
        <x:v>Source: Step 24 Requirements Baseline PDF p.85. Step 25 story mapping populated from Product Backlog traceability; H3 AIR mapping refined in Step 30 where applicable.</x:v>
      </x:c>
    </x:row>
    <x:row r="50">
      <x:c r="A50" s="14" t="str">
        <x:v>FR-013</x:v>
      </x:c>
      <x:c r="B50" s="14" t="str">
        <x:v>Functional Requirement</x:v>
      </x:c>
      <x:c r="C50" s="14" t="str">
        <x:v>Where deterministic classification cannot appropriately determine a classification , the service shall route the case for authorised human review.</x:v>
      </x:c>
      <x:c r="D50" s="14" t="str">
        <x:v>H1</x:v>
      </x:c>
      <x:c r="E50" s="14" t="str">
        <x:v>US-010, US-057</x:v>
      </x:c>
      <x:c r="F50" s="14" t="str">
        <x:v>UAT</x:v>
      </x:c>
      <x:c r="G50" s="14"/>
      <x:c r="H50" s="14" t="str">
        <x:v>Must</x:v>
      </x:c>
      <x:c r="I50" s="14" t="str">
        <x:v>Mapped</x:v>
      </x:c>
      <x:c r="J50" s="14" t="str">
        <x:v>Designed - Not Executed</x:v>
      </x:c>
      <x:c r="K50" s="14"/>
      <x:c r="L50" s="14"/>
      <x:c r="M50" s="14" t="str">
        <x:v>Source: Step 24 Requirements Baseline PDF p.86. Step 25 story mapping populated from Product Backlog traceability; H3 AIR mapping refined in Step 30 where applicable.</x:v>
      </x:c>
    </x:row>
    <x:row r="51">
      <x:c r="A51" s="14" t="str">
        <x:v>FR-014</x:v>
      </x:c>
      <x:c r="B51" s="14" t="str">
        <x:v>Functional Requirement</x:v>
      </x:c>
      <x:c r="C51" s="14" t="str">
        <x:v>An authorised user shall be able to confirm or correct an ambiguous case classification .</x:v>
      </x:c>
      <x:c r="D51" s="14" t="str">
        <x:v>H1</x:v>
      </x:c>
      <x:c r="E51" s="14" t="str">
        <x:v>US-011, US-057</x:v>
      </x:c>
      <x:c r="F51" s="14" t="str">
        <x:v>UAT</x:v>
      </x:c>
      <x:c r="G51" s="14" t="str">
        <x:v>UAT-12</x:v>
      </x:c>
      <x:c r="H51" s="14" t="str">
        <x:v>Must</x:v>
      </x:c>
      <x:c r="I51" s="14" t="str">
        <x:v>Mapped</x:v>
      </x:c>
      <x:c r="J51" s="14" t="str">
        <x:v>Designed - Not Executed</x:v>
      </x:c>
      <x:c r="K51" s="14"/>
      <x:c r="L51" s="14"/>
      <x:c r="M51" s="14" t="str">
        <x:v>Source: Step 24 Requirements Baseline PDF p.86. Step 25 story mapping populated from Product Backlog traceability; H3 AIR mapping refined in Step 30 where applicable.</x:v>
      </x:c>
    </x:row>
    <x:row r="52">
      <x:c r="A52" s="14" t="str">
        <x:v>FR-015</x:v>
      </x:c>
      <x:c r="B52" s="14" t="str">
        <x:v>Functional Requirement</x:v>
      </x:c>
      <x:c r="C52" s="14" t="str">
        <x:v>The service shall apply defined priority logic where appropriate priority criteria are available.</x:v>
      </x:c>
      <x:c r="D52" s="14" t="str">
        <x:v>H1</x:v>
      </x:c>
      <x:c r="E52" s="14" t="str">
        <x:v>US-012, US-057</x:v>
      </x:c>
      <x:c r="F52" s="14" t="str">
        <x:v>UAT</x:v>
      </x:c>
      <x:c r="G52" s="14"/>
      <x:c r="H52" s="14" t="str">
        <x:v>Must</x:v>
      </x:c>
      <x:c r="I52" s="14" t="str">
        <x:v>Mapped</x:v>
      </x:c>
      <x:c r="J52" s="14" t="str">
        <x:v>Designed - Not Executed</x:v>
      </x:c>
      <x:c r="K52" s="14"/>
      <x:c r="L52" s="14"/>
      <x:c r="M52" s="14" t="str">
        <x:v>Source: Step 24 Requirements Baseline PDF p.86. Step 25 story mapping populated from Product Backlog traceability; H3 AIR mapping refined in Step 30 where applicable.</x:v>
      </x:c>
    </x:row>
    <x:row r="53">
      <x:c r="A53" s="14" t="str">
        <x:v>FR-016</x:v>
      </x:c>
      <x:c r="B53" s="14" t="str">
        <x:v>Functional Requirement</x:v>
      </x:c>
      <x:c r="C53" s="14" t="str">
        <x:v>The service shall apply defined routing logic where sufficient routing information and approved rules are available.</x:v>
      </x:c>
      <x:c r="D53" s="14" t="str">
        <x:v>H1</x:v>
      </x:c>
      <x:c r="E53" s="14" t="str">
        <x:v>US-013, US-057</x:v>
      </x:c>
      <x:c r="F53" s="14" t="str">
        <x:v>UAT</x:v>
      </x:c>
      <x:c r="G53" s="14"/>
      <x:c r="H53" s="14" t="str">
        <x:v>Must</x:v>
      </x:c>
      <x:c r="I53" s="14" t="str">
        <x:v>Mapped</x:v>
      </x:c>
      <x:c r="J53" s="14" t="str">
        <x:v>Designed - Not Executed</x:v>
      </x:c>
      <x:c r="K53" s="14"/>
      <x:c r="L53" s="14"/>
      <x:c r="M53" s="14" t="str">
        <x:v>Source: Step 24 Requirements Baseline PDF p.87. Step 25 story mapping populated from Product Backlog traceability; H3 AIR mapping refined in Step 30 where applicable.</x:v>
      </x:c>
    </x:row>
    <x:row r="54">
      <x:c r="A54" s="14" t="str">
        <x:v>FR-017</x:v>
      </x:c>
      <x:c r="B54" s="14" t="str">
        <x:v>Functional Requirement</x:v>
      </x:c>
      <x:c r="C54" s="14" t="str">
        <x:v>Where standard routing cannot determine an appropriate destination, the service shall support authorised manual routing.</x:v>
      </x:c>
      <x:c r="D54" s="14" t="str">
        <x:v>H1</x:v>
      </x:c>
      <x:c r="E54" s="14" t="str">
        <x:v>US-014, US-057</x:v>
      </x:c>
      <x:c r="F54" s="14" t="str">
        <x:v>UAT</x:v>
      </x:c>
      <x:c r="G54" s="14"/>
      <x:c r="H54" s="14" t="str">
        <x:v>Must</x:v>
      </x:c>
      <x:c r="I54" s="14" t="str">
        <x:v>Mapped</x:v>
      </x:c>
      <x:c r="J54" s="14" t="str">
        <x:v>Designed - Not Executed</x:v>
      </x:c>
      <x:c r="K54" s="14"/>
      <x:c r="L54" s="14"/>
      <x:c r="M54" s="14" t="str">
        <x:v>Source: Step 24 Requirements Baseline PDF p.87. Step 25 story mapping populated from Product Backlog traceability; H3 AIR mapping refined in Step 30 where applicable.</x:v>
      </x:c>
    </x:row>
    <x:row r="55">
      <x:c r="A55" s="14" t="str">
        <x:v>FR-018</x:v>
      </x:c>
      <x:c r="B55" s="14" t="str">
        <x:v>Functional Requirement</x:v>
      </x:c>
      <x:c r="C55" s="14" t="str">
        <x:v>The service shall assign an appropriate queue, role or owner to each active case requiring internal processing.</x:v>
      </x:c>
      <x:c r="D55" s="14" t="str">
        <x:v>H1</x:v>
      </x:c>
      <x:c r="E55" s="14" t="str">
        <x:v>US-015, US-057</x:v>
      </x:c>
      <x:c r="F55" s="14" t="str">
        <x:v>UAT</x:v>
      </x:c>
      <x:c r="G55" s="14" t="str">
        <x:v>UAT-04, UAT-13</x:v>
      </x:c>
      <x:c r="H55" s="14" t="str">
        <x:v>Must</x:v>
      </x:c>
      <x:c r="I55" s="14" t="str">
        <x:v>Mapped</x:v>
      </x:c>
      <x:c r="J55" s="14" t="str">
        <x:v>Designed - Not Executed</x:v>
      </x:c>
      <x:c r="K55" s="14"/>
      <x:c r="L55" s="14"/>
      <x:c r="M55" s="14" t="str">
        <x:v>Source: Step 24 Requirements Baseline PDF p.87. Step 25 story mapping populated from Product Backlog traceability; H3 AIR mapping refined in Step 30 where applicable.</x:v>
      </x:c>
    </x:row>
    <x:row r="56">
      <x:c r="A56" s="14" t="str">
        <x:v>FR-019</x:v>
      </x:c>
      <x:c r="B56" s="14" t="str">
        <x:v>Functional Requirement</x:v>
      </x:c>
      <x:c r="C56" s="14" t="str">
        <x:v>The service shall enable authorised ownership transfer while preserving the ability to identify the previous responsibility and reason for transfer.</x:v>
      </x:c>
      <x:c r="D56" s="14" t="str">
        <x:v>H1</x:v>
      </x:c>
      <x:c r="E56" s="14" t="str">
        <x:v>US-015, US-057</x:v>
      </x:c>
      <x:c r="F56" s="14" t="str">
        <x:v>UAT</x:v>
      </x:c>
      <x:c r="G56" s="14" t="str">
        <x:v>UAT-04</x:v>
      </x:c>
      <x:c r="H56" s="14" t="str">
        <x:v>Must</x:v>
      </x:c>
      <x:c r="I56" s="14" t="str">
        <x:v>Mapped</x:v>
      </x:c>
      <x:c r="J56" s="14" t="str">
        <x:v>Designed - Not Executed</x:v>
      </x:c>
      <x:c r="K56" s="14"/>
      <x:c r="L56" s="14"/>
      <x:c r="M56" s="14" t="str">
        <x:v>Source: Step 24 Requirements Baseline PDF p.88. Step 25 story mapping populated from Product Backlog traceability; H3 AIR mapping refined in Step 30 where applicable.</x:v>
      </x:c>
    </x:row>
    <x:row r="57">
      <x:c r="A57" s="14" t="str">
        <x:v>FR-020</x:v>
      </x:c>
      <x:c r="B57" s="14" t="str">
        <x:v>Functional Requirement</x:v>
      </x:c>
      <x:c r="C57" s="14" t="str">
        <x:v>The service shall enable an authorised Payment Operations user to access the relevant case information required for investigation.</x:v>
      </x:c>
      <x:c r="D57" s="14" t="str">
        <x:v>H1</x:v>
      </x:c>
      <x:c r="E57" s="14" t="str">
        <x:v>US-016</x:v>
      </x:c>
      <x:c r="F57" s="14" t="str">
        <x:v>UAT</x:v>
      </x:c>
      <x:c r="G57" s="14"/>
      <x:c r="H57" s="14" t="str">
        <x:v>Must</x:v>
      </x:c>
      <x:c r="I57" s="14" t="str">
        <x:v>Mapped</x:v>
      </x:c>
      <x:c r="J57" s="14" t="str">
        <x:v>Designed - Not Executed</x:v>
      </x:c>
      <x:c r="K57" s="14"/>
      <x:c r="L57" s="14"/>
      <x:c r="M57" s="14" t="str">
        <x:v>Source: Step 24 Requirements Baseline PDF p.88. Step 25 story mapping populated from Product Backlog traceability; H3 AIR mapping refined in Step 30 where applicable.</x:v>
      </x:c>
    </x:row>
    <x:row r="58">
      <x:c r="A58" s="14" t="str">
        <x:v>FR-021</x:v>
      </x:c>
      <x:c r="B58" s="14" t="str">
        <x:v>Functional Requirement</x:v>
      </x:c>
      <x:c r="C58" s="14" t="str">
        <x:v>The service shall enable authorised users to access relevant available evidence associated with the dispute.</x:v>
      </x:c>
      <x:c r="D58" s="14" t="str">
        <x:v>H1</x:v>
      </x:c>
      <x:c r="E58" s="14" t="str">
        <x:v>US-017</x:v>
      </x:c>
      <x:c r="F58" s="14" t="str">
        <x:v>UAT</x:v>
      </x:c>
      <x:c r="G58" s="14" t="str">
        <x:v>UAT-03</x:v>
      </x:c>
      <x:c r="H58" s="14" t="str">
        <x:v>Must</x:v>
      </x:c>
      <x:c r="I58" s="14" t="str">
        <x:v>Mapped</x:v>
      </x:c>
      <x:c r="J58" s="14" t="str">
        <x:v>Designed - Not Executed</x:v>
      </x:c>
      <x:c r="K58" s="14"/>
      <x:c r="L58" s="14"/>
      <x:c r="M58" s="14" t="str">
        <x:v>Source: Step 24 Requirements Baseline PDF p.89. Step 25 story mapping populated from Product Backlog traceability; H3 AIR mapping refined in Step 30 where applicable.</x:v>
      </x:c>
    </x:row>
    <x:row r="59">
      <x:c r="A59" s="14" t="str">
        <x:v>FR-022</x:v>
      </x:c>
      <x:c r="B59" s="14" t="str">
        <x:v>Functional Requirement</x:v>
      </x:c>
      <x:c r="C59" s="14" t="str">
        <x:v>The service shall enable the investigator to determine whether available evidence is sufficient to progress toward an outcome.</x:v>
      </x:c>
      <x:c r="D59" s="14" t="str">
        <x:v>H1</x:v>
      </x:c>
      <x:c r="E59" s="14" t="str">
        <x:v>US-018</x:v>
      </x:c>
      <x:c r="F59" s="14" t="str">
        <x:v>UAT</x:v>
      </x:c>
      <x:c r="G59" s="14"/>
      <x:c r="H59" s="14" t="str">
        <x:v>Must</x:v>
      </x:c>
      <x:c r="I59" s="14" t="str">
        <x:v>Mapped</x:v>
      </x:c>
      <x:c r="J59" s="14" t="str">
        <x:v>Designed - Not Executed</x:v>
      </x:c>
      <x:c r="K59" s="14"/>
      <x:c r="L59" s="14"/>
      <x:c r="M59" s="14" t="str">
        <x:v>Source: Step 24 Requirements Baseline PDF p.89. Step 25 story mapping populated from Product Backlog traceability; H3 AIR mapping refined in Step 30 where applicable.</x:v>
      </x:c>
    </x:row>
    <x:row r="60">
      <x:c r="A60" s="14" t="str">
        <x:v>FR-023</x:v>
      </x:c>
      <x:c r="B60" s="14" t="str">
        <x:v>Functional Requirement</x:v>
      </x:c>
      <x:c r="C60" s="14" t="str">
        <x:v>Where additional information or evidence is required during investigation, the service shall return the case to the appropriate evidence-request activity rather than restarting the entire dispute journey.</x:v>
      </x:c>
      <x:c r="D60" s="14" t="str">
        <x:v>H1</x:v>
      </x:c>
      <x:c r="E60" s="14" t="str">
        <x:v>US-019</x:v>
      </x:c>
      <x:c r="F60" s="14" t="str">
        <x:v>UAT</x:v>
      </x:c>
      <x:c r="G60" s="14"/>
      <x:c r="H60" s="14" t="str">
        <x:v>Must</x:v>
      </x:c>
      <x:c r="I60" s="14" t="str">
        <x:v>Mapped</x:v>
      </x:c>
      <x:c r="J60" s="14" t="str">
        <x:v>Designed - Not Executed</x:v>
      </x:c>
      <x:c r="K60" s="14"/>
      <x:c r="L60" s="14"/>
      <x:c r="M60" s="14" t="str">
        <x:v>Source: Step 24 Requirements Baseline PDF p.90. Step 25 story mapping populated from Product Backlog traceability; H3 AIR mapping refined in Step 30 where applicable.</x:v>
      </x:c>
    </x:row>
    <x:row r="61">
      <x:c r="A61" s="14" t="str">
        <x:v>FR-024</x:v>
      </x:c>
      <x:c r="B61" s="14" t="str">
        <x:v>Functional Requirement</x:v>
      </x:c>
      <x:c r="C61" s="14" t="str">
        <x:v>The service shall support reuse of relevant information or evidence already appropriately provided where suitable.</x:v>
      </x:c>
      <x:c r="D61" s="14" t="str">
        <x:v>H1</x:v>
      </x:c>
      <x:c r="E61" s="14" t="str">
        <x:v>US-020</x:v>
      </x:c>
      <x:c r="F61" s="14" t="str">
        <x:v>UAT</x:v>
      </x:c>
      <x:c r="G61" s="14"/>
      <x:c r="H61" s="14" t="str">
        <x:v>Should</x:v>
      </x:c>
      <x:c r="I61" s="14" t="str">
        <x:v>Mapped</x:v>
      </x:c>
      <x:c r="J61" s="14" t="str">
        <x:v>Designed - Not Executed</x:v>
      </x:c>
      <x:c r="K61" s="14"/>
      <x:c r="L61" s="14"/>
      <x:c r="M61" s="14" t="str">
        <x:v>Source: Step 24 Requirements Baseline PDF p.90. Step 25 story mapping populated from Product Backlog traceability; H3 AIR mapping refined in Step 30 where applicable.</x:v>
      </x:c>
    </x:row>
    <x:row r="62">
      <x:c r="A62" s="14" t="str">
        <x:v>FR-025</x:v>
      </x:c>
      <x:c r="B62" s="14" t="str">
        <x:v>Functional Requirement</x:v>
      </x:c>
      <x:c r="C62" s="14" t="str">
        <x:v>Where information or evidence must legitimately be requested again, the service shall support recording the reason for the repeat request.</x:v>
      </x:c>
      <x:c r="D62" s="14" t="str">
        <x:v>H1</x:v>
      </x:c>
      <x:c r="E62" s="14" t="str">
        <x:v>US-021</x:v>
      </x:c>
      <x:c r="F62" s="14" t="str">
        <x:v>UAT</x:v>
      </x:c>
      <x:c r="G62" s="14"/>
      <x:c r="H62" s="14" t="str">
        <x:v>Should</x:v>
      </x:c>
      <x:c r="I62" s="14" t="str">
        <x:v>Mapped</x:v>
      </x:c>
      <x:c r="J62" s="14" t="str">
        <x:v>Designed - Not Executed</x:v>
      </x:c>
      <x:c r="K62" s="14"/>
      <x:c r="L62" s="14"/>
      <x:c r="M62" s="14" t="str">
        <x:v>Source: Step 24 Requirements Baseline PDF p.91. Step 25 story mapping populated from Product Backlog traceability; H3 AIR mapping refined in Step 30 where applicable.</x:v>
      </x:c>
    </x:row>
    <x:row r="63">
      <x:c r="A63" s="14" t="str">
        <x:v>FR-026</x:v>
      </x:c>
      <x:c r="B63" s="14" t="str">
        <x:v>Functional Requirement</x:v>
      </x:c>
      <x:c r="C63" s="14" t="str">
        <x:v>The service shall allow investigation activity to continue without requiring any optional AI assistance capability.</x:v>
      </x:c>
      <x:c r="D63" s="14" t="str">
        <x:v>H1</x:v>
      </x:c>
      <x:c r="E63" s="14" t="str">
        <x:v>US-022</x:v>
      </x:c>
      <x:c r="F63" s="14" t="str">
        <x:v>UAT</x:v>
      </x:c>
      <x:c r="G63" s="14"/>
      <x:c r="H63" s="14" t="str">
        <x:v>Must</x:v>
      </x:c>
      <x:c r="I63" s="14" t="str">
        <x:v>Mapped</x:v>
      </x:c>
      <x:c r="J63" s="14" t="str">
        <x:v>Designed - Not Executed</x:v>
      </x:c>
      <x:c r="K63" s="14"/>
      <x:c r="L63" s="14"/>
      <x:c r="M63" s="14" t="str">
        <x:v>Source: Step 24 Requirements Baseline PDF p.91. Step 25 story mapping populated from Product Backlog traceability; H3 AIR mapping refined in Step 30 where applicable.</x:v>
      </x:c>
    </x:row>
    <x:row r="64">
      <x:c r="A64" s="14" t="str">
        <x:v>FR-027</x:v>
      </x:c>
      <x:c r="B64" s="14" t="str">
        <x:v>Functional Requirement</x:v>
      </x:c>
      <x:c r="C64" s="14" t="str">
        <x:v>The service shall enable an investigator to initiate a specialist referral where specialist involvement is required.</x:v>
      </x:c>
      <x:c r="D64" s="14" t="str">
        <x:v>H1</x:v>
      </x:c>
      <x:c r="E64" s="14" t="str">
        <x:v>US-023</x:v>
      </x:c>
      <x:c r="F64" s="14" t="str">
        <x:v>UAT</x:v>
      </x:c>
      <x:c r="G64" s="14" t="str">
        <x:v>UAT-05</x:v>
      </x:c>
      <x:c r="H64" s="14" t="str">
        <x:v>Must</x:v>
      </x:c>
      <x:c r="I64" s="14" t="str">
        <x:v>Mapped</x:v>
      </x:c>
      <x:c r="J64" s="14" t="str">
        <x:v>Designed - Not Executed</x:v>
      </x:c>
      <x:c r="K64" s="14"/>
      <x:c r="L64" s="14"/>
      <x:c r="M64" s="14" t="str">
        <x:v>Source: Step 24 Requirements Baseline PDF p.92. Step 25 story mapping populated from Product Backlog traceability; H3 AIR mapping refined in Step 30 where applicable.</x:v>
      </x:c>
    </x:row>
    <x:row r="65">
      <x:c r="A65" s="14" t="str">
        <x:v>FR-028</x:v>
      </x:c>
      <x:c r="B65" s="14" t="str">
        <x:v>Functional Requirement</x:v>
      </x:c>
      <x:c r="C65" s="14" t="str">
        <x:v>Before a specialist referral is transferred, the service shall support validation that the required referral context is available.</x:v>
      </x:c>
      <x:c r="D65" s="14" t="str">
        <x:v>H1</x:v>
      </x:c>
      <x:c r="E65" s="14" t="str">
        <x:v>US-024</x:v>
      </x:c>
      <x:c r="F65" s="14" t="str">
        <x:v>UAT</x:v>
      </x:c>
      <x:c r="G65" s="14" t="str">
        <x:v>UAT-05</x:v>
      </x:c>
      <x:c r="H65" s="14" t="str">
        <x:v>Must</x:v>
      </x:c>
      <x:c r="I65" s="14" t="str">
        <x:v>Mapped</x:v>
      </x:c>
      <x:c r="J65" s="14" t="str">
        <x:v>Designed - Not Executed</x:v>
      </x:c>
      <x:c r="K65" s="14"/>
      <x:c r="L65" s="14"/>
      <x:c r="M65" s="14" t="str">
        <x:v>Source: Step 24 Requirements Baseline PDF p.92. Step 25 story mapping populated from Product Backlog traceability; H3 AIR mapping refined in Step 30 where applicable.</x:v>
      </x:c>
    </x:row>
    <x:row r="66">
      <x:c r="A66" s="14" t="str">
        <x:v>FR-029</x:v>
      </x:c>
      <x:c r="B66" s="14" t="str">
        <x:v>Functional Requirement</x:v>
      </x:c>
      <x:c r="C66" s="14" t="str">
        <x:v>The service shall enable the referral to specify the specialist type, referral reason and requested specialist action.</x:v>
      </x:c>
      <x:c r="D66" s="14" t="str">
        <x:v>H1</x:v>
      </x:c>
      <x:c r="E66" s="14" t="str">
        <x:v>US-025</x:v>
      </x:c>
      <x:c r="F66" s="14" t="str">
        <x:v>UAT</x:v>
      </x:c>
      <x:c r="G66" s="14" t="str">
        <x:v>UAT-05</x:v>
      </x:c>
      <x:c r="H66" s="14" t="str">
        <x:v>Must</x:v>
      </x:c>
      <x:c r="I66" s="14" t="str">
        <x:v>Mapped</x:v>
      </x:c>
      <x:c r="J66" s="14" t="str">
        <x:v>Designed - Not Executed</x:v>
      </x:c>
      <x:c r="K66" s="14"/>
      <x:c r="L66" s="14"/>
      <x:c r="M66" s="14" t="str">
        <x:v>Source: Step 24 Requirements Baseline PDF p.92. Step 25 story mapping populated from Product Backlog traceability; H3 AIR mapping refined in Step 30 where applicable.</x:v>
      </x:c>
    </x:row>
    <x:row r="67">
      <x:c r="A67" s="14" t="str">
        <x:v>FR-030</x:v>
      </x:c>
      <x:c r="B67" s="14" t="str">
        <x:v>Functional Requirement</x:v>
      </x:c>
      <x:c r="C67" s="14" t="str">
        <x:v>The service shall support referral to Fraud Review when applicable Fraud referral criteria or authorised judgement indicate that Fraud Review is required.</x:v>
      </x:c>
      <x:c r="D67" s="14" t="str">
        <x:v>H1</x:v>
      </x:c>
      <x:c r="E67" s="14" t="str">
        <x:v>US-026</x:v>
      </x:c>
      <x:c r="F67" s="14" t="str">
        <x:v>UAT</x:v>
      </x:c>
      <x:c r="G67" s="14"/>
      <x:c r="H67" s="14" t="str">
        <x:v>Must</x:v>
      </x:c>
      <x:c r="I67" s="14" t="str">
        <x:v>Mapped</x:v>
      </x:c>
      <x:c r="J67" s="14" t="str">
        <x:v>Designed - Not Executed</x:v>
      </x:c>
      <x:c r="K67" s="14"/>
      <x:c r="L67" s="14"/>
      <x:c r="M67" s="14" t="str">
        <x:v>Source: Step 24 Requirements Baseline PDF p.93. Step 25 story mapping populated from Product Backlog traceability; H3 AIR mapping refined in Step 30 where applicable.</x:v>
      </x:c>
    </x:row>
    <x:row r="68">
      <x:c r="A68" s="14" t="str">
        <x:v>FR-031</x:v>
      </x:c>
      <x:c r="B68" s="14" t="str">
        <x:v>Functional Requirement</x:v>
      </x:c>
      <x:c r="C68" s="14" t="str">
        <x:v>The service shall support referral to Technical Support where technical investigation is required.</x:v>
      </x:c>
      <x:c r="D68" s="14" t="str">
        <x:v>H1</x:v>
      </x:c>
      <x:c r="E68" s="14" t="str">
        <x:v>US-027</x:v>
      </x:c>
      <x:c r="F68" s="14" t="str">
        <x:v>UAT</x:v>
      </x:c>
      <x:c r="G68" s="14"/>
      <x:c r="H68" s="14" t="str">
        <x:v>Must</x:v>
      </x:c>
      <x:c r="I68" s="14" t="str">
        <x:v>Mapped</x:v>
      </x:c>
      <x:c r="J68" s="14" t="str">
        <x:v>Designed - Not Executed</x:v>
      </x:c>
      <x:c r="K68" s="14"/>
      <x:c r="L68" s="14"/>
      <x:c r="M68" s="14" t="str">
        <x:v>Source: Step 24 Requirements Baseline PDF p.93. Step 25 story mapping populated from Product Backlog traceability; H3 AIR mapping refined in Step 30 where applicable.</x:v>
      </x:c>
    </x:row>
    <x:row r="69">
      <x:c r="A69" s="14" t="str">
        <x:v>FR-032</x:v>
      </x:c>
      <x:c r="B69" s="14" t="str">
        <x:v>Functional Requirement</x:v>
      </x:c>
      <x:c r="C69" s="14" t="str">
        <x:v>The service shall support referral to Refund / Finance where a financial review or approval is required.</x:v>
      </x:c>
      <x:c r="D69" s="14" t="str">
        <x:v>H1</x:v>
      </x:c>
      <x:c r="E69" s="14" t="str">
        <x:v>US-028</x:v>
      </x:c>
      <x:c r="F69" s="14" t="str">
        <x:v>UAT</x:v>
      </x:c>
      <x:c r="G69" s="14"/>
      <x:c r="H69" s="14" t="str">
        <x:v>Must</x:v>
      </x:c>
      <x:c r="I69" s="14" t="str">
        <x:v>Mapped</x:v>
      </x:c>
      <x:c r="J69" s="14" t="str">
        <x:v>Designed - Not Executed</x:v>
      </x:c>
      <x:c r="K69" s="14"/>
      <x:c r="L69" s="14"/>
      <x:c r="M69" s="14" t="str">
        <x:v>Source: Step 24 Requirements Baseline PDF p.93. Step 25 story mapping populated from Product Backlog traceability; H3 AIR mapping refined in Step 30 where applicable.</x:v>
      </x:c>
    </x:row>
    <x:row r="70">
      <x:c r="A70" s="14" t="str">
        <x:v>FR-033</x:v>
      </x:c>
      <x:c r="B70" s="14" t="str">
        <x:v>Functional Requirement</x:v>
      </x:c>
      <x:c r="C70" s="14" t="str">
        <x:v>The service shall support more than one relevant specialist pathway where the case legitimately requires multiple specialist activities.</x:v>
      </x:c>
      <x:c r="D70" s="14" t="str">
        <x:v>H1</x:v>
      </x:c>
      <x:c r="E70" s="14" t="str">
        <x:v>US-029</x:v>
      </x:c>
      <x:c r="F70" s="14" t="str">
        <x:v>UAT</x:v>
      </x:c>
      <x:c r="G70" s="14"/>
      <x:c r="H70" s="14" t="str">
        <x:v>Should</x:v>
      </x:c>
      <x:c r="I70" s="14" t="str">
        <x:v>Mapped</x:v>
      </x:c>
      <x:c r="J70" s="14" t="str">
        <x:v>Designed - Not Executed</x:v>
      </x:c>
      <x:c r="K70" s="14"/>
      <x:c r="L70" s="14"/>
      <x:c r="M70" s="14" t="str">
        <x:v>Source: Step 24 Requirements Baseline PDF p.94. Step 25 story mapping populated from Product Backlog traceability; H3 AIR mapping refined in Step 30 where applicable.</x:v>
      </x:c>
    </x:row>
    <x:row r="71">
      <x:c r="A71" s="14" t="str">
        <x:v>FR-034</x:v>
      </x:c>
      <x:c r="B71" s="14" t="str">
        <x:v>Functional Requirement</x:v>
      </x:c>
      <x:c r="C71" s="14" t="str">
        <x:v>The service shall enable authorised users to record specialist findings and make them available to the relevant case decision activity.</x:v>
      </x:c>
      <x:c r="D71" s="14" t="str">
        <x:v>H1</x:v>
      </x:c>
      <x:c r="E71" s="14" t="str">
        <x:v>US-030</x:v>
      </x:c>
      <x:c r="F71" s="14" t="str">
        <x:v>UAT</x:v>
      </x:c>
      <x:c r="G71" s="14" t="str">
        <x:v>UAT-06</x:v>
      </x:c>
      <x:c r="H71" s="14" t="str">
        <x:v>Must</x:v>
      </x:c>
      <x:c r="I71" s="14" t="str">
        <x:v>Mapped</x:v>
      </x:c>
      <x:c r="J71" s="14" t="str">
        <x:v>Designed - Not Executed</x:v>
      </x:c>
      <x:c r="K71" s="14"/>
      <x:c r="L71" s="14"/>
      <x:c r="M71" s="14" t="str">
        <x:v>Source: Step 24 Requirements Baseline PDF p.95. Step 25 story mapping populated from Product Backlog traceability; H3 AIR mapping refined in Step 30 where applicable.</x:v>
      </x:c>
    </x:row>
    <x:row r="72">
      <x:c r="A72" s="14" t="str">
        <x:v>FR-035</x:v>
      </x:c>
      <x:c r="B72" s="14" t="str">
        <x:v>Functional Requirement</x:v>
      </x:c>
      <x:c r="C72" s="14" t="str">
        <x:v>The service shall enable an accountable human user to record the authoritative dispute decision and supporting rationale where required.</x:v>
      </x:c>
      <x:c r="D72" s="14" t="str">
        <x:v>H1</x:v>
      </x:c>
      <x:c r="E72" s="14" t="str">
        <x:v>US-031</x:v>
      </x:c>
      <x:c r="F72" s="14" t="str">
        <x:v>UAT</x:v>
      </x:c>
      <x:c r="G72" s="14" t="str">
        <x:v>UAT-07</x:v>
      </x:c>
      <x:c r="H72" s="14" t="str">
        <x:v>Must</x:v>
      </x:c>
      <x:c r="I72" s="14" t="str">
        <x:v>Mapped</x:v>
      </x:c>
      <x:c r="J72" s="14" t="str">
        <x:v>Designed - Not Executed</x:v>
      </x:c>
      <x:c r="K72" s="14"/>
      <x:c r="L72" s="14"/>
      <x:c r="M72" s="14" t="str">
        <x:v>Source: Step 24 Requirements Baseline PDF p.95. Step 25 story mapping populated from Product Backlog traceability; H3 AIR mapping refined in Step 30 where applicable.</x:v>
      </x:c>
    </x:row>
    <x:row r="73">
      <x:c r="A73" s="14" t="str">
        <x:v>FR-036</x:v>
      </x:c>
      <x:c r="B73" s="14" t="str">
        <x:v>Functional Requirement</x:v>
      </x:c>
      <x:c r="C73" s="14" t="str">
        <x:v>The service shall ensure that a Fraud outcome requiring specialist judgement is recorded under the authority of an appropriate human Fraud role.</x:v>
      </x:c>
      <x:c r="D73" s="14" t="str">
        <x:v>H1</x:v>
      </x:c>
      <x:c r="E73" s="14" t="str">
        <x:v>US-032</x:v>
      </x:c>
      <x:c r="F73" s="14" t="str">
        <x:v>UAT</x:v>
      </x:c>
      <x:c r="G73" s="14"/>
      <x:c r="H73" s="14" t="str">
        <x:v>Must</x:v>
      </x:c>
      <x:c r="I73" s="14" t="str">
        <x:v>Mapped</x:v>
      </x:c>
      <x:c r="J73" s="14" t="str">
        <x:v>Designed - Not Executed</x:v>
      </x:c>
      <x:c r="K73" s="14"/>
      <x:c r="L73" s="14"/>
      <x:c r="M73" s="14" t="str">
        <x:v>Source: Step 24 Requirements Baseline PDF p.96. Step 25 story mapping populated from Product Backlog traceability; H3 AIR mapping refined in Step 30 where applicable.</x:v>
      </x:c>
    </x:row>
    <x:row r="74">
      <x:c r="A74" s="14" t="str">
        <x:v>FR-037</x:v>
      </x:c>
      <x:c r="B74" s="14" t="str">
        <x:v>Functional Requirement</x:v>
      </x:c>
      <x:c r="C74" s="14" t="str">
        <x:v>The service shall ensure that a required refund approval is completed by an appropriately authorised human role before the dependent financial action is treated as approved.</x:v>
      </x:c>
      <x:c r="D74" s="14" t="str">
        <x:v>H1</x:v>
      </x:c>
      <x:c r="E74" s="14" t="str">
        <x:v>US-033</x:v>
      </x:c>
      <x:c r="F74" s="14" t="str">
        <x:v>UAT</x:v>
      </x:c>
      <x:c r="G74" s="14" t="str">
        <x:v>UAT-08</x:v>
      </x:c>
      <x:c r="H74" s="14" t="str">
        <x:v>Must</x:v>
      </x:c>
      <x:c r="I74" s="14" t="str">
        <x:v>Mapped</x:v>
      </x:c>
      <x:c r="J74" s="14" t="str">
        <x:v>Designed - Not Executed</x:v>
      </x:c>
      <x:c r="K74" s="14"/>
      <x:c r="L74" s="14"/>
      <x:c r="M74" s="14" t="str">
        <x:v>Source: Step 24 Requirements Baseline PDF p.96. Step 25 story mapping populated from Product Backlog traceability; H3 AIR mapping refined in Step 30 where applicable.</x:v>
      </x:c>
    </x:row>
    <x:row r="75">
      <x:c r="A75" s="14" t="str">
        <x:v>FR-038</x:v>
      </x:c>
      <x:c r="B75" s="14" t="str">
        <x:v>Functional Requirement</x:v>
      </x:c>
      <x:c r="C75" s="14" t="str">
        <x:v>The service shall identify whether required business or control approvals remain outstanding before progressing to final outcome completion.</x:v>
      </x:c>
      <x:c r="D75" s="14" t="str">
        <x:v>H1</x:v>
      </x:c>
      <x:c r="E75" s="14" t="str">
        <x:v>US-034</x:v>
      </x:c>
      <x:c r="F75" s="14" t="str">
        <x:v>UAT</x:v>
      </x:c>
      <x:c r="G75" s="14" t="str">
        <x:v>UAT-08</x:v>
      </x:c>
      <x:c r="H75" s="14" t="str">
        <x:v>Must</x:v>
      </x:c>
      <x:c r="I75" s="14" t="str">
        <x:v>Mapped</x:v>
      </x:c>
      <x:c r="J75" s="14" t="str">
        <x:v>Designed - Not Executed</x:v>
      </x:c>
      <x:c r="K75" s="14"/>
      <x:c r="L75" s="14"/>
      <x:c r="M75" s="14" t="str">
        <x:v>Source: Step 24 Requirements Baseline PDF p.97. Step 25 story mapping populated from Product Backlog traceability; H3 AIR mapping refined in Step 30 where applicable.</x:v>
      </x:c>
    </x:row>
    <x:row r="76">
      <x:c r="A76" s="14" t="str">
        <x:v>FR-039</x:v>
      </x:c>
      <x:c r="B76" s="14" t="str">
        <x:v>Functional Requirement</x:v>
      </x:c>
      <x:c r="C76" s="14" t="str">
        <x:v>The service shall enable appropriate customer communication to be triggered by relevant dispute lifecycle events.</x:v>
      </x:c>
      <x:c r="D76" s="14" t="str">
        <x:v>H1</x:v>
      </x:c>
      <x:c r="E76" s="14" t="str">
        <x:v>US-035, US-060</x:v>
      </x:c>
      <x:c r="F76" s="14" t="str">
        <x:v>UAT</x:v>
      </x:c>
      <x:c r="G76" s="14" t="str">
        <x:v>UAT-09</x:v>
      </x:c>
      <x:c r="H76" s="14" t="str">
        <x:v>Must</x:v>
      </x:c>
      <x:c r="I76" s="14" t="str">
        <x:v>Mapped</x:v>
      </x:c>
      <x:c r="J76" s="14" t="str">
        <x:v>Designed - Not Executed</x:v>
      </x:c>
      <x:c r="K76" s="14"/>
      <x:c r="L76" s="14"/>
      <x:c r="M76" s="14" t="str">
        <x:v>Source: Step 24 Requirements Baseline PDF p.97. Step 25 story mapping populated from Product Backlog traceability; H3 AIR mapping refined in Step 30 where applicable.</x:v>
      </x:c>
    </x:row>
    <x:row r="77">
      <x:c r="A77" s="14" t="str">
        <x:v>FR-040</x:v>
      </x:c>
      <x:c r="B77" s="14" t="str">
        <x:v>Functional Requirement</x:v>
      </x:c>
      <x:c r="C77" s="14" t="str">
        <x:v>The service shall enable the customer to be informed when a material action is required from them.</x:v>
      </x:c>
      <x:c r="D77" s="14" t="str">
        <x:v>H1</x:v>
      </x:c>
      <x:c r="E77" s="14" t="str">
        <x:v>US-036, US-060</x:v>
      </x:c>
      <x:c r="F77" s="14" t="str">
        <x:v>UAT</x:v>
      </x:c>
      <x:c r="G77" s="14"/>
      <x:c r="H77" s="14" t="str">
        <x:v>Must</x:v>
      </x:c>
      <x:c r="I77" s="14" t="str">
        <x:v>Mapped</x:v>
      </x:c>
      <x:c r="J77" s="14" t="str">
        <x:v>Designed - Not Executed</x:v>
      </x:c>
      <x:c r="K77" s="14"/>
      <x:c r="L77" s="14"/>
      <x:c r="M77" s="14" t="str">
        <x:v>Source: Step 24 Requirements Baseline PDF p.98. Step 25 story mapping populated from Product Backlog traceability; H3 AIR mapping refined in Step 30 where applicable.</x:v>
      </x:c>
    </x:row>
    <x:row r="78">
      <x:c r="A78" s="14" t="str">
        <x:v>FR-041</x:v>
      </x:c>
      <x:c r="B78" s="14" t="str">
        <x:v>Functional Requirement</x:v>
      </x:c>
      <x:c r="C78" s="14" t="str">
        <x:v>The service shall support appropriate progress communication for long-running or specialist disputes where such communication is suitable.</x:v>
      </x:c>
      <x:c r="D78" s="14" t="str">
        <x:v>H1</x:v>
      </x:c>
      <x:c r="E78" s="14" t="str">
        <x:v>US-037, US-060</x:v>
      </x:c>
      <x:c r="F78" s="14" t="str">
        <x:v>UAT</x:v>
      </x:c>
      <x:c r="G78" s="14"/>
      <x:c r="H78" s="14" t="str">
        <x:v>Should</x:v>
      </x:c>
      <x:c r="I78" s="14" t="str">
        <x:v>Mapped</x:v>
      </x:c>
      <x:c r="J78" s="14" t="str">
        <x:v>Designed - Not Executed</x:v>
      </x:c>
      <x:c r="K78" s="14"/>
      <x:c r="L78" s="14"/>
      <x:c r="M78" s="14" t="str">
        <x:v>Source: Step 24 Requirements Baseline PDF p.98. Step 25 story mapping populated from Product Backlog traceability; H3 AIR mapping refined in Step 30 where applicable.</x:v>
      </x:c>
    </x:row>
    <x:row r="79">
      <x:c r="A79" s="14" t="str">
        <x:v>FR-042</x:v>
      </x:c>
      <x:c r="B79" s="14" t="str">
        <x:v>Functional Requirement</x:v>
      </x:c>
      <x:c r="C79" s="14" t="str">
        <x:v>The service shall enable the final dispute outcome, relevant explanation and appropriate next steps to be communicated to the customer.</x:v>
      </x:c>
      <x:c r="D79" s="14" t="str">
        <x:v>H1</x:v>
      </x:c>
      <x:c r="E79" s="14" t="str">
        <x:v>US-038, US-060</x:v>
      </x:c>
      <x:c r="F79" s="14" t="str">
        <x:v>UAT</x:v>
      </x:c>
      <x:c r="G79" s="14" t="str">
        <x:v>UAT-09</x:v>
      </x:c>
      <x:c r="H79" s="14" t="str">
        <x:v>Must</x:v>
      </x:c>
      <x:c r="I79" s="14" t="str">
        <x:v>Mapped</x:v>
      </x:c>
      <x:c r="J79" s="14" t="str">
        <x:v>Designed - Not Executed</x:v>
      </x:c>
      <x:c r="K79" s="14"/>
      <x:c r="L79" s="14"/>
      <x:c r="M79" s="14" t="str">
        <x:v>Source: Step 24 Requirements Baseline PDF p.99. Step 25 story mapping populated from Product Backlog traceability; H3 AIR mapping refined in Step 30 where applicable.</x:v>
      </x:c>
    </x:row>
    <x:row r="80">
      <x:c r="A80" s="14" t="str">
        <x:v>FR-043</x:v>
      </x:c>
      <x:c r="B80" s="14" t="str">
        <x:v>Functional Requirement</x:v>
      </x:c>
      <x:c r="C80" s="14" t="str">
        <x:v>The service shall maintain a relationship between customer communications and the relevant dispute case.</x:v>
      </x:c>
      <x:c r="D80" s="14" t="str">
        <x:v>H1</x:v>
      </x:c>
      <x:c r="E80" s="14" t="str">
        <x:v>US-039, US-060</x:v>
      </x:c>
      <x:c r="F80" s="14" t="str">
        <x:v>UAT</x:v>
      </x:c>
      <x:c r="G80" s="14" t="str">
        <x:v>UAT-09</x:v>
      </x:c>
      <x:c r="H80" s="14" t="str">
        <x:v>Must</x:v>
      </x:c>
      <x:c r="I80" s="14" t="str">
        <x:v>Mapped</x:v>
      </x:c>
      <x:c r="J80" s="14" t="str">
        <x:v>Designed - Not Executed</x:v>
      </x:c>
      <x:c r="K80" s="14"/>
      <x:c r="L80" s="14"/>
      <x:c r="M80" s="14" t="str">
        <x:v>Source: Step 24 Requirements Baseline PDF p.99. Step 25 story mapping populated from Product Backlog traceability; H3 AIR mapping refined in Step 30 where applicable.</x:v>
      </x:c>
    </x:row>
    <x:row r="81">
      <x:c r="A81" s="14" t="str">
        <x:v>FR-044</x:v>
      </x:c>
      <x:c r="B81" s="14" t="str">
        <x:v>Functional Requirement</x:v>
      </x:c>
      <x:c r="C81" s="14" t="str">
        <x:v>The service shall enable a complaint or escalation to be associated with the relevant underlying dispute case.</x:v>
      </x:c>
      <x:c r="D81" s="14" t="str">
        <x:v>H1</x:v>
      </x:c>
      <x:c r="E81" s="14" t="str">
        <x:v>US-040</x:v>
      </x:c>
      <x:c r="F81" s="14" t="str">
        <x:v>UAT</x:v>
      </x:c>
      <x:c r="G81" s="14" t="str">
        <x:v>UAT-11</x:v>
      </x:c>
      <x:c r="H81" s="14" t="str">
        <x:v>Must</x:v>
      </x:c>
      <x:c r="I81" s="14" t="str">
        <x:v>Mapped</x:v>
      </x:c>
      <x:c r="J81" s="14" t="str">
        <x:v>Designed - Not Executed</x:v>
      </x:c>
      <x:c r="K81" s="14"/>
      <x:c r="L81" s="14"/>
      <x:c r="M81" s="14" t="str">
        <x:v>Source: Step 24 Requirements Baseline PDF p.100. Step 25 story mapping populated from Product Backlog traceability; H3 AIR mapping refined in Step 30 where applicable.</x:v>
      </x:c>
    </x:row>
    <x:row r="82">
      <x:c r="A82" s="14" t="str">
        <x:v>FR-045</x:v>
      </x:c>
      <x:c r="B82" s="14" t="str">
        <x:v>Functional Requirement</x:v>
      </x:c>
      <x:c r="C82" s="14" t="str">
        <x:v>The service shall enable an authorised Complaints user to access the relevant dispute, decision and customer communication history required for complaint review.</x:v>
      </x:c>
      <x:c r="D82" s="14" t="str">
        <x:v>H1</x:v>
      </x:c>
      <x:c r="E82" s="14" t="str">
        <x:v>US-041</x:v>
      </x:c>
      <x:c r="F82" s="14" t="str">
        <x:v>UAT</x:v>
      </x:c>
      <x:c r="G82" s="14" t="str">
        <x:v>UAT-11</x:v>
      </x:c>
      <x:c r="H82" s="14" t="str">
        <x:v>Must</x:v>
      </x:c>
      <x:c r="I82" s="14" t="str">
        <x:v>Mapped</x:v>
      </x:c>
      <x:c r="J82" s="14" t="str">
        <x:v>Designed - Not Executed</x:v>
      </x:c>
      <x:c r="K82" s="14"/>
      <x:c r="L82" s="14"/>
      <x:c r="M82" s="14" t="str">
        <x:v>Source: Step 24 Requirements Baseline PDF p.100. Step 25 story mapping populated from Product Backlog traceability; H3 AIR mapping refined in Step 30 where applicable.</x:v>
      </x:c>
    </x:row>
    <x:row r="83">
      <x:c r="A83" s="14" t="str">
        <x:v>FR-046</x:v>
      </x:c>
      <x:c r="B83" s="14" t="str">
        <x:v>Functional Requirement</x:v>
      </x:c>
      <x:c r="C83" s="14" t="str">
        <x:v>The service shall enable the authoritative complaint outcome and rationale to be recorded by an appropriate human Complaints role.</x:v>
      </x:c>
      <x:c r="D83" s="14" t="str">
        <x:v>H1</x:v>
      </x:c>
      <x:c r="E83" s="14" t="str">
        <x:v>US-042</x:v>
      </x:c>
      <x:c r="F83" s="14" t="str">
        <x:v>UAT</x:v>
      </x:c>
      <x:c r="G83" s="14" t="str">
        <x:v>UAT-11</x:v>
      </x:c>
      <x:c r="H83" s="14" t="str">
        <x:v>Must</x:v>
      </x:c>
      <x:c r="I83" s="14" t="str">
        <x:v>Mapped</x:v>
      </x:c>
      <x:c r="J83" s="14" t="str">
        <x:v>Designed - Not Executed</x:v>
      </x:c>
      <x:c r="K83" s="14"/>
      <x:c r="L83" s="14"/>
      <x:c r="M83" s="14" t="str">
        <x:v>Source: Step 24 Requirements Baseline PDF p.101. Step 25 story mapping populated from Product Backlog traceability; H3 AIR mapping refined in Step 30 where applicable.</x:v>
      </x:c>
    </x:row>
    <x:row r="84">
      <x:c r="A84" s="14" t="str">
        <x:v>FR-047</x:v>
      </x:c>
      <x:c r="B84" s="14" t="str">
        <x:v>Functional Requirement</x:v>
      </x:c>
      <x:c r="C84" s="14" t="str">
        <x:v>Before final closure, the service shall validate that applicable decision, approval, communication and outstanding-action conditions have been appropriately completed or accounted for.</x:v>
      </x:c>
      <x:c r="D84" s="14" t="str">
        <x:v>H1</x:v>
      </x:c>
      <x:c r="E84" s="14" t="str">
        <x:v>US-043</x:v>
      </x:c>
      <x:c r="F84" s="14" t="str">
        <x:v>UAT</x:v>
      </x:c>
      <x:c r="G84" s="14" t="str">
        <x:v>UAT-10</x:v>
      </x:c>
      <x:c r="H84" s="14" t="str">
        <x:v>Must</x:v>
      </x:c>
      <x:c r="I84" s="14" t="str">
        <x:v>Mapped</x:v>
      </x:c>
      <x:c r="J84" s="14" t="str">
        <x:v>Designed - Not Executed</x:v>
      </x:c>
      <x:c r="K84" s="14"/>
      <x:c r="L84" s="14"/>
      <x:c r="M84" s="14" t="str">
        <x:v>Source: Step 24 Requirements Baseline PDF p.101. Step 25 story mapping populated from Product Backlog traceability; H3 AIR mapping refined in Step 30 where applicable.</x:v>
      </x:c>
    </x:row>
    <x:row r="85">
      <x:c r="A85" s="14" t="str">
        <x:v>FR-048</x:v>
      </x:c>
      <x:c r="B85" s="14" t="str">
        <x:v>Functional Requirement</x:v>
      </x:c>
      <x:c r="C85" s="14" t="str">
        <x:v>The service shall support authorised human override of applicable rule, routing, automation or AI-supported outcomes where an approved exception path exists.</x:v>
      </x:c>
      <x:c r="D85" s="14" t="str">
        <x:v>H1</x:v>
      </x:c>
      <x:c r="E85" s="14"/>
      <x:c r="F85" s="14" t="str">
        <x:v>UAT</x:v>
      </x:c>
      <x:c r="G85" s="14" t="str">
        <x:v>UAT-12</x:v>
      </x:c>
      <x:c r="H85" s="14" t="str">
        <x:v>Must</x:v>
      </x:c>
      <x:c r="I85" s="14" t="str">
        <x:v>Mapped</x:v>
      </x:c>
      <x:c r="J85" s="14" t="str">
        <x:v>Designed - Not Executed</x:v>
      </x:c>
      <x:c r="K85" s="14"/>
      <x:c r="L85" s="14"/>
      <x:c r="M85" s="14" t="str">
        <x:v>Source: Step 24 Requirements Baseline PDF p.102. No exact US-xxx story allocation is stated in the Step 25 source for this requirement; leave as capability/cross-cutting coverage rather than inventing a mapping.</x:v>
      </x:c>
    </x:row>
    <x:row r="86">
      <x:c r="A86" s="14" t="str">
        <x:v>FR-049</x:v>
      </x:c>
      <x:c r="B86" s="14" t="str">
        <x:v>Functional Requirement</x:v>
      </x:c>
      <x:c r="C86" s="14" t="str">
        <x:v>Where a conventional automated activity fails, the service shall support a visible manual or recoverable fallback path so that the case is not silently blocked.</x:v>
      </x:c>
      <x:c r="D86" s="14" t="str">
        <x:v>H2</x:v>
      </x:c>
      <x:c r="E86" s="14"/>
      <x:c r="F86" s="14" t="str">
        <x:v>System Test</x:v>
      </x:c>
      <x:c r="G86" s="14" t="str">
        <x:v>UAT-16</x:v>
      </x:c>
      <x:c r="H86" s="14" t="str">
        <x:v>Must</x:v>
      </x:c>
      <x:c r="I86" s="14" t="str">
        <x:v>Not Applicable to UAT</x:v>
      </x:c>
      <x:c r="J86" s="14" t="str">
        <x:v>Not Applicable</x:v>
      </x:c>
      <x:c r="K86" s="14"/>
      <x:c r="L86" s="14"/>
      <x:c r="M86" s="14" t="str">
        <x:v>Source: Step 24 Requirements Baseline PDF p.102. No exact US-xxx story allocation is stated in the Step 25 source for this requirement; leave as capability/cross-cutting coverage rather than inventing a mapping.</x:v>
      </x:c>
    </x:row>
    <x:row r="87">
      <x:c r="A87" s="14" t="str">
        <x:v>FR-050</x:v>
      </x:c>
      <x:c r="B87" s="14" t="str">
        <x:v>Functional Requirement</x:v>
      </x:c>
      <x:c r="C87" s="14" t="str">
        <x:v>Where optional AI assistance is unavailable, rejected or unsuitable, the corresponding business activity shall remain completable through the normal non-AI process.</x:v>
      </x:c>
      <x:c r="D87" s="14" t="str">
        <x:v>H3</x:v>
      </x:c>
      <x:c r="E87" s="14" t="str">
        <x:v>US-063, US-066</x:v>
      </x:c>
      <x:c r="F87" s="14" t="str">
        <x:v>AI Prototype Evaluation</x:v>
      </x:c>
      <x:c r="G87" s="14" t="str">
        <x:v>UAT-20</x:v>
      </x:c>
      <x:c r="H87" s="14" t="str">
        <x:v>Must</x:v>
      </x:c>
      <x:c r="I87" s="14" t="str">
        <x:v>Mapped</x:v>
      </x:c>
      <x:c r="J87" s="14" t="str">
        <x:v>Prototype Evaluated - Step 28</x:v>
      </x:c>
      <x:c r="K87" s="14" t="str">
        <x:v>Step 28 controlled synthetic AI prototype evaluation (screenshots 170-176)</x:v>
      </x:c>
      <x:c r="L87" s="14"/>
      <x:c r="M87" s="14" t="str">
        <x:v>Source: Step 24 Requirements Baseline PDF p.103. H3 AI story mapping uses the established controlled-pilot backlog.</x:v>
      </x:c>
    </x:row>
    <x:row r="88">
      <x:c r="A88" s="14" t="str">
        <x:v>FR-051</x:v>
      </x:c>
      <x:c r="B88" s="14" t="str">
        <x:v>Functional Requirement</x:v>
      </x:c>
      <x:c r="C88" s="14" t="str">
        <x:v>The service shall enable material lifecycle activity required for operational monitoring and process analysis to be captured or made available for reporting.</x:v>
      </x:c>
      <x:c r="D88" s="14" t="str">
        <x:v>H1</x:v>
      </x:c>
      <x:c r="E88" s="14"/>
      <x:c r="F88" s="14" t="str">
        <x:v>Operational Readiness</x:v>
      </x:c>
      <x:c r="G88" s="14"/>
      <x:c r="H88" s="14" t="str">
        <x:v>Must</x:v>
      </x:c>
      <x:c r="I88" s="14" t="str">
        <x:v>Not Applicable to UAT</x:v>
      </x:c>
      <x:c r="J88" s="14" t="str">
        <x:v>Not Applicable</x:v>
      </x:c>
      <x:c r="K88" s="14"/>
      <x:c r="L88" s="14"/>
      <x:c r="M88" s="14" t="str">
        <x:v>Source: Step 24 Requirements Baseline PDF p.103. No exact US-xxx story allocation is stated in the Step 25 source for this requirement; leave as capability/cross-cutting coverage rather than inventing a mapping.</x:v>
      </x:c>
    </x:row>
    <x:row r="89">
      <x:c r="A89" s="14" t="str">
        <x:v>FR-052</x:v>
      </x:c>
      <x:c r="B89" s="14" t="str">
        <x:v>Functional Requirement</x:v>
      </x:c>
      <x:c r="C89" s="14" t="str">
        <x:v>The service shall enable recurring operational friction or process-performance findings to be identified for subsequent service-improvement work.</x:v>
      </x:c>
      <x:c r="D89" s="14" t="str">
        <x:v>H1</x:v>
      </x:c>
      <x:c r="E89" s="14"/>
      <x:c r="F89" s="14" t="str">
        <x:v>Operational Readiness</x:v>
      </x:c>
      <x:c r="G89" s="14"/>
      <x:c r="H89" s="14" t="str">
        <x:v>Should</x:v>
      </x:c>
      <x:c r="I89" s="14" t="str">
        <x:v>Not Applicable to UAT</x:v>
      </x:c>
      <x:c r="J89" s="14" t="str">
        <x:v>Not Applicable</x:v>
      </x:c>
      <x:c r="K89" s="14"/>
      <x:c r="L89" s="14"/>
      <x:c r="M89" s="14" t="str">
        <x:v>Source: Step 24 Requirements Baseline PDF p.104. No exact US-xxx story allocation is stated in the Step 25 source for this requirement; leave as capability/cross-cutting coverage rather than inventing a mapping.</x:v>
      </x:c>
    </x:row>
    <x:row r="90">
      <x:c r="A90" s="14" t="str">
        <x:v>DR-001</x:v>
      </x:c>
      <x:c r="B90" s="14" t="str">
        <x:v>Data Requirement</x:v>
      </x:c>
      <x:c r="C90" s="14" t="str">
        <x:v>The service shall maintain a unique Case ID for each dispute case.</x:v>
      </x:c>
      <x:c r="D90" s="14" t="str">
        <x:v>H1</x:v>
      </x:c>
      <x:c r="E90" s="14" t="str">
        <x:v>US-003</x:v>
      </x:c>
      <x:c r="F90" s="14" t="str">
        <x:v>System Test</x:v>
      </x:c>
      <x:c r="G90" s="14" t="str">
        <x:v>UAT-01</x:v>
      </x:c>
      <x:c r="H90" s="14" t="str">
        <x:v>Must</x:v>
      </x:c>
      <x:c r="I90" s="14" t="str">
        <x:v>Not Applicable to UAT</x:v>
      </x:c>
      <x:c r="J90" s="14" t="str">
        <x:v>Not Applicable</x:v>
      </x:c>
      <x:c r="K90" s="14"/>
      <x:c r="L90" s="14"/>
      <x:c r="M90" s="14" t="str">
        <x:v>Source: Step 24 Requirements Baseline PDF p.117. Step 25 story mapping populated from Product Backlog traceability; H3 AIR mapping refined in Step 30 where applicable.</x:v>
      </x:c>
    </x:row>
    <x:row r="91">
      <x:c r="A91" s="14" t="str">
        <x:v>DR-002</x:v>
      </x:c>
      <x:c r="B91" s="14" t="str">
        <x:v>Data Requirement</x:v>
      </x:c>
      <x:c r="C91" s="14" t="str">
        <x:v>The service shall maintain the current lifecycle status of each dispute case.</x:v>
      </x:c>
      <x:c r="D91" s="14" t="str">
        <x:v>H1</x:v>
      </x:c>
      <x:c r="E91" s="14"/>
      <x:c r="F91" s="14" t="str">
        <x:v>System Test</x:v>
      </x:c>
      <x:c r="G91" s="14"/>
      <x:c r="H91" s="14" t="str">
        <x:v>Must</x:v>
      </x:c>
      <x:c r="I91" s="14" t="str">
        <x:v>Not Applicable to UAT</x:v>
      </x:c>
      <x:c r="J91" s="14" t="str">
        <x:v>Not Applicable</x:v>
      </x:c>
      <x:c r="K91" s="14"/>
      <x:c r="L91" s="14"/>
      <x:c r="M91" s="14" t="str">
        <x:v>Source: Step 24 Requirements Baseline PDF p.117. No exact US-xxx story allocation is stated in the Step 25 source for this requirement; leave as capability/cross-cutting coverage rather than inventing a mapping.</x:v>
      </x:c>
    </x:row>
    <x:row r="92">
      <x:c r="A92" s="14" t="str">
        <x:v>DR-003</x:v>
      </x:c>
      <x:c r="B92" s="14" t="str">
        <x:v>Data Requirement</x:v>
      </x:c>
      <x:c r="C92" s="14" t="str">
        <x:v>The service shall record the date/time at which the dispute case is initiated.</x:v>
      </x:c>
      <x:c r="D92" s="14" t="str">
        <x:v>H1</x:v>
      </x:c>
      <x:c r="E92" s="14" t="str">
        <x:v>US-003</x:v>
      </x:c>
      <x:c r="F92" s="14" t="str">
        <x:v>System Test</x:v>
      </x:c>
      <x:c r="G92" s="14" t="str">
        <x:v>UAT-01</x:v>
      </x:c>
      <x:c r="H92" s="14" t="str">
        <x:v>Must</x:v>
      </x:c>
      <x:c r="I92" s="14" t="str">
        <x:v>Not Applicable to UAT</x:v>
      </x:c>
      <x:c r="J92" s="14" t="str">
        <x:v>Not Applicable</x:v>
      </x:c>
      <x:c r="K92" s="14"/>
      <x:c r="L92" s="14"/>
      <x:c r="M92" s="14" t="str">
        <x:v>Source: Step 24 Requirements Baseline PDF p.117. Step 25 story mapping populated from Product Backlog traceability; H3 AIR mapping refined in Step 30 where applicable.</x:v>
      </x:c>
    </x:row>
    <x:row r="93">
      <x:c r="A93" s="14" t="str">
        <x:v>DR-004</x:v>
      </x:c>
      <x:c r="B93" s="14" t="str">
        <x:v>Data Requirement</x:v>
      </x:c>
      <x:c r="C93" s="14" t="str">
        <x:v>The service shall record the finalisation date/time where a case reaches an applicable final state.</x:v>
      </x:c>
      <x:c r="D93" s="14" t="str">
        <x:v>H1</x:v>
      </x:c>
      <x:c r="E93" s="14"/>
      <x:c r="F93" s="14" t="str">
        <x:v>System Test</x:v>
      </x:c>
      <x:c r="G93" s="14"/>
      <x:c r="H93" s="14" t="str">
        <x:v>Must</x:v>
      </x:c>
      <x:c r="I93" s="14" t="str">
        <x:v>Not Applicable to UAT</x:v>
      </x:c>
      <x:c r="J93" s="14" t="str">
        <x:v>Not Applicable</x:v>
      </x:c>
      <x:c r="K93" s="14"/>
      <x:c r="L93" s="14"/>
      <x:c r="M93" s="14" t="str">
        <x:v>Source: Step 24 Requirements Baseline PDF p.118. No exact US-xxx story allocation is stated in the Step 25 source for this requirement; leave as capability/cross-cutting coverage rather than inventing a mapping.</x:v>
      </x:c>
    </x:row>
    <x:row r="94">
      <x:c r="A94" s="14" t="str">
        <x:v>DR-005</x:v>
      </x:c>
      <x:c r="B94" s="14" t="str">
        <x:v>Data Requirement</x:v>
      </x:c>
      <x:c r="C94" s="14" t="str">
        <x:v>The service shall maintain the applicable case outcome and closure state where these are established.</x:v>
      </x:c>
      <x:c r="D94" s="14" t="str">
        <x:v>H1</x:v>
      </x:c>
      <x:c r="E94" s="14"/>
      <x:c r="F94" s="14" t="str">
        <x:v>System Test</x:v>
      </x:c>
      <x:c r="G94" s="14"/>
      <x:c r="H94" s="14" t="str">
        <x:v>Must</x:v>
      </x:c>
      <x:c r="I94" s="14" t="str">
        <x:v>Not Applicable to UAT</x:v>
      </x:c>
      <x:c r="J94" s="14" t="str">
        <x:v>Not Applicable</x:v>
      </x:c>
      <x:c r="K94" s="14"/>
      <x:c r="L94" s="14"/>
      <x:c r="M94" s="14" t="str">
        <x:v>Source: Step 24 Requirements Baseline PDF p.118. No exact US-xxx story allocation is stated in the Step 25 source for this requirement; leave as capability/cross-cutting coverage rather than inventing a mapping.</x:v>
      </x:c>
    </x:row>
    <x:row r="95">
      <x:c r="A95" s="14" t="str">
        <x:v>DR-006</x:v>
      </x:c>
      <x:c r="B95" s="14" t="str">
        <x:v>Data Requirement</x:v>
      </x:c>
      <x:c r="C95" s="14" t="str">
        <x:v>The Case ID shall remain consistently referenceable across related case information, events, referrals, decisions, approvals, communications and other linked records.</x:v>
      </x:c>
      <x:c r="D95" s="14" t="str">
        <x:v>H1</x:v>
      </x:c>
      <x:c r="E95" s="14" t="str">
        <x:v>US-003</x:v>
      </x:c>
      <x:c r="F95" s="14" t="str">
        <x:v>System Test</x:v>
      </x:c>
      <x:c r="G95" s="14" t="str">
        <x:v>UAT-14</x:v>
      </x:c>
      <x:c r="H95" s="14" t="str">
        <x:v>Must</x:v>
      </x:c>
      <x:c r="I95" s="14" t="str">
        <x:v>Not Applicable to UAT</x:v>
      </x:c>
      <x:c r="J95" s="14" t="str">
        <x:v>Not Applicable</x:v>
      </x:c>
      <x:c r="K95" s="14"/>
      <x:c r="L95" s="14"/>
      <x:c r="M95" s="14" t="str">
        <x:v>Source: Step 24 Requirements Baseline PDF p.118. Step 25 story mapping populated from Product Backlog traceability; H3 AIR mapping refined in Step 30 where applicable.</x:v>
      </x:c>
    </x:row>
    <x:row r="96">
      <x:c r="A96" s="14" t="str">
        <x:v>DR-007</x:v>
      </x:c>
      <x:c r="B96" s="14" t="str">
        <x:v>Data Requirement</x:v>
      </x:c>
      <x:c r="C96" s="14" t="str">
        <x:v>The service shall maintain an appropriate customer reference linking the dispute to the relevant customer record where required.</x:v>
      </x:c>
      <x:c r="D96" s="14" t="str">
        <x:v>H1</x:v>
      </x:c>
      <x:c r="E96" s="14" t="str">
        <x:v>US-002, US-004</x:v>
      </x:c>
      <x:c r="F96" s="14" t="str">
        <x:v>System Test</x:v>
      </x:c>
      <x:c r="G96" s="14"/>
      <x:c r="H96" s="14" t="str">
        <x:v>Must</x:v>
      </x:c>
      <x:c r="I96" s="14" t="str">
        <x:v>Not Applicable to UAT</x:v>
      </x:c>
      <x:c r="J96" s="14" t="str">
        <x:v>Not Applicable</x:v>
      </x:c>
      <x:c r="K96" s="14"/>
      <x:c r="L96" s="14"/>
      <x:c r="M96" s="14" t="str">
        <x:v>Source: Step 24 Requirements Baseline PDF p.119. Step 25 story mapping populated from Product Backlog traceability; H3 AIR mapping refined in Step 30 where applicable.</x:v>
      </x:c>
    </x:row>
    <x:row r="97">
      <x:c r="A97" s="14" t="str">
        <x:v>DR-008</x:v>
      </x:c>
      <x:c r="B97" s="14" t="str">
        <x:v>Data Requirement</x:v>
      </x:c>
      <x:c r="C97" s="14" t="str">
        <x:v>The service shall maintain the relevant transaction reference and authoritative transaction-information source where available.</x:v>
      </x:c>
      <x:c r="D97" s="14" t="str">
        <x:v>H1</x:v>
      </x:c>
      <x:c r="E97" s="14" t="str">
        <x:v>US-002, US-004</x:v>
      </x:c>
      <x:c r="F97" s="14" t="str">
        <x:v>System Test</x:v>
      </x:c>
      <x:c r="G97" s="14"/>
      <x:c r="H97" s="14" t="str">
        <x:v>Must</x:v>
      </x:c>
      <x:c r="I97" s="14" t="str">
        <x:v>Not Applicable to UAT</x:v>
      </x:c>
      <x:c r="J97" s="14" t="str">
        <x:v>Not Applicable</x:v>
      </x:c>
      <x:c r="K97" s="14"/>
      <x:c r="L97" s="14"/>
      <x:c r="M97" s="14" t="str">
        <x:v>Source: Step 24 Requirements Baseline PDF p.120. Step 25 story mapping populated from Product Backlog traceability; H3 AIR mapping refined in Step 30 where applicable.</x:v>
      </x:c>
    </x:row>
    <x:row r="98">
      <x:c r="A98" s="14" t="str">
        <x:v>DR-009</x:v>
      </x:c>
      <x:c r="B98" s="14" t="str">
        <x:v>Data Requirement</x:v>
      </x:c>
      <x:c r="C98" s="14" t="str">
        <x:v>The customer's original dispute description shall be preserved as authoritative customer-provided information.</x:v>
      </x:c>
      <x:c r="D98" s="14" t="str">
        <x:v>H1</x:v>
      </x:c>
      <x:c r="E98" s="14" t="str">
        <x:v>US-002, US-004</x:v>
      </x:c>
      <x:c r="F98" s="14" t="str">
        <x:v>System Test</x:v>
      </x:c>
      <x:c r="G98" s="14"/>
      <x:c r="H98" s="14" t="str">
        <x:v>Must</x:v>
      </x:c>
      <x:c r="I98" s="14" t="str">
        <x:v>Not Applicable to UAT</x:v>
      </x:c>
      <x:c r="J98" s="14" t="str">
        <x:v>Not Applicable</x:v>
      </x:c>
      <x:c r="K98" s="14"/>
      <x:c r="L98" s="14"/>
      <x:c r="M98" s="14" t="str">
        <x:v>Source: Step 24 Requirements Baseline PDF p.120. Step 25 story mapping populated from Product Backlog traceability; H3 AIR mapping refined in Step 30 where applicable.</x:v>
      </x:c>
    </x:row>
    <x:row r="99">
      <x:c r="A99" s="14" t="str">
        <x:v>DR-010</x:v>
      </x:c>
      <x:c r="B99" s="14" t="str">
        <x:v>Data Requirement</x:v>
      </x:c>
      <x:c r="C99" s="14" t="str">
        <x:v>The service shall record appropriate initiation-channel or assisted-service-route information where relevant to the journey.</x:v>
      </x:c>
      <x:c r="D99" s="14" t="str">
        <x:v>H1</x:v>
      </x:c>
      <x:c r="E99" s="14" t="str">
        <x:v>US-002, US-004</x:v>
      </x:c>
      <x:c r="F99" s="14" t="str">
        <x:v>System Test</x:v>
      </x:c>
      <x:c r="G99" s="14"/>
      <x:c r="H99" s="14" t="str">
        <x:v>Must</x:v>
      </x:c>
      <x:c r="I99" s="14" t="str">
        <x:v>Not Applicable to UAT</x:v>
      </x:c>
      <x:c r="J99" s="14" t="str">
        <x:v>Not Applicable</x:v>
      </x:c>
      <x:c r="K99" s="14"/>
      <x:c r="L99" s="14"/>
      <x:c r="M99" s="14" t="str">
        <x:v>Source: Step 24 Requirements Baseline PDF p.120. Step 25 story mapping populated from Product Backlog traceability; H3 AIR mapping refined in Step 30 where applicable.</x:v>
      </x:c>
    </x:row>
    <x:row r="100">
      <x:c r="A100" s="14" t="str">
        <x:v>DR-011</x:v>
      </x:c>
      <x:c r="B100" s="14" t="str">
        <x:v>Data Requirement</x:v>
      </x:c>
      <x:c r="C100" s="14" t="str">
        <x:v>Each material Evidence Item shall be identifiable and associated with the relevant dispute case.</x:v>
      </x:c>
      <x:c r="D100" s="14" t="str">
        <x:v>H1</x:v>
      </x:c>
      <x:c r="E100" s="14" t="str">
        <x:v>US-018, US-020</x:v>
      </x:c>
      <x:c r="F100" s="14" t="str">
        <x:v>System Test</x:v>
      </x:c>
      <x:c r="G100" s="14" t="str">
        <x:v>UAT-03, UAT-14</x:v>
      </x:c>
      <x:c r="H100" s="14" t="str">
        <x:v>Must</x:v>
      </x:c>
      <x:c r="I100" s="14" t="str">
        <x:v>Not Applicable to UAT</x:v>
      </x:c>
      <x:c r="J100" s="14" t="str">
        <x:v>Not Applicable</x:v>
      </x:c>
      <x:c r="K100" s="14"/>
      <x:c r="L100" s="14"/>
      <x:c r="M100" s="14" t="str">
        <x:v>Source: Step 24 Requirements Baseline PDF p.121. Step 25 story mapping populated from Product Backlog traceability; H3 AIR mapping refined in Step 30 where applicable.</x:v>
      </x:c>
    </x:row>
    <x:row r="101">
      <x:c r="A101" s="14" t="str">
        <x:v>DR-012</x:v>
      </x:c>
      <x:c r="B101" s="14" t="str">
        <x:v>Data Requirement</x:v>
      </x:c>
      <x:c r="C101" s="14" t="str">
        <x:v>Evidence records shall preserve appropriate provenance, including source and receipt information sufficient to understand where the evidence originated.</x:v>
      </x:c>
      <x:c r="D101" s="14" t="str">
        <x:v>H1</x:v>
      </x:c>
      <x:c r="E101" s="14" t="str">
        <x:v>US-018, US-020</x:v>
      </x:c>
      <x:c r="F101" s="14" t="str">
        <x:v>System Test</x:v>
      </x:c>
      <x:c r="G101" s="14" t="str">
        <x:v>UAT-03, UAT-14</x:v>
      </x:c>
      <x:c r="H101" s="14" t="str">
        <x:v>Must</x:v>
      </x:c>
      <x:c r="I101" s="14" t="str">
        <x:v>Not Applicable to UAT</x:v>
      </x:c>
      <x:c r="J101" s="14" t="str">
        <x:v>Not Applicable</x:v>
      </x:c>
      <x:c r="K101" s="14"/>
      <x:c r="L101" s="14"/>
      <x:c r="M101" s="14" t="str">
        <x:v>Source: Step 24 Requirements Baseline PDF p.121. Step 25 story mapping populated from Product Backlog traceability; H3 AIR mapping refined in Step 30 where applicable.</x:v>
      </x:c>
    </x:row>
    <x:row r="102">
      <x:c r="A102" s="14" t="str">
        <x:v>DR-013</x:v>
      </x:c>
      <x:c r="B102" s="14" t="str">
        <x:v>Data Requirement</x:v>
      </x:c>
      <x:c r="C102" s="14" t="str">
        <x:v>Where evidence is replaced, corrected or superseded, the service should enable the relationship between the current and earlier evidence state to be understood where relevant.</x:v>
      </x:c>
      <x:c r="D102" s="14" t="str">
        <x:v>H1</x:v>
      </x:c>
      <x:c r="E102" s="14" t="str">
        <x:v>US-018, US-020</x:v>
      </x:c>
      <x:c r="F102" s="14" t="str">
        <x:v>System Test</x:v>
      </x:c>
      <x:c r="G102" s="14"/>
      <x:c r="H102" s="14" t="str">
        <x:v>Should</x:v>
      </x:c>
      <x:c r="I102" s="14" t="str">
        <x:v>Not Applicable to UAT</x:v>
      </x:c>
      <x:c r="J102" s="14" t="str">
        <x:v>Not Applicable</x:v>
      </x:c>
      <x:c r="K102" s="14"/>
      <x:c r="L102" s="14"/>
      <x:c r="M102" s="14" t="str">
        <x:v>Source: Step 24 Requirements Baseline PDF p.122. Step 25 story mapping populated from Product Backlog traceability; H3 AIR mapping refined in Step 30 where applicable.</x:v>
      </x:c>
    </x:row>
    <x:row r="103">
      <x:c r="A103" s="14" t="str">
        <x:v>DR-014</x:v>
      </x:c>
      <x:c r="B103" s="14" t="str">
        <x:v>Data Requirement</x:v>
      </x:c>
      <x:c r="C103" s="14" t="str">
        <x:v>The service shall maintain an appropriate information-completeness state for the relevant stage of the case.</x:v>
      </x:c>
      <x:c r="D103" s="14" t="str">
        <x:v>H1</x:v>
      </x:c>
      <x:c r="E103" s="14" t="str">
        <x:v>US-006, US-008</x:v>
      </x:c>
      <x:c r="F103" s="14" t="str">
        <x:v>System Test</x:v>
      </x:c>
      <x:c r="G103" s="14" t="str">
        <x:v>UAT-02</x:v>
      </x:c>
      <x:c r="H103" s="14" t="str">
        <x:v>Must</x:v>
      </x:c>
      <x:c r="I103" s="14" t="str">
        <x:v>Not Applicable to UAT</x:v>
      </x:c>
      <x:c r="J103" s="14" t="str">
        <x:v>Not Applicable</x:v>
      </x:c>
      <x:c r="K103" s="14"/>
      <x:c r="L103" s="14"/>
      <x:c r="M103" s="14" t="str">
        <x:v>Source: Step 24 Requirements Baseline PDF p.123. Step 25 story mapping populated from Product Backlog traceability; H3 AIR mapping refined in Step 30 where applicable.</x:v>
      </x:c>
    </x:row>
    <x:row r="104">
      <x:c r="A104" s="14" t="str">
        <x:v>DR-015</x:v>
      </x:c>
      <x:c r="B104" s="14" t="str">
        <x:v>Data Requirement</x:v>
      </x:c>
      <x:c r="C104" s="14" t="str">
        <x:v>Where information or evidence is missing, the service shall support recording the applicable missing-information or evidence reason.</x:v>
      </x:c>
      <x:c r="D104" s="14" t="str">
        <x:v>H1</x:v>
      </x:c>
      <x:c r="E104" s="14" t="str">
        <x:v>US-007, US-008, US-020</x:v>
      </x:c>
      <x:c r="F104" s="14" t="str">
        <x:v>System Test</x:v>
      </x:c>
      <x:c r="G104" s="14" t="str">
        <x:v>UAT-02</x:v>
      </x:c>
      <x:c r="H104" s="14" t="str">
        <x:v>Must</x:v>
      </x:c>
      <x:c r="I104" s="14" t="str">
        <x:v>Not Applicable to UAT</x:v>
      </x:c>
      <x:c r="J104" s="14" t="str">
        <x:v>Not Applicable</x:v>
      </x:c>
      <x:c r="K104" s="14"/>
      <x:c r="L104" s="14"/>
      <x:c r="M104" s="14" t="str">
        <x:v>Source: Step 24 Requirements Baseline PDF p.123. Step 25 story mapping populated from Product Backlog traceability; H3 AIR mapping refined in Step 30 where applicable.</x:v>
      </x:c>
    </x:row>
    <x:row r="105">
      <x:c r="A105" s="14" t="str">
        <x:v>DR-016</x:v>
      </x:c>
      <x:c r="B105" s="14" t="str">
        <x:v>Data Requirement</x:v>
      </x:c>
      <x:c r="C105" s="14" t="str">
        <x:v>The service shall distinguish whether customer action is currently required and the applicable action type.</x:v>
      </x:c>
      <x:c r="D105" s="14" t="str">
        <x:v>H1</x:v>
      </x:c>
      <x:c r="E105" s="14" t="str">
        <x:v>US-007, US-020</x:v>
      </x:c>
      <x:c r="F105" s="14" t="str">
        <x:v>System Test</x:v>
      </x:c>
      <x:c r="G105" s="14"/>
      <x:c r="H105" s="14" t="str">
        <x:v>Must</x:v>
      </x:c>
      <x:c r="I105" s="14" t="str">
        <x:v>Not Applicable to UAT</x:v>
      </x:c>
      <x:c r="J105" s="14" t="str">
        <x:v>Not Applicable</x:v>
      </x:c>
      <x:c r="K105" s="14"/>
      <x:c r="L105" s="14"/>
      <x:c r="M105" s="14" t="str">
        <x:v>Source: Step 24 Requirements Baseline PDF p.123. Step 25 story mapping populated from Product Backlog traceability; H3 AIR mapping refined in Step 30 where applicable.</x:v>
      </x:c>
    </x:row>
    <x:row r="106">
      <x:c r="A106" s="14" t="str">
        <x:v>DR-017</x:v>
      </x:c>
      <x:c r="B106" s="14" t="str">
        <x:v>Data Requirement</x:v>
      </x:c>
      <x:c r="C106" s="14" t="str">
        <x:v>The service should record the start and completion/end of material customer-action states where this information is required for journey or waiting analysis.</x:v>
      </x:c>
      <x:c r="D106" s="14" t="str">
        <x:v>H1</x:v>
      </x:c>
      <x:c r="E106" s="14" t="str">
        <x:v>US-007, US-020</x:v>
      </x:c>
      <x:c r="F106" s="14" t="str">
        <x:v>System Test</x:v>
      </x:c>
      <x:c r="G106" s="14"/>
      <x:c r="H106" s="14" t="str">
        <x:v>Should</x:v>
      </x:c>
      <x:c r="I106" s="14" t="str">
        <x:v>Not Applicable to UAT</x:v>
      </x:c>
      <x:c r="J106" s="14" t="str">
        <x:v>Not Applicable</x:v>
      </x:c>
      <x:c r="K106" s="14"/>
      <x:c r="L106" s="14"/>
      <x:c r="M106" s="14" t="str">
        <x:v>Source: Step 24 Requirements Baseline PDF p.124. Step 25 story mapping populated from Product Backlog traceability; H3 AIR mapping refined in Step 30 where applicable.</x:v>
      </x:c>
    </x:row>
    <x:row r="107">
      <x:c r="A107" s="14" t="str">
        <x:v>DR-018</x:v>
      </x:c>
      <x:c r="B107" s="14" t="str">
        <x:v>Data Requirement</x:v>
      </x:c>
      <x:c r="C107" s="14" t="str">
        <x:v>The service shall maintain the current responsible queue, role or owner for each active internal case state where applicable.</x:v>
      </x:c>
      <x:c r="D107" s="14" t="str">
        <x:v>H1</x:v>
      </x:c>
      <x:c r="E107" s="14" t="str">
        <x:v>US-011</x:v>
      </x:c>
      <x:c r="F107" s="14" t="str">
        <x:v>System Test</x:v>
      </x:c>
      <x:c r="G107" s="14" t="str">
        <x:v>UAT-04, UAT-13</x:v>
      </x:c>
      <x:c r="H107" s="14" t="str">
        <x:v>Must</x:v>
      </x:c>
      <x:c r="I107" s="14" t="str">
        <x:v>Not Applicable to UAT</x:v>
      </x:c>
      <x:c r="J107" s="14" t="str">
        <x:v>Not Applicable</x:v>
      </x:c>
      <x:c r="K107" s="14"/>
      <x:c r="L107" s="14"/>
      <x:c r="M107" s="14" t="str">
        <x:v>Source: Step 24 Requirements Baseline PDF p.124. Step 25 story mapping populated from Product Backlog traceability; H3 AIR mapping refined in Step 30 where applicable.</x:v>
      </x:c>
    </x:row>
    <x:row r="108">
      <x:c r="A108" s="14" t="str">
        <x:v>DR-019</x:v>
      </x:c>
      <x:c r="B108" s="14" t="str">
        <x:v>Data Requirement</x:v>
      </x:c>
      <x:c r="C108" s="14" t="str">
        <x:v>The service shall preserve material ownership history, including ownership start and end information where applicable.</x:v>
      </x:c>
      <x:c r="D108" s="14" t="str">
        <x:v>H1</x:v>
      </x:c>
      <x:c r="E108" s="14" t="str">
        <x:v>US-012, US-013</x:v>
      </x:c>
      <x:c r="F108" s="14" t="str">
        <x:v>System Test</x:v>
      </x:c>
      <x:c r="G108" s="14" t="str">
        <x:v>UAT-04</x:v>
      </x:c>
      <x:c r="H108" s="14" t="str">
        <x:v>Must</x:v>
      </x:c>
      <x:c r="I108" s="14" t="str">
        <x:v>Not Applicable to UAT</x:v>
      </x:c>
      <x:c r="J108" s="14" t="str">
        <x:v>Not Applicable</x:v>
      </x:c>
      <x:c r="K108" s="14"/>
      <x:c r="L108" s="14"/>
      <x:c r="M108" s="14" t="str">
        <x:v>Source: Step 24 Requirements Baseline PDF p.125. Step 25 story mapping populated from Product Backlog traceability; H3 AIR mapping refined in Step 30 where applicable.</x:v>
      </x:c>
    </x:row>
    <x:row r="109">
      <x:c r="A109" s="14" t="str">
        <x:v>DR-020</x:v>
      </x:c>
      <x:c r="B109" s="14" t="str">
        <x:v>Data Requirement</x:v>
      </x:c>
      <x:c r="C109" s="14" t="str">
        <x:v>A material ownership handoff shall record the previous responsibility , new responsibility , handoff time and handoff reason.</x:v>
      </x:c>
      <x:c r="D109" s="14" t="str">
        <x:v>H1</x:v>
      </x:c>
      <x:c r="E109" s="14" t="str">
        <x:v>US-012, US-013</x:v>
      </x:c>
      <x:c r="F109" s="14" t="str">
        <x:v>System Test</x:v>
      </x:c>
      <x:c r="G109" s="14" t="str">
        <x:v>UAT-04</x:v>
      </x:c>
      <x:c r="H109" s="14" t="str">
        <x:v>Must</x:v>
      </x:c>
      <x:c r="I109" s="14" t="str">
        <x:v>Not Applicable to UAT</x:v>
      </x:c>
      <x:c r="J109" s="14" t="str">
        <x:v>Not Applicable</x:v>
      </x:c>
      <x:c r="K109" s="14"/>
      <x:c r="L109" s="14"/>
      <x:c r="M109" s="14" t="str">
        <x:v>Source: Step 24 Requirements Baseline PDF p.125. Step 25 story mapping populated from Product Backlog traceability; H3 AIR mapping refined in Step 30 where applicable.</x:v>
      </x:c>
    </x:row>
    <x:row r="110">
      <x:c r="A110" s="14" t="str">
        <x:v>DR-021</x:v>
      </x:c>
      <x:c r="B110" s="14" t="str">
        <x:v>Data Requirement</x:v>
      </x:c>
      <x:c r="C110" s="14" t="str">
        <x:v>A specialist or operational handoff shall support recording the requested action and intended return responsibility where relevant.</x:v>
      </x:c>
      <x:c r="D110" s="14" t="str">
        <x:v>H1</x:v>
      </x:c>
      <x:c r="E110" s="14" t="str">
        <x:v>US-014</x:v>
      </x:c>
      <x:c r="F110" s="14" t="str">
        <x:v>System Test</x:v>
      </x:c>
      <x:c r="G110" s="14"/>
      <x:c r="H110" s="14" t="str">
        <x:v>Must</x:v>
      </x:c>
      <x:c r="I110" s="14" t="str">
        <x:v>Not Applicable to UAT</x:v>
      </x:c>
      <x:c r="J110" s="14" t="str">
        <x:v>Not Applicable</x:v>
      </x:c>
      <x:c r="K110" s="14"/>
      <x:c r="L110" s="14"/>
      <x:c r="M110" s="14" t="str">
        <x:v>Source: Step 24 Requirements Baseline PDF p.126. Step 25 story mapping populated from Product Backlog traceability; H3 AIR mapping refined in Step 30 where applicable.</x:v>
      </x:c>
    </x:row>
    <x:row r="111">
      <x:c r="A111" s="14" t="str">
        <x:v>DR-022</x:v>
      </x:c>
      <x:c r="B111" s="14" t="str">
        <x:v>Data Requirement</x:v>
      </x:c>
      <x:c r="C111" s="14" t="str">
        <x:v>A material waiting state shall support recording the waiting reason, start, end, dependency and accountable monitoring responsibility where applicable.</x:v>
      </x:c>
      <x:c r="D111" s="14" t="str">
        <x:v>H1</x:v>
      </x:c>
      <x:c r="E111" s="14" t="str">
        <x:v>US-014</x:v>
      </x:c>
      <x:c r="F111" s="14" t="str">
        <x:v>System Test</x:v>
      </x:c>
      <x:c r="G111" s="14"/>
      <x:c r="H111" s="14" t="str">
        <x:v>Must</x:v>
      </x:c>
      <x:c r="I111" s="14" t="str">
        <x:v>Not Applicable to UAT</x:v>
      </x:c>
      <x:c r="J111" s="14" t="str">
        <x:v>Not Applicable</x:v>
      </x:c>
      <x:c r="K111" s="14"/>
      <x:c r="L111" s="14"/>
      <x:c r="M111" s="14" t="str">
        <x:v>Source: Step 24 Requirements Baseline PDF p.126. Step 25 story mapping populated from Product Backlog traceability; H3 AIR mapping refined in Step 30 where applicable.</x:v>
      </x:c>
    </x:row>
    <x:row r="112">
      <x:c r="A112" s="14" t="str">
        <x:v>DR-023</x:v>
      </x:c>
      <x:c r="B112" s="14" t="str">
        <x:v>Data Requirement</x:v>
      </x:c>
      <x:c r="C112" s="14" t="str">
        <x:v>Material rework shall support recording the rework reason, relevant activity and originating process stage.</x:v>
      </x:c>
      <x:c r="D112" s="14" t="str">
        <x:v>H1</x:v>
      </x:c>
      <x:c r="E112" s="14"/>
      <x:c r="F112" s="14" t="str">
        <x:v>System Test</x:v>
      </x:c>
      <x:c r="G112" s="14"/>
      <x:c r="H112" s="14" t="str">
        <x:v>Must</x:v>
      </x:c>
      <x:c r="I112" s="14" t="str">
        <x:v>Not Applicable to UAT</x:v>
      </x:c>
      <x:c r="J112" s="14" t="str">
        <x:v>Not Applicable</x:v>
      </x:c>
      <x:c r="K112" s="14"/>
      <x:c r="L112" s="14"/>
      <x:c r="M112" s="14" t="str">
        <x:v>Source: Step 24 Requirements Baseline PDF p.127. No exact US-xxx story allocation is stated in the Step 25 source for this requirement; leave as capability/cross-cutting coverage rather than inventing a mapping.</x:v>
      </x:c>
    </x:row>
    <x:row r="113">
      <x:c r="A113" s="14" t="str">
        <x:v>DR-024</x:v>
      </x:c>
      <x:c r="B113" s="14" t="str">
        <x:v>Data Requirement</x:v>
      </x:c>
      <x:c r="C113" s="14" t="str">
        <x:v>The service should enable incorrect-routing corrections to be distinguished from legitimate planned handoffs.</x:v>
      </x:c>
      <x:c r="D113" s="14" t="str">
        <x:v>H1</x:v>
      </x:c>
      <x:c r="E113" s="14" t="str">
        <x:v>US-015</x:v>
      </x:c>
      <x:c r="F113" s="14" t="str">
        <x:v>System Test</x:v>
      </x:c>
      <x:c r="G113" s="14"/>
      <x:c r="H113" s="14" t="str">
        <x:v>Should</x:v>
      </x:c>
      <x:c r="I113" s="14" t="str">
        <x:v>Not Applicable to UAT</x:v>
      </x:c>
      <x:c r="J113" s="14" t="str">
        <x:v>Not Applicable</x:v>
      </x:c>
      <x:c r="K113" s="14"/>
      <x:c r="L113" s="14"/>
      <x:c r="M113" s="14" t="str">
        <x:v>Source: Step 24 Requirements Baseline PDF p.127. Step 25 story mapping populated from Product Backlog traceability; H3 AIR mapping refined in Step 30 where applicable.</x:v>
      </x:c>
    </x:row>
    <x:row r="114">
      <x:c r="A114" s="14" t="str">
        <x:v>DR-025</x:v>
      </x:c>
      <x:c r="B114" s="14" t="str">
        <x:v>Data Requirement</x:v>
      </x:c>
      <x:c r="C114" s="14" t="str">
        <x:v>Waiting, handoff and rework reasons shall use sufficiently defined and governed values to support consistent operational interpretation and analysis.</x:v>
      </x:c>
      <x:c r="D114" s="14" t="str">
        <x:v>H1</x:v>
      </x:c>
      <x:c r="E114" s="14" t="str">
        <x:v>US-015</x:v>
      </x:c>
      <x:c r="F114" s="14" t="str">
        <x:v>System Test</x:v>
      </x:c>
      <x:c r="G114" s="14"/>
      <x:c r="H114" s="14" t="str">
        <x:v>Must</x:v>
      </x:c>
      <x:c r="I114" s="14" t="str">
        <x:v>Not Applicable to UAT</x:v>
      </x:c>
      <x:c r="J114" s="14" t="str">
        <x:v>Not Applicable</x:v>
      </x:c>
      <x:c r="K114" s="14"/>
      <x:c r="L114" s="14"/>
      <x:c r="M114" s="14" t="str">
        <x:v>Source: Step 24 Requirements Baseline PDF p.128. Step 25 story mapping populated from Product Backlog traceability; H3 AIR mapping refined in Step 30 where applicable.</x:v>
      </x:c>
    </x:row>
    <x:row r="115">
      <x:c r="A115" s="14" t="str">
        <x:v>DR-026</x:v>
      </x:c>
      <x:c r="B115" s="14" t="str">
        <x:v>Data Requirement</x:v>
      </x:c>
      <x:c r="C115" s="14" t="str">
        <x:v>Each material specialist referral shall be identifiable and linked to the applicable dispute case.</x:v>
      </x:c>
      <x:c r="D115" s="14" t="str">
        <x:v>H1</x:v>
      </x:c>
      <x:c r="E115" s="14" t="str">
        <x:v>US-023</x:v>
      </x:c>
      <x:c r="F115" s="14" t="str">
        <x:v>System Test</x:v>
      </x:c>
      <x:c r="G115" s="14" t="str">
        <x:v>UAT-05</x:v>
      </x:c>
      <x:c r="H115" s="14" t="str">
        <x:v>Must</x:v>
      </x:c>
      <x:c r="I115" s="14" t="str">
        <x:v>Not Applicable to UAT</x:v>
      </x:c>
      <x:c r="J115" s="14" t="str">
        <x:v>Not Applicable</x:v>
      </x:c>
      <x:c r="K115" s="14"/>
      <x:c r="L115" s="14"/>
      <x:c r="M115" s="14" t="str">
        <x:v>Source: Step 24 Requirements Baseline PDF p.128. Step 25 story mapping populated from Product Backlog traceability; H3 AIR mapping refined in Step 30 where applicable.</x:v>
      </x:c>
    </x:row>
    <x:row r="116">
      <x:c r="A116" s="14" t="str">
        <x:v>DR-027</x:v>
      </x:c>
      <x:c r="B116" s="14" t="str">
        <x:v>Data Requirement</x:v>
      </x:c>
      <x:c r="C116" s="14" t="str">
        <x:v>The specialist referral shall identify the specialist type, referral reason and requested action.</x:v>
      </x:c>
      <x:c r="D116" s="14" t="str">
        <x:v>H1</x:v>
      </x:c>
      <x:c r="E116" s="14" t="str">
        <x:v>US-023</x:v>
      </x:c>
      <x:c r="F116" s="14" t="str">
        <x:v>System Test</x:v>
      </x:c>
      <x:c r="G116" s="14" t="str">
        <x:v>UAT-05</x:v>
      </x:c>
      <x:c r="H116" s="14" t="str">
        <x:v>Must</x:v>
      </x:c>
      <x:c r="I116" s="14" t="str">
        <x:v>Not Applicable to UAT</x:v>
      </x:c>
      <x:c r="J116" s="14" t="str">
        <x:v>Not Applicable</x:v>
      </x:c>
      <x:c r="K116" s="14"/>
      <x:c r="L116" s="14"/>
      <x:c r="M116" s="14" t="str">
        <x:v>Source: Step 24 Requirements Baseline PDF p.129. Step 25 story mapping populated from Product Backlog traceability; H3 AIR mapping refined in Step 30 where applicable.</x:v>
      </x:c>
    </x:row>
    <x:row r="117">
      <x:c r="A117" s="14" t="str">
        <x:v>DR-028</x:v>
      </x:c>
      <x:c r="B117" s="14" t="str">
        <x:v>Data Requirement</x:v>
      </x:c>
      <x:c r="C117" s="14" t="str">
        <x:v>The referral shall reference the relevant authorised case context and evidence required for the specialist activity.</x:v>
      </x:c>
      <x:c r="D117" s="14" t="str">
        <x:v>H1</x:v>
      </x:c>
      <x:c r="E117" s="14" t="str">
        <x:v>US-024</x:v>
      </x:c>
      <x:c r="F117" s="14" t="str">
        <x:v>System Test</x:v>
      </x:c>
      <x:c r="G117" s="14" t="str">
        <x:v>UAT-05</x:v>
      </x:c>
      <x:c r="H117" s="14" t="str">
        <x:v>Must</x:v>
      </x:c>
      <x:c r="I117" s="14" t="str">
        <x:v>Not Applicable to UAT</x:v>
      </x:c>
      <x:c r="J117" s="14" t="str">
        <x:v>Not Applicable</x:v>
      </x:c>
      <x:c r="K117" s="14"/>
      <x:c r="L117" s="14"/>
      <x:c r="M117" s="14" t="str">
        <x:v>Source: Step 24 Requirements Baseline PDF p.129. Step 25 story mapping populated from Product Backlog traceability; H3 AIR mapping refined in Step 30 where applicable.</x:v>
      </x:c>
    </x:row>
    <x:row r="118">
      <x:c r="A118" s="14" t="str">
        <x:v>DR-029</x:v>
      </x:c>
      <x:c r="B118" s="14" t="str">
        <x:v>Data Requirement</x:v>
      </x:c>
      <x:c r="C118" s="14" t="str">
        <x:v>The service shall record material specialist findings and applicable rationale or result information.</x:v>
      </x:c>
      <x:c r="D118" s="14" t="str">
        <x:v>H1</x:v>
      </x:c>
      <x:c r="E118" s="14" t="str">
        <x:v>US-024</x:v>
      </x:c>
      <x:c r="F118" s="14" t="str">
        <x:v>System Test</x:v>
      </x:c>
      <x:c r="G118" s="14" t="str">
        <x:v>UAT-06</x:v>
      </x:c>
      <x:c r="H118" s="14" t="str">
        <x:v>Must</x:v>
      </x:c>
      <x:c r="I118" s="14" t="str">
        <x:v>Not Applicable to UAT</x:v>
      </x:c>
      <x:c r="J118" s="14" t="str">
        <x:v>Not Applicable</x:v>
      </x:c>
      <x:c r="K118" s="14"/>
      <x:c r="L118" s="14"/>
      <x:c r="M118" s="14" t="str">
        <x:v>Source: Step 24 Requirements Baseline PDF p.129. Step 25 story mapping populated from Product Backlog traceability; H3 AIR mapping refined in Step 30 where applicable.</x:v>
      </x:c>
    </x:row>
    <x:row r="119">
      <x:c r="A119" s="14" t="str">
        <x:v>DR-030</x:v>
      </x:c>
      <x:c r="B119" s="14" t="str">
        <x:v>Data Requirement</x:v>
      </x:c>
      <x:c r="C119" s="14" t="str">
        <x:v>Specialist-processing information shall enable the relevant referral start, completion and return responsibility to be understood.</x:v>
      </x:c>
      <x:c r="D119" s="14" t="str">
        <x:v>H1</x:v>
      </x:c>
      <x:c r="E119" s="14" t="str">
        <x:v>US-025, US-026, US-029</x:v>
      </x:c>
      <x:c r="F119" s="14" t="str">
        <x:v>System Test</x:v>
      </x:c>
      <x:c r="G119" s="14" t="str">
        <x:v>UAT-06</x:v>
      </x:c>
      <x:c r="H119" s="14" t="str">
        <x:v>Must</x:v>
      </x:c>
      <x:c r="I119" s="14" t="str">
        <x:v>Not Applicable to UAT</x:v>
      </x:c>
      <x:c r="J119" s="14" t="str">
        <x:v>Not Applicable</x:v>
      </x:c>
      <x:c r="K119" s="14"/>
      <x:c r="L119" s="14"/>
      <x:c r="M119" s="14" t="str">
        <x:v>Source: Step 24 Requirements Baseline PDF p.130. Step 25 story mapping populated from Product Backlog traceability; H3 AIR mapping refined in Step 30 where applicable.</x:v>
      </x:c>
    </x:row>
    <x:row r="120">
      <x:c r="A120" s="14" t="str">
        <x:v>DR-031</x:v>
      </x:c>
      <x:c r="B120" s="14" t="str">
        <x:v>Data Requirement</x:v>
      </x:c>
      <x:c r="C120" s="14" t="str">
        <x:v>Where multiple specialist activities are required, the service should enable their relationships or required sequence to be understood where operationally relevant.</x:v>
      </x:c>
      <x:c r="D120" s="14" t="str">
        <x:v>H1</x:v>
      </x:c>
      <x:c r="E120" s="14" t="str">
        <x:v>US-025, US-026, US-029</x:v>
      </x:c>
      <x:c r="F120" s="14" t="str">
        <x:v>System Test</x:v>
      </x:c>
      <x:c r="G120" s="14"/>
      <x:c r="H120" s="14" t="str">
        <x:v>Should</x:v>
      </x:c>
      <x:c r="I120" s="14" t="str">
        <x:v>Not Applicable to UAT</x:v>
      </x:c>
      <x:c r="J120" s="14" t="str">
        <x:v>Not Applicable</x:v>
      </x:c>
      <x:c r="K120" s="14"/>
      <x:c r="L120" s="14"/>
      <x:c r="M120" s="14" t="str">
        <x:v>Source: Step 24 Requirements Baseline PDF p.130. Step 25 story mapping populated from Product Backlog traceability; H3 AIR mapping refined in Step 30 where applicable.</x:v>
      </x:c>
    </x:row>
    <x:row r="121">
      <x:c r="A121" s="14" t="str">
        <x:v>DR-032</x:v>
      </x:c>
      <x:c r="B121" s="14" t="str">
        <x:v>Data Requirement</x:v>
      </x:c>
      <x:c r="C121" s="14" t="str">
        <x:v>A material dispute Decision Record shall identify the decision type, outcome, accountable decision role, decision time and applicable rationale.</x:v>
      </x:c>
      <x:c r="D121" s="14" t="str">
        <x:v>H1</x:v>
      </x:c>
      <x:c r="E121" s="14" t="str">
        <x:v>US-031, US-033, US-034</x:v>
      </x:c>
      <x:c r="F121" s="14" t="str">
        <x:v>System Test</x:v>
      </x:c>
      <x:c r="G121" s="14" t="str">
        <x:v>UAT-07</x:v>
      </x:c>
      <x:c r="H121" s="14" t="str">
        <x:v>Must</x:v>
      </x:c>
      <x:c r="I121" s="14" t="str">
        <x:v>Not Applicable to UAT</x:v>
      </x:c>
      <x:c r="J121" s="14" t="str">
        <x:v>Not Applicable</x:v>
      </x:c>
      <x:c r="K121" s="14"/>
      <x:c r="L121" s="14"/>
      <x:c r="M121" s="14" t="str">
        <x:v>Source: Step 24 Requirements Baseline PDF p.131. Step 25 story mapping populated from Product Backlog traceability; H3 AIR mapping refined in Step 30 where applicable.</x:v>
      </x:c>
    </x:row>
    <x:row r="122">
      <x:c r="A122" s="14" t="str">
        <x:v>DR-033</x:v>
      </x:c>
      <x:c r="B122" s="14" t="str">
        <x:v>Data Requirement</x:v>
      </x:c>
      <x:c r="C122" s="14" t="str">
        <x:v>The service shall distinguish a proposed or supporting outcome from the authoritative final business decision where both exist.</x:v>
      </x:c>
      <x:c r="D122" s="14" t="str">
        <x:v>H1</x:v>
      </x:c>
      <x:c r="E122" s="14" t="str">
        <x:v>US-031, US-033, US-034</x:v>
      </x:c>
      <x:c r="F122" s="14" t="str">
        <x:v>System Test</x:v>
      </x:c>
      <x:c r="G122" s="14" t="str">
        <x:v>UAT-07</x:v>
      </x:c>
      <x:c r="H122" s="14" t="str">
        <x:v>Must</x:v>
      </x:c>
      <x:c r="I122" s="14" t="str">
        <x:v>Not Applicable to UAT</x:v>
      </x:c>
      <x:c r="J122" s="14" t="str">
        <x:v>Not Applicable</x:v>
      </x:c>
      <x:c r="K122" s="14"/>
      <x:c r="L122" s="14"/>
      <x:c r="M122" s="14" t="str">
        <x:v>Source: Step 24 Requirements Baseline PDF p.131. Step 25 story mapping populated from Product Backlog traceability; H3 AIR mapping refined in Step 30 where applicable.</x:v>
      </x:c>
    </x:row>
    <x:row r="123">
      <x:c r="A123" s="14" t="str">
        <x:v>DR-034</x:v>
      </x:c>
      <x:c r="B123" s="14" t="str">
        <x:v>Data Requirement</x:v>
      </x:c>
      <x:c r="C123" s="14" t="str">
        <x:v>Required approval information shall identify the approval type, status, approving authority/role and applicable request/decision timestamps.</x:v>
      </x:c>
      <x:c r="D123" s="14" t="str">
        <x:v>H1</x:v>
      </x:c>
      <x:c r="E123" s="14" t="str">
        <x:v>US-031, US-033, US-034</x:v>
      </x:c>
      <x:c r="F123" s="14" t="str">
        <x:v>System Test</x:v>
      </x:c>
      <x:c r="G123" s="14" t="str">
        <x:v>UAT-08</x:v>
      </x:c>
      <x:c r="H123" s="14" t="str">
        <x:v>Must</x:v>
      </x:c>
      <x:c r="I123" s="14" t="str">
        <x:v>Not Applicable to UAT</x:v>
      </x:c>
      <x:c r="J123" s="14" t="str">
        <x:v>Not Applicable</x:v>
      </x:c>
      <x:c r="K123" s="14"/>
      <x:c r="L123" s="14"/>
      <x:c r="M123" s="14" t="str">
        <x:v>Source: Step 24 Requirements Baseline PDF p.132. Step 25 story mapping populated from Product Backlog traceability; H3 AIR mapping refined in Step 30 where applicable.</x:v>
      </x:c>
    </x:row>
    <x:row r="124">
      <x:c r="A124" s="14" t="str">
        <x:v>DR-035</x:v>
      </x:c>
      <x:c r="B124" s="14" t="str">
        <x:v>Data Requirement</x:v>
      </x:c>
      <x:c r="C124" s="14" t="str">
        <x:v>Material customer communications shall be associated with the case and record appropriate communication type, trigger/channel and timestamp information.</x:v>
      </x:c>
      <x:c r="D124" s="14" t="str">
        <x:v>H1</x:v>
      </x:c>
      <x:c r="E124" s="14" t="str">
        <x:v>US-005</x:v>
      </x:c>
      <x:c r="F124" s="14" t="str">
        <x:v>System Test</x:v>
      </x:c>
      <x:c r="G124" s="14" t="str">
        <x:v>UAT-09</x:v>
      </x:c>
      <x:c r="H124" s="14" t="str">
        <x:v>Must</x:v>
      </x:c>
      <x:c r="I124" s="14" t="str">
        <x:v>Not Applicable to UAT</x:v>
      </x:c>
      <x:c r="J124" s="14" t="str">
        <x:v>Not Applicable</x:v>
      </x:c>
      <x:c r="K124" s="14"/>
      <x:c r="L124" s="14"/>
      <x:c r="M124" s="14" t="str">
        <x:v>Source: Step 24 Requirements Baseline PDF p.132. Step 25 story mapping populated from Product Backlog traceability; H3 AIR mapping refined in Step 30 where applicable.</x:v>
      </x:c>
    </x:row>
    <x:row r="125">
      <x:c r="A125" s="14" t="str">
        <x:v>DR-036</x:v>
      </x:c>
      <x:c r="B125" s="14" t="str">
        <x:v>Data Requirement</x:v>
      </x:c>
      <x:c r="C125" s="14" t="str">
        <x:v>A complaint or escalation record shall retain its relationship to the relevant dispute case and applicable complaint outcome/rationale.</x:v>
      </x:c>
      <x:c r="D125" s="14" t="str">
        <x:v>H1</x:v>
      </x:c>
      <x:c r="E125" s="14" t="str">
        <x:v>US-034, US-038</x:v>
      </x:c>
      <x:c r="F125" s="14" t="str">
        <x:v>System Test</x:v>
      </x:c>
      <x:c r="G125" s="14" t="str">
        <x:v>UAT-11</x:v>
      </x:c>
      <x:c r="H125" s="14" t="str">
        <x:v>Must</x:v>
      </x:c>
      <x:c r="I125" s="14" t="str">
        <x:v>Not Applicable to UAT</x:v>
      </x:c>
      <x:c r="J125" s="14" t="str">
        <x:v>Not Applicable</x:v>
      </x:c>
      <x:c r="K125" s="14"/>
      <x:c r="L125" s="14"/>
      <x:c r="M125" s="14" t="str">
        <x:v>Source: Step 24 Requirements Baseline PDF p.133. Step 25 story mapping populated from Product Backlog traceability; H3 AIR mapping refined in Step 30 where applicable.</x:v>
      </x:c>
    </x:row>
    <x:row r="126">
      <x:c r="A126" s="14" t="str">
        <x:v>DR-037</x:v>
      </x:c>
      <x:c r="B126" s="14" t="str">
        <x:v>Data Requirement</x:v>
      </x:c>
      <x:c r="C126" s="14" t="str">
        <x:v>Closure information shall identify the final state, closure reason and closure timestamp where applicable.</x:v>
      </x:c>
      <x:c r="D126" s="14" t="str">
        <x:v>H1</x:v>
      </x:c>
      <x:c r="E126" s="14" t="str">
        <x:v>US-038</x:v>
      </x:c>
      <x:c r="F126" s="14" t="str">
        <x:v>System Test</x:v>
      </x:c>
      <x:c r="G126" s="14" t="str">
        <x:v>UAT-10</x:v>
      </x:c>
      <x:c r="H126" s="14" t="str">
        <x:v>Must</x:v>
      </x:c>
      <x:c r="I126" s="14" t="str">
        <x:v>Not Applicable to UAT</x:v>
      </x:c>
      <x:c r="J126" s="14" t="str">
        <x:v>Not Applicable</x:v>
      </x:c>
      <x:c r="K126" s="14"/>
      <x:c r="L126" s="14"/>
      <x:c r="M126" s="14" t="str">
        <x:v>Source: Step 24 Requirements Baseline PDF p.133. Step 25 story mapping populated from Product Backlog traceability; H3 AIR mapping refined in Step 30 where applicable.</x:v>
      </x:c>
    </x:row>
    <x:row r="127">
      <x:c r="A127" s="14" t="str">
        <x:v>DR-038</x:v>
      </x:c>
      <x:c r="B127" s="14" t="str">
        <x:v>Data Requirement</x:v>
      </x:c>
      <x:c r="C127" s="14" t="str">
        <x:v>The lifecycle data shall distinguish active states such as Pending/Wait ing from final states such as Resolved, Rejected or Cancelled.</x:v>
      </x:c>
      <x:c r="D127" s="14" t="str">
        <x:v>H1</x:v>
      </x:c>
      <x:c r="E127" s="14" t="str">
        <x:v>US-043</x:v>
      </x:c>
      <x:c r="F127" s="14" t="str">
        <x:v>System Test</x:v>
      </x:c>
      <x:c r="G127" s="14"/>
      <x:c r="H127" s="14" t="str">
        <x:v>Must</x:v>
      </x:c>
      <x:c r="I127" s="14" t="str">
        <x:v>Not Applicable to UAT</x:v>
      </x:c>
      <x:c r="J127" s="14" t="str">
        <x:v>Not Applicable</x:v>
      </x:c>
      <x:c r="K127" s="14"/>
      <x:c r="L127" s="14"/>
      <x:c r="M127" s="14" t="str">
        <x:v>Source: Step 24 Requirements Baseline PDF p.133. Step 25 story mapping populated from Product Backlog traceability; H3 AIR mapping refined in Step 30 where applicable.</x:v>
      </x:c>
    </x:row>
    <x:row r="128">
      <x:c r="A128" s="14" t="str">
        <x:v>DR-039</x:v>
      </x:c>
      <x:c r="B128" s="14" t="str">
        <x:v>Data Requirement</x:v>
      </x:c>
      <x:c r="C128" s="14" t="str">
        <x:v>Material lifecycle events shall be identifiable by Event ID, Case ID, event type and timestamp.</x:v>
      </x:c>
      <x:c r="D128" s="14" t="str">
        <x:v>H1</x:v>
      </x:c>
      <x:c r="E128" s="14"/>
      <x:c r="F128" s="14" t="str">
        <x:v>System Test</x:v>
      </x:c>
      <x:c r="G128" s="14"/>
      <x:c r="H128" s="14" t="str">
        <x:v>Must</x:v>
      </x:c>
      <x:c r="I128" s="14" t="str">
        <x:v>Not Applicable to UAT</x:v>
      </x:c>
      <x:c r="J128" s="14" t="str">
        <x:v>Not Applicable</x:v>
      </x:c>
      <x:c r="K128" s="14"/>
      <x:c r="L128" s="14"/>
      <x:c r="M128" s="14" t="str">
        <x:v>Source: Step 24 Requirements Baseline PDF p.134. No exact US-xxx story allocation is stated in the Step 25 source for this requirement; leave as capability/cross-cutting coverage rather than inventing a mapping.</x:v>
      </x:c>
    </x:row>
    <x:row r="129">
      <x:c r="A129" s="14" t="str">
        <x:v>DR-040</x:v>
      </x:c>
      <x:c r="B129" s="14" t="str">
        <x:v>Data Requirement</x:v>
      </x:c>
      <x:c r="C129" s="14" t="str">
        <x:v>Where relevant, process events shall preserve material status and ownership transitions rather than only the latest state.</x:v>
      </x:c>
      <x:c r="D129" s="14" t="str">
        <x:v>H1</x:v>
      </x:c>
      <x:c r="E129" s="14"/>
      <x:c r="F129" s="14" t="str">
        <x:v>System Test</x:v>
      </x:c>
      <x:c r="G129" s="14"/>
      <x:c r="H129" s="14" t="str">
        <x:v>Must</x:v>
      </x:c>
      <x:c r="I129" s="14" t="str">
        <x:v>Not Applicable to UAT</x:v>
      </x:c>
      <x:c r="J129" s="14" t="str">
        <x:v>Not Applicable</x:v>
      </x:c>
      <x:c r="K129" s="14"/>
      <x:c r="L129" s="14"/>
      <x:c r="M129" s="14" t="str">
        <x:v>Source: Step 24 Requirements Baseline PDF p.134. No exact US-xxx story allocation is stated in the Step 25 source for this requirement; leave as capability/cross-cutting coverage rather than inventing a mapping.</x:v>
      </x:c>
    </x:row>
    <x:row r="130">
      <x:c r="A130" s="14" t="str">
        <x:v>DR-041</x:v>
      </x:c>
      <x:c r="B130" s="14" t="str">
        <x:v>Data Requirement</x:v>
      </x:c>
      <x:c r="C130" s="14" t="str">
        <x:v>Material deterministic rule execution shall be traceable to the applicable rule identity/version and result where required for control, explanation or testing.</x:v>
      </x:c>
      <x:c r="D130" s="14" t="str">
        <x:v>H1</x:v>
      </x:c>
      <x:c r="E130" s="14" t="str">
        <x:v>US-009, US-010, US-012</x:v>
      </x:c>
      <x:c r="F130" s="14" t="str">
        <x:v>System Test</x:v>
      </x:c>
      <x:c r="G130" s="14"/>
      <x:c r="H130" s="14" t="str">
        <x:v>Must</x:v>
      </x:c>
      <x:c r="I130" s="14" t="str">
        <x:v>Not Applicable to UAT</x:v>
      </x:c>
      <x:c r="J130" s="14" t="str">
        <x:v>Not Applicable</x:v>
      </x:c>
      <x:c r="K130" s="14"/>
      <x:c r="L130" s="14"/>
      <x:c r="M130" s="14" t="str">
        <x:v>Source: Step 24 Requirements Baseline PDF p.135. Step 25 story mapping populated from Product Backlog traceability; H3 AIR mapping refined in Step 30 where applicable.</x:v>
      </x:c>
    </x:row>
    <x:row r="131">
      <x:c r="A131" s="14" t="str">
        <x:v>DR-042</x:v>
      </x:c>
      <x:c r="B131" s="14" t="str">
        <x:v>Data Requirement</x:v>
      </x:c>
      <x:c r="C131" s="14" t="str">
        <x:v>Material automation execution shall support recording the execution result and applicable failure, retry or reconciliation status.</x:v>
      </x:c>
      <x:c r="D131" s="14" t="str">
        <x:v>H2</x:v>
      </x:c>
      <x:c r="E131" s="14"/>
      <x:c r="F131" s="14" t="str">
        <x:v>System Test</x:v>
      </x:c>
      <x:c r="G131" s="14" t="str">
        <x:v>UAT-16</x:v>
      </x:c>
      <x:c r="H131" s="14" t="str">
        <x:v>Must</x:v>
      </x:c>
      <x:c r="I131" s="14" t="str">
        <x:v>Not Applicable to UAT</x:v>
      </x:c>
      <x:c r="J131" s="14" t="str">
        <x:v>Not Applicable</x:v>
      </x:c>
      <x:c r="K131" s="14"/>
      <x:c r="L131" s="14"/>
      <x:c r="M131" s="14" t="str">
        <x:v>Source: Step 24 Requirements Baseline PDF p.135. No exact US-xxx story allocation is stated in the Step 25 source for this requirement; leave as capability/cross-cutting coverage rather than inventing a mapping.</x:v>
      </x:c>
    </x:row>
    <x:row r="132">
      <x:c r="A132" s="14" t="str">
        <x:v>DR-043</x:v>
      </x:c>
      <x:c r="B132" s="14" t="str">
        <x:v>Data Requirement</x:v>
      </x:c>
      <x:c r="C132" s="14" t="str">
        <x:v>An authorised override shall support recording the original result/state, revised result/state, override reason, authorised actor and timestamp where applicable.</x:v>
      </x:c>
      <x:c r="D132" s="14" t="str">
        <x:v>H1</x:v>
      </x:c>
      <x:c r="E132" s="14" t="str">
        <x:v>US-008, US-010, US-013</x:v>
      </x:c>
      <x:c r="F132" s="14" t="str">
        <x:v>System Test</x:v>
      </x:c>
      <x:c r="G132" s="14"/>
      <x:c r="H132" s="14" t="str">
        <x:v>Must</x:v>
      </x:c>
      <x:c r="I132" s="14" t="str">
        <x:v>Not Applicable to UAT</x:v>
      </x:c>
      <x:c r="J132" s="14" t="str">
        <x:v>Not Applicable</x:v>
      </x:c>
      <x:c r="K132" s="14"/>
      <x:c r="L132" s="14"/>
      <x:c r="M132" s="14" t="str">
        <x:v>Source: Step 24 Requirements Baseline PDF p.136. Step 25 story mapping populated from Product Backlog traceability; H3 AIR mapping refined in Step 30 where applicable.</x:v>
      </x:c>
    </x:row>
    <x:row r="133">
      <x:c r="A133" s="14" t="str">
        <x:v>DR-044</x:v>
      </x:c>
      <x:c r="B133" s="14" t="str">
        <x:v>Data Requirement</x:v>
      </x:c>
      <x:c r="C133" s="14" t="str">
        <x:v>Process-event information shall enable the actor type to be distinguished where relevant, including Customer, Human User, Rule, Workflow, Automation and AI Assistance.</x:v>
      </x:c>
      <x:c r="D133" s="14" t="str">
        <x:v>H1</x:v>
      </x:c>
      <x:c r="E133" s="14"/>
      <x:c r="F133" s="14" t="str">
        <x:v>System Test</x:v>
      </x:c>
      <x:c r="G133" s="14"/>
      <x:c r="H133" s="14" t="str">
        <x:v>Must</x:v>
      </x:c>
      <x:c r="I133" s="14" t="str">
        <x:v>Not Applicable to UAT</x:v>
      </x:c>
      <x:c r="J133" s="14" t="str">
        <x:v>Not Applicable</x:v>
      </x:c>
      <x:c r="K133" s="14"/>
      <x:c r="L133" s="14"/>
      <x:c r="M133" s="14" t="str">
        <x:v>Source: Step 24 Requirements Baseline PDF p.136. No exact US-xxx story allocation is stated in the Step 25 source for this requirement; leave as capability/cross-cutting coverage rather than inventing a mapping.</x:v>
      </x:c>
    </x:row>
    <x:row r="134">
      <x:c r="A134" s="14" t="str">
        <x:v>DR-045</x:v>
      </x:c>
      <x:c r="B134" s="14" t="str">
        <x:v>Data Requirement</x:v>
      </x:c>
      <x:c r="C134" s="14" t="str">
        <x:v>The service should make available sufficient lifecycle data to calculate defined service and process measures using clearly established denominator s.</x:v>
      </x:c>
      <x:c r="D134" s="14" t="str">
        <x:v>H1</x:v>
      </x:c>
      <x:c r="E134" s="14"/>
      <x:c r="F134" s="14" t="str">
        <x:v>System Test</x:v>
      </x:c>
      <x:c r="G134" s="14"/>
      <x:c r="H134" s="14" t="str">
        <x:v>Should</x:v>
      </x:c>
      <x:c r="I134" s="14" t="str">
        <x:v>Not Applicable to UAT</x:v>
      </x:c>
      <x:c r="J134" s="14" t="str">
        <x:v>Not Applicable</x:v>
      </x:c>
      <x:c r="K134" s="14"/>
      <x:c r="L134" s="14"/>
      <x:c r="M134" s="14" t="str">
        <x:v>Source: Step 24 Requirements Baseline PDF p.137. No exact US-xxx story allocation is stated in the Step 25 source for this requirement; leave as capability/cross-cutting coverage rather than inventing a mapping.</x:v>
      </x:c>
    </x:row>
    <x:row r="135">
      <x:c r="A135" s="14" t="str">
        <x:v>DR-046</x:v>
      </x:c>
      <x:c r="B135" s="14" t="str">
        <x:v>Data Requirement</x:v>
      </x:c>
      <x:c r="C135" s="14" t="str">
        <x:v>The service should make available sufficiently structured reason information to analyse waiting, handoff, rework and relevant customer-contact patterns.</x:v>
      </x:c>
      <x:c r="D135" s="14" t="str">
        <x:v>H1</x:v>
      </x:c>
      <x:c r="E135" s="14"/>
      <x:c r="F135" s="14" t="str">
        <x:v>System Test</x:v>
      </x:c>
      <x:c r="G135" s="14"/>
      <x:c r="H135" s="14" t="str">
        <x:v>Should</x:v>
      </x:c>
      <x:c r="I135" s="14" t="str">
        <x:v>Not Applicable to UAT</x:v>
      </x:c>
      <x:c r="J135" s="14" t="str">
        <x:v>Not Applicable</x:v>
      </x:c>
      <x:c r="K135" s="14"/>
      <x:c r="L135" s="14"/>
      <x:c r="M135" s="14" t="str">
        <x:v>Source: Step 24 Requirements Baseline PDF p.137. No exact US-xxx story allocation is stated in the Step 25 source for this requirement; leave as capability/cross-cutting coverage rather than inventing a mapping.</x:v>
      </x:c>
    </x:row>
    <x:row r="136">
      <x:c r="A136" s="14" t="str">
        <x:v>DR-047</x:v>
      </x:c>
      <x:c r="B136" s="14" t="str">
        <x:v>Data Requirement</x:v>
      </x:c>
      <x:c r="C136" s="14" t="str">
        <x:v>Structured data captured for process analysis should have a defined business purpose or identified operational, control, customer-service or measurement use.</x:v>
      </x:c>
      <x:c r="D136" s="14" t="str">
        <x:v>H1</x:v>
      </x:c>
      <x:c r="E136" s="14"/>
      <x:c r="F136" s="14" t="str">
        <x:v>System Test</x:v>
      </x:c>
      <x:c r="G136" s="14"/>
      <x:c r="H136" s="14" t="str">
        <x:v>Should</x:v>
      </x:c>
      <x:c r="I136" s="14" t="str">
        <x:v>Not Applicable to UAT</x:v>
      </x:c>
      <x:c r="J136" s="14" t="str">
        <x:v>Not Applicable</x:v>
      </x:c>
      <x:c r="K136" s="14"/>
      <x:c r="L136" s="14"/>
      <x:c r="M136" s="14" t="str">
        <x:v>Source: Step 24 Requirements Baseline PDF p.138. No exact US-xxx story allocation is stated in the Step 25 source for this requirement; leave as capability/cross-cutting coverage rather than inventing a mapping.</x:v>
      </x:c>
    </x:row>
    <x:row r="137">
      <x:c r="A137" s="14" t="str">
        <x:v>DR-048</x:v>
      </x:c>
      <x:c r="B137" s="14" t="str">
        <x:v>Data Requirement</x:v>
      </x:c>
      <x:c r="C137" s="14" t="str">
        <x:v>The service shall enable authoritative source information to be distinguished from derived, summarised or generated information.</x:v>
      </x:c>
      <x:c r="D137" s="14" t="str">
        <x:v>H3</x:v>
      </x:c>
      <x:c r="E137" s="14" t="str">
        <x:v>US-061–063, US-064–066</x:v>
      </x:c>
      <x:c r="F137" s="14" t="str">
        <x:v>AI Prototype Evaluation</x:v>
      </x:c>
      <x:c r="G137" s="14" t="str">
        <x:v>UAT-17, UAT-19</x:v>
      </x:c>
      <x:c r="H137" s="14" t="str">
        <x:v>Must</x:v>
      </x:c>
      <x:c r="I137" s="14" t="str">
        <x:v>Mapped</x:v>
      </x:c>
      <x:c r="J137" s="14" t="str">
        <x:v>Prototype Evaluated - Step 28</x:v>
      </x:c>
      <x:c r="K137" s="14" t="str">
        <x:v>Step 28 controlled synthetic AI prototype evaluation (screenshots 170-176)</x:v>
      </x:c>
      <x:c r="L137" s="14"/>
      <x:c r="M137" s="14" t="str">
        <x:v>Source: Step 24 Requirements Baseline PDF p.138. H3 AI story mapping uses the established controlled-pilot backlog.</x:v>
      </x:c>
    </x:row>
    <x:row r="138">
      <x:c r="A138" s="14" t="str">
        <x:v>DR-049</x:v>
      </x:c>
      <x:c r="B138" s="14" t="str">
        <x:v>Data Requirement</x:v>
      </x:c>
      <x:c r="C138" s="14" t="str">
        <x:v>Where an approved AI capability is used, the service shall maintain an appropriate AI-assistance record linking the use case, authorised source information, output, human review outcome and fallback/correction information required for evaluation and traceability.</x:v>
      </x:c>
      <x:c r="D138" s="14" t="str">
        <x:v>H3</x:v>
      </x:c>
      <x:c r="E138" s="14" t="str">
        <x:v>US-061–066</x:v>
      </x:c>
      <x:c r="F138" s="14" t="str">
        <x:v>AI Prototype Evaluation</x:v>
      </x:c>
      <x:c r="G138" s="14" t="str">
        <x:v>UAT-17, UAT-18, UAT-19, UAT-20</x:v>
      </x:c>
      <x:c r="H138" s="14" t="str">
        <x:v>Must when AI used</x:v>
      </x:c>
      <x:c r="I138" s="14" t="str">
        <x:v>Mapped</x:v>
      </x:c>
      <x:c r="J138" s="14" t="str">
        <x:v>Prototype Evaluated - Step 28</x:v>
      </x:c>
      <x:c r="K138" s="14" t="str">
        <x:v>Step 28 controlled synthetic AI prototype evaluation (screenshots 170-176)</x:v>
      </x:c>
      <x:c r="L138" s="14"/>
      <x:c r="M138" s="14" t="str">
        <x:v>Source: Step 24 Requirements Baseline PDF p.139. H3 AI story mapping uses the established controlled-pilot backlog.</x:v>
      </x:c>
    </x:row>
    <x:row r="139">
      <x:c r="A139" s="14" t="str">
        <x:v>DR-050</x:v>
      </x:c>
      <x:c r="B139" s="14" t="str">
        <x:v>Data Requirement</x:v>
      </x:c>
      <x:c r="C139" s="14" t="str">
        <x:v>Critical data elements shall have sufficiently defined meaning, validation expectations and permitted values or quality rules to support reliable process execution and analysis.</x:v>
      </x:c>
      <x:c r="D139" s="14" t="str">
        <x:v>H1</x:v>
      </x:c>
      <x:c r="E139" s="14"/>
      <x:c r="F139" s="14" t="str">
        <x:v>System Test</x:v>
      </x:c>
      <x:c r="G139" s="14"/>
      <x:c r="H139" s="14" t="str">
        <x:v>Must</x:v>
      </x:c>
      <x:c r="I139" s="14" t="str">
        <x:v>Not Applicable to UAT</x:v>
      </x:c>
      <x:c r="J139" s="14" t="str">
        <x:v>Not Applicable</x:v>
      </x:c>
      <x:c r="K139" s="14"/>
      <x:c r="L139" s="14"/>
      <x:c r="M139" s="14" t="str">
        <x:v>Source: Step 24 Requirements Baseline PDF p.140. No exact US-xxx story allocation is stated in the Step 25 source for this requirement; leave as capability/cross-cutting coverage rather than inventing a mapping.</x:v>
      </x:c>
    </x:row>
    <x:row r="140">
      <x:c r="A140" s="14" t="str">
        <x:v>UXR-001</x:v>
      </x:c>
      <x:c r="B140" s="14" t="str">
        <x:v>UX / Accessibility Requirement</x:v>
      </x:c>
      <x:c r="C140" s="14" t="str">
        <x:v>The service shall provide understandable guidance about the information required to begin a dispute.</x:v>
      </x:c>
      <x:c r="D140" s="14" t="str">
        <x:v>H1</x:v>
      </x:c>
      <x:c r="E140" s="14" t="str">
        <x:v>US-001, US-004</x:v>
      </x:c>
      <x:c r="F140" s="14" t="str">
        <x:v>Accessibility / UX Validation</x:v>
      </x:c>
      <x:c r="G140" s="14"/>
      <x:c r="H140" s="14" t="str">
        <x:v>Must</x:v>
      </x:c>
      <x:c r="I140" s="14" t="str">
        <x:v>Not Applicable to UAT</x:v>
      </x:c>
      <x:c r="J140" s="14" t="str">
        <x:v>Not Applicable</x:v>
      </x:c>
      <x:c r="K140" s="14"/>
      <x:c r="L140" s="14"/>
      <x:c r="M140" s="14" t="str">
        <x:v>Source: Step 24 Requirements Baseline PDF p.158. Step 25 story mapping populated from Product Backlog traceability; H3 AIR mapping refined in Step 30 where applicable.</x:v>
      </x:c>
    </x:row>
    <x:row r="141">
      <x:c r="A141" s="14" t="str">
        <x:v>UXR-002</x:v>
      </x:c>
      <x:c r="B141" s="14" t="str">
        <x:v>UX / Accessibility Requirement</x:v>
      </x:c>
      <x:c r="C141" s="14" t="str">
        <x:v>The service shall distinguish information required to progress the current stage from information that may only become necessary later.</x:v>
      </x:c>
      <x:c r="D141" s="14" t="str">
        <x:v>H1</x:v>
      </x:c>
      <x:c r="E141" s="14" t="str">
        <x:v>US-001, US-004</x:v>
      </x:c>
      <x:c r="F141" s="14" t="str">
        <x:v>Accessibility / UX Validation</x:v>
      </x:c>
      <x:c r="G141" s="14"/>
      <x:c r="H141" s="14" t="str">
        <x:v>Must</x:v>
      </x:c>
      <x:c r="I141" s="14" t="str">
        <x:v>Not Applicable to UAT</x:v>
      </x:c>
      <x:c r="J141" s="14" t="str">
        <x:v>Not Applicable</x:v>
      </x:c>
      <x:c r="K141" s="14"/>
      <x:c r="L141" s="14"/>
      <x:c r="M141" s="14" t="str">
        <x:v>Source: Step 24 Requirements Baseline PDF p.158. Step 25 story mapping populated from Product Backlog traceability; H3 AIR mapping refined in Step 30 where applicable.</x:v>
      </x:c>
    </x:row>
    <x:row r="142">
      <x:c r="A142" s="14" t="str">
        <x:v>UXR-003</x:v>
      </x:c>
      <x:c r="B142" s="14" t="str">
        <x:v>UX / Accessibility Requirement</x:v>
      </x:c>
      <x:c r="C142" s="14" t="str">
        <x:v>The service shall avoid requiring a customer to understand internal operational terminology in order to initiate a dispute.</x:v>
      </x:c>
      <x:c r="D142" s="14" t="str">
        <x:v>H1</x:v>
      </x:c>
      <x:c r="E142" s="14" t="str">
        <x:v>US-001, US-004</x:v>
      </x:c>
      <x:c r="F142" s="14" t="str">
        <x:v>Accessibility / UX Validation</x:v>
      </x:c>
      <x:c r="G142" s="14"/>
      <x:c r="H142" s="14" t="str">
        <x:v>Must</x:v>
      </x:c>
      <x:c r="I142" s="14" t="str">
        <x:v>Not Applicable to UAT</x:v>
      </x:c>
      <x:c r="J142" s="14" t="str">
        <x:v>Not Applicable</x:v>
      </x:c>
      <x:c r="K142" s="14"/>
      <x:c r="L142" s="14"/>
      <x:c r="M142" s="14" t="str">
        <x:v>Source: Step 24 Requirements Baseline PDF p.158. Step 25 story mapping populated from Product Backlog traceability; H3 AIR mapping refined in Step 30 where applicable.</x:v>
      </x:c>
    </x:row>
    <x:row r="143">
      <x:c r="A143" s="14" t="str">
        <x:v>UXR-004</x:v>
      </x:c>
      <x:c r="B143" s="14" t="str">
        <x:v>UX / Accessibility Requirement</x:v>
      </x:c>
      <x:c r="C143" s="14" t="str">
        <x:v>Where a dispute description does not fit a standard category, the customer shall still have a route to submit or obtain assistance rather than being forced to select an inaccurate option.</x:v>
      </x:c>
      <x:c r="D143" s="14" t="str">
        <x:v>H1</x:v>
      </x:c>
      <x:c r="E143" s="14" t="str">
        <x:v>US-001, US-004</x:v>
      </x:c>
      <x:c r="F143" s="14" t="str">
        <x:v>Accessibility / UX Validation</x:v>
      </x:c>
      <x:c r="G143" s="14"/>
      <x:c r="H143" s="14" t="str">
        <x:v>Must</x:v>
      </x:c>
      <x:c r="I143" s="14" t="str">
        <x:v>Not Applicable to UAT</x:v>
      </x:c>
      <x:c r="J143" s="14" t="str">
        <x:v>Not Applicable</x:v>
      </x:c>
      <x:c r="K143" s="14"/>
      <x:c r="L143" s="14"/>
      <x:c r="M143" s="14" t="str">
        <x:v>Source: Step 24 Requirements Baseline PDF p.159. Step 25 story mapping populated from Product Backlog traceability; H3 AIR mapping refined in Step 30 where applicable.</x:v>
      </x:c>
    </x:row>
    <x:row r="144">
      <x:c r="A144" s="14" t="str">
        <x:v>UXR-005</x:v>
      </x:c>
      <x:c r="B144" s="14" t="str">
        <x:v>UX / Accessibility Requirement</x:v>
      </x:c>
      <x:c r="C144" s="14" t="str">
        <x:v>Following successful dispute initiation, the customer shall receive understandable confirmation that the dispute has been received.</x:v>
      </x:c>
      <x:c r="D144" s="14" t="str">
        <x:v>H1</x:v>
      </x:c>
      <x:c r="E144" s="14" t="str">
        <x:v>US-005, US-037</x:v>
      </x:c>
      <x:c r="F144" s="14" t="str">
        <x:v>Accessibility / UX Validation</x:v>
      </x:c>
      <x:c r="G144" s="14"/>
      <x:c r="H144" s="14" t="str">
        <x:v>Must</x:v>
      </x:c>
      <x:c r="I144" s="14" t="str">
        <x:v>Not Applicable to UAT</x:v>
      </x:c>
      <x:c r="J144" s="14" t="str">
        <x:v>Not Applicable</x:v>
      </x:c>
      <x:c r="K144" s="14"/>
      <x:c r="L144" s="14"/>
      <x:c r="M144" s="14" t="str">
        <x:v>Source: Step 24 Requirements Baseline PDF p.159. Step 25 story mapping populated from Product Backlog traceability; H3 AIR mapping refined in Step 30 where applicable.</x:v>
      </x:c>
    </x:row>
    <x:row r="145">
      <x:c r="A145" s="14" t="str">
        <x:v>UXR-006</x:v>
      </x:c>
      <x:c r="B145" s="14" t="str">
        <x:v>UX / Accessibility Requirement</x:v>
      </x:c>
      <x:c r="C145" s="14" t="str">
        <x:v>Submission confirmation shall provide appropriate next-step information rather than only a technical acknowledgement or case number.</x:v>
      </x:c>
      <x:c r="D145" s="14" t="str">
        <x:v>H1</x:v>
      </x:c>
      <x:c r="E145" s="14" t="str">
        <x:v>US-005, US-037</x:v>
      </x:c>
      <x:c r="F145" s="14" t="str">
        <x:v>Accessibility / UX Validation</x:v>
      </x:c>
      <x:c r="G145" s="14"/>
      <x:c r="H145" s="14" t="str">
        <x:v>Must</x:v>
      </x:c>
      <x:c r="I145" s="14" t="str">
        <x:v>Not Applicable to UAT</x:v>
      </x:c>
      <x:c r="J145" s="14" t="str">
        <x:v>Not Applicable</x:v>
      </x:c>
      <x:c r="K145" s="14"/>
      <x:c r="L145" s="14"/>
      <x:c r="M145" s="14" t="str">
        <x:v>Source: Step 24 Requirements Baseline PDF p.159. Step 25 story mapping populated from Product Backlog traceability; H3 AIR mapping refined in Step 30 where applicable.</x:v>
      </x:c>
    </x:row>
    <x:row r="146">
      <x:c r="A146" s="14" t="str">
        <x:v>UXR-007</x:v>
      </x:c>
      <x:c r="B146" s="14" t="str">
        <x:v>UX / Accessibility Requirement</x:v>
      </x:c>
      <x:c r="C146" s="14" t="str">
        <x:v>The service shall present customer-facing dispute status in language meaningful to the customer rather than relying solely on internal queue or workflow terminology.</x:v>
      </x:c>
      <x:c r="D146" s="14" t="str">
        <x:v>H1</x:v>
      </x:c>
      <x:c r="E146" s="14"/>
      <x:c r="F146" s="14" t="str">
        <x:v>Accessibility / UX Validation</x:v>
      </x:c>
      <x:c r="G146" s="14"/>
      <x:c r="H146" s="14" t="str">
        <x:v>Must</x:v>
      </x:c>
      <x:c r="I146" s="14" t="str">
        <x:v>Not Applicable to UAT</x:v>
      </x:c>
      <x:c r="J146" s="14" t="str">
        <x:v>Not Applicable</x:v>
      </x:c>
      <x:c r="K146" s="14"/>
      <x:c r="L146" s="14"/>
      <x:c r="M146" s="14" t="str">
        <x:v>Source: Step 24 Requirements Baseline PDF p.160. No exact US-xxx story allocation is stated in the Step 25 source for this requirement; leave as capability/cross-cutting coverage rather than inventing a mapping.</x:v>
      </x:c>
    </x:row>
    <x:row r="147">
      <x:c r="A147" s="14" t="str">
        <x:v>UXR-008</x:v>
      </x:c>
      <x:c r="B147" s="14" t="str">
        <x:v>UX / Accessibility Requirement</x:v>
      </x:c>
      <x:c r="C147" s="14" t="str">
        <x:v>Where customer action is required, the service shall make that state clearly distinguishable from a state where no customer action is required.</x:v>
      </x:c>
      <x:c r="D147" s="14" t="str">
        <x:v>H1</x:v>
      </x:c>
      <x:c r="E147" s="14" t="str">
        <x:v>US-007, US-019, US-027, US-028, US-036</x:v>
      </x:c>
      <x:c r="F147" s="14" t="str">
        <x:v>Accessibility / UX Validation</x:v>
      </x:c>
      <x:c r="G147" s="14"/>
      <x:c r="H147" s="14" t="str">
        <x:v>Must</x:v>
      </x:c>
      <x:c r="I147" s="14" t="str">
        <x:v>Not Applicable to UAT</x:v>
      </x:c>
      <x:c r="J147" s="14" t="str">
        <x:v>Not Applicable</x:v>
      </x:c>
      <x:c r="K147" s="14"/>
      <x:c r="L147" s="14"/>
      <x:c r="M147" s="14" t="str">
        <x:v>Source: Step 24 Requirements Baseline PDF p.160. Step 25 story mapping populated from Product Backlog traceability; H3 AIR mapping refined in Step 30 where applicable.</x:v>
      </x:c>
    </x:row>
    <x:row r="148">
      <x:c r="A148" s="14" t="str">
        <x:v>UXR-009</x:v>
      </x:c>
      <x:c r="B148" s="14" t="str">
        <x:v>UX / Accessibility Requirement</x:v>
      </x:c>
      <x:c r="C148" s="14" t="str">
        <x:v>Where customer action is required, the communication shall explain what action is required and, where appropriate, why it is needed.</x:v>
      </x:c>
      <x:c r="D148" s="14" t="str">
        <x:v>H1</x:v>
      </x:c>
      <x:c r="E148" s="14" t="str">
        <x:v>US-007, US-019, US-027, US-028, US-036</x:v>
      </x:c>
      <x:c r="F148" s="14" t="str">
        <x:v>Accessibility / UX Validation</x:v>
      </x:c>
      <x:c r="G148" s="14"/>
      <x:c r="H148" s="14" t="str">
        <x:v>Must</x:v>
      </x:c>
      <x:c r="I148" s="14" t="str">
        <x:v>Not Applicable to UAT</x:v>
      </x:c>
      <x:c r="J148" s="14" t="str">
        <x:v>Not Applicable</x:v>
      </x:c>
      <x:c r="K148" s="14"/>
      <x:c r="L148" s="14"/>
      <x:c r="M148" s="14" t="str">
        <x:v>Source: Step 24 Requirements Baseline PDF p.161. Step 25 story mapping populated from Product Backlog traceability; H3 AIR mapping refined in Step 30 where applicable.</x:v>
      </x:c>
    </x:row>
    <x:row r="149">
      <x:c r="A149" s="14" t="str">
        <x:v>UXR-010</x:v>
      </x:c>
      <x:c r="B149" s="14" t="str">
        <x:v>UX / Accessibility Requirement</x:v>
      </x:c>
      <x:c r="C149" s="14" t="str">
        <x:v>A customer shall not be presented with internal waiting or specialist terminology without sufficient customer-facing explanation of what that means for their journey.</x:v>
      </x:c>
      <x:c r="D149" s="14" t="str">
        <x:v>H1</x:v>
      </x:c>
      <x:c r="E149" s="14"/>
      <x:c r="F149" s="14" t="str">
        <x:v>Accessibility / UX Validation</x:v>
      </x:c>
      <x:c r="G149" s="14"/>
      <x:c r="H149" s="14" t="str">
        <x:v>Should</x:v>
      </x:c>
      <x:c r="I149" s="14" t="str">
        <x:v>Not Applicable to UAT</x:v>
      </x:c>
      <x:c r="J149" s="14" t="str">
        <x:v>Not Applicable</x:v>
      </x:c>
      <x:c r="K149" s="14"/>
      <x:c r="L149" s="14"/>
      <x:c r="M149" s="14" t="str">
        <x:v>Source: Step 24 Requirements Baseline PDF p.161. No exact US-xxx story allocation is stated in the Step 25 source for this requirement; leave as capability/cross-cutting coverage rather than inventing a mapping.</x:v>
      </x:c>
    </x:row>
    <x:row r="150">
      <x:c r="A150" s="14" t="str">
        <x:v>UXR-011</x:v>
      </x:c>
      <x:c r="B150" s="14" t="str">
        <x:v>UX / Accessibility Requirement</x:v>
      </x:c>
      <x:c r="C150" s="14" t="str">
        <x:v>Where a case remains open for an extended period or enters specialist processing, appropriate progress information should be available without falsely implying progress where none has occurred.</x:v>
      </x:c>
      <x:c r="D150" s="14" t="str">
        <x:v>H1</x:v>
      </x:c>
      <x:c r="E150" s="14"/>
      <x:c r="F150" s="14" t="str">
        <x:v>Accessibility / UX Validation</x:v>
      </x:c>
      <x:c r="G150" s="14"/>
      <x:c r="H150" s="14" t="str">
        <x:v>Should</x:v>
      </x:c>
      <x:c r="I150" s="14" t="str">
        <x:v>Not Applicable to UAT</x:v>
      </x:c>
      <x:c r="J150" s="14" t="str">
        <x:v>Not Applicable</x:v>
      </x:c>
      <x:c r="K150" s="14"/>
      <x:c r="L150" s="14"/>
      <x:c r="M150" s="14" t="str">
        <x:v>Source: Step 24 Requirements Baseline PDF p.161. No exact US-xxx story allocation is stated in the Step 25 source for this requirement; leave as capability/cross-cutting coverage rather than inventing a mapping.</x:v>
      </x:c>
    </x:row>
    <x:row r="151">
      <x:c r="A151" s="14" t="str">
        <x:v>UXR-012</x:v>
      </x:c>
      <x:c r="B151" s="14" t="str">
        <x:v>UX / Accessibility Requirement</x:v>
      </x:c>
      <x:c r="C151" s="14" t="str">
        <x:v>An additional-information or evidence request shall clearly identify what is required from the customer.</x:v>
      </x:c>
      <x:c r="D151" s="14" t="str">
        <x:v>H1</x:v>
      </x:c>
      <x:c r="E151" s="14" t="str">
        <x:v>US-007, US-019, US-027, US-028, US-036</x:v>
      </x:c>
      <x:c r="F151" s="14" t="str">
        <x:v>Accessibility / UX Validation</x:v>
      </x:c>
      <x:c r="G151" s="14" t="str">
        <x:v>UAT-02</x:v>
      </x:c>
      <x:c r="H151" s="14" t="str">
        <x:v>Must</x:v>
      </x:c>
      <x:c r="I151" s="14" t="str">
        <x:v>Not Applicable to UAT</x:v>
      </x:c>
      <x:c r="J151" s="14" t="str">
        <x:v>Not Applicable</x:v>
      </x:c>
      <x:c r="K151" s="14"/>
      <x:c r="L151" s="14"/>
      <x:c r="M151" s="14" t="str">
        <x:v>Source: Step 24 Requirements Baseline PDF p.162. Step 25 story mapping populated from Product Backlog traceability; H3 AIR mapping refined in Step 30 where applicable.</x:v>
      </x:c>
    </x:row>
    <x:row r="152">
      <x:c r="A152" s="14" t="str">
        <x:v>UXR-013</x:v>
      </x:c>
      <x:c r="B152" s="14" t="str">
        <x:v>UX / Accessibility Requirement</x:v>
      </x:c>
      <x:c r="C152" s="14" t="str">
        <x:v>Where appropriate, an evidence request shall explain why the information is needed sufficiently for the customer to understand the request.</x:v>
      </x:c>
      <x:c r="D152" s="14" t="str">
        <x:v>H1</x:v>
      </x:c>
      <x:c r="E152" s="14" t="str">
        <x:v>US-007, US-019, US-027, US-028, US-036</x:v>
      </x:c>
      <x:c r="F152" s="14" t="str">
        <x:v>Accessibility / UX Validation</x:v>
      </x:c>
      <x:c r="G152" s="14" t="str">
        <x:v>UAT-02</x:v>
      </x:c>
      <x:c r="H152" s="14" t="str">
        <x:v>Must</x:v>
      </x:c>
      <x:c r="I152" s="14" t="str">
        <x:v>Not Applicable to UAT</x:v>
      </x:c>
      <x:c r="J152" s="14" t="str">
        <x:v>Not Applicable</x:v>
      </x:c>
      <x:c r="K152" s="14"/>
      <x:c r="L152" s="14"/>
      <x:c r="M152" s="14" t="str">
        <x:v>Source: Step 24 Requirements Baseline PDF p.162. Step 25 story mapping populated from Product Backlog traceability; H3 AIR mapping refined in Step 30 where applicable.</x:v>
      </x:c>
    </x:row>
    <x:row r="153">
      <x:c r="A153" s="14" t="str">
        <x:v>UXR-014</x:v>
      </x:c>
      <x:c r="B153" s="14" t="str">
        <x:v>UX / Accessibility Requirement</x:v>
      </x:c>
      <x:c r="C153" s="14" t="str">
        <x:v>The customer should not be required to re-enter or resend information already appropriately available to the service unless there is a legitimate reason for requesting it again.</x:v>
      </x:c>
      <x:c r="D153" s="14" t="str">
        <x:v>H1</x:v>
      </x:c>
      <x:c r="E153" s="14"/>
      <x:c r="F153" s="14" t="str">
        <x:v>Accessibility / UX Validation</x:v>
      </x:c>
      <x:c r="G153" s="14"/>
      <x:c r="H153" s="14" t="str">
        <x:v>Should</x:v>
      </x:c>
      <x:c r="I153" s="14" t="str">
        <x:v>Not Applicable to UAT</x:v>
      </x:c>
      <x:c r="J153" s="14" t="str">
        <x:v>Not Applicable</x:v>
      </x:c>
      <x:c r="K153" s="14"/>
      <x:c r="L153" s="14"/>
      <x:c r="M153" s="14" t="str">
        <x:v>Source: Step 24 Requirements Baseline PDF p.163. No exact US-xxx story allocation is stated in the Step 25 source for this requirement; leave as capability/cross-cutting coverage rather than inventing a mapping.</x:v>
      </x:c>
    </x:row>
    <x:row r="154">
      <x:c r="A154" s="14" t="str">
        <x:v>UXR-015</x:v>
      </x:c>
      <x:c r="B154" s="14" t="str">
        <x:v>UX / Accessibility Requirement</x:v>
      </x:c>
      <x:c r="C154" s="14" t="str">
        <x:v>Where previously supplied information must legitimately be requested again, the service should provide sufficient context to distinguish the request from an accidental duplicate request.</x:v>
      </x:c>
      <x:c r="D154" s="14" t="str">
        <x:v>H1</x:v>
      </x:c>
      <x:c r="E154" s="14" t="str">
        <x:v>US-019, US-027</x:v>
      </x:c>
      <x:c r="F154" s="14" t="str">
        <x:v>Accessibility / UX Validation</x:v>
      </x:c>
      <x:c r="G154" s="14"/>
      <x:c r="H154" s="14" t="str">
        <x:v>Should</x:v>
      </x:c>
      <x:c r="I154" s="14" t="str">
        <x:v>Not Applicable to UAT</x:v>
      </x:c>
      <x:c r="J154" s="14" t="str">
        <x:v>Not Applicable</x:v>
      </x:c>
      <x:c r="K154" s="14"/>
      <x:c r="L154" s="14"/>
      <x:c r="M154" s="14" t="str">
        <x:v>Source: Step 24 Requirements Baseline PDF p.163. Step 25 story mapping populated from Product Backlog traceability; H3 AIR mapping refined in Step 30 where applicable.</x:v>
      </x:c>
    </x:row>
    <x:row r="155">
      <x:c r="A155" s="14" t="str">
        <x:v>UXR-016</x:v>
      </x:c>
      <x:c r="B155" s="14" t="str">
        <x:v>UX / Accessibility Requirement</x:v>
      </x:c>
      <x:c r="C155" s="14" t="str">
        <x:v>The service shall provide an appropriate assisted route where a customer cannot reasonably complete the standard journey without support.</x:v>
      </x:c>
      <x:c r="D155" s="14" t="str">
        <x:v>H1</x:v>
      </x:c>
      <x:c r="E155" s="14" t="str">
        <x:v>US-002, US-039</x:v>
      </x:c>
      <x:c r="F155" s="14" t="str">
        <x:v>Accessibility / UX Validation</x:v>
      </x:c>
      <x:c r="G155" s="14"/>
      <x:c r="H155" s="14" t="str">
        <x:v>Must</x:v>
      </x:c>
      <x:c r="I155" s="14" t="str">
        <x:v>Not Applicable to UAT</x:v>
      </x:c>
      <x:c r="J155" s="14" t="str">
        <x:v>Not Applicable</x:v>
      </x:c>
      <x:c r="K155" s="14"/>
      <x:c r="L155" s="14"/>
      <x:c r="M155" s="14" t="str">
        <x:v>Source: Step 24 Requirements Baseline PDF p.164. Step 25 story mapping populated from Product Backlog traceability; H3 AIR mapping refined in Step 30 where applicable.</x:v>
      </x:c>
    </x:row>
    <x:row r="156">
      <x:c r="A156" s="14" t="str">
        <x:v>UXR-017</x:v>
      </x:c>
      <x:c r="B156" s="14" t="str">
        <x:v>UX / Accessibility Requirement</x:v>
      </x:c>
      <x:c r="C156" s="14" t="str">
        <x:v>A customer using an assisted route shall not be prevented from progressing solely because they are unable to use the standard self-service pathway.</x:v>
      </x:c>
      <x:c r="D156" s="14" t="str">
        <x:v>H1</x:v>
      </x:c>
      <x:c r="E156" s="14" t="str">
        <x:v>US-002, US-039</x:v>
      </x:c>
      <x:c r="F156" s="14" t="str">
        <x:v>Accessibility / UX Validation</x:v>
      </x:c>
      <x:c r="G156" s="14"/>
      <x:c r="H156" s="14" t="str">
        <x:v>Must</x:v>
      </x:c>
      <x:c r="I156" s="14" t="str">
        <x:v>Not Applicable to UAT</x:v>
      </x:c>
      <x:c r="J156" s="14" t="str">
        <x:v>Not Applicable</x:v>
      </x:c>
      <x:c r="K156" s="14"/>
      <x:c r="L156" s="14"/>
      <x:c r="M156" s="14" t="str">
        <x:v>Source: Step 24 Requirements Baseline PDF p.164. Step 25 story mapping populated from Product Backlog traceability; H3 AIR mapping refined in Step 30 where applicable.</x:v>
      </x:c>
    </x:row>
    <x:row r="157">
      <x:c r="A157" s="14" t="str">
        <x:v>UXR-018</x:v>
      </x:c>
      <x:c r="B157" s="14" t="str">
        <x:v>UX / Accessibility Requirement</x:v>
      </x:c>
      <x:c r="C157" s="14" t="str">
        <x:v>The future service shall retain access to appropriate human assistance for cases where automated or self-service interaction is insufficient.</x:v>
      </x:c>
      <x:c r="D157" s="14" t="str">
        <x:v>H1</x:v>
      </x:c>
      <x:c r="E157" s="14" t="str">
        <x:v>US-002, US-039</x:v>
      </x:c>
      <x:c r="F157" s="14" t="str">
        <x:v>Accessibility / UX Validation</x:v>
      </x:c>
      <x:c r="G157" s="14"/>
      <x:c r="H157" s="14" t="str">
        <x:v>Must</x:v>
      </x:c>
      <x:c r="I157" s="14" t="str">
        <x:v>Not Applicable to UAT</x:v>
      </x:c>
      <x:c r="J157" s="14" t="str">
        <x:v>Not Applicable</x:v>
      </x:c>
      <x:c r="K157" s="14"/>
      <x:c r="L157" s="14"/>
      <x:c r="M157" s="14" t="str">
        <x:v>Source: Step 24 Requirements Baseline PDF p.164. Step 25 story mapping populated from Product Backlog traceability; H3 AIR mapping refined in Step 30 where applicable.</x:v>
      </x:c>
    </x:row>
    <x:row r="158">
      <x:c r="A158" s="14" t="str">
        <x:v>UXR-019</x:v>
      </x:c>
      <x:c r="B158" s="14" t="str">
        <x:v>UX / Accessibility Requirement</x:v>
      </x:c>
      <x:c r="C158" s="14" t="str">
        <x:v>Support requirements expressed by a customer shall be handled without requiring the service to infer disability, vulnerability or other personal characteristics from unrelated data.</x:v>
      </x:c>
      <x:c r="D158" s="14" t="str">
        <x:v>H1</x:v>
      </x:c>
      <x:c r="E158" s="14" t="str">
        <x:v>US-002, US-039</x:v>
      </x:c>
      <x:c r="F158" s="14" t="str">
        <x:v>Accessibility / UX Validation</x:v>
      </x:c>
      <x:c r="G158" s="14"/>
      <x:c r="H158" s="14" t="str">
        <x:v>Must</x:v>
      </x:c>
      <x:c r="I158" s="14" t="str">
        <x:v>Not Applicable to UAT</x:v>
      </x:c>
      <x:c r="J158" s="14" t="str">
        <x:v>Not Applicable</x:v>
      </x:c>
      <x:c r="K158" s="14"/>
      <x:c r="L158" s="14"/>
      <x:c r="M158" s="14" t="str">
        <x:v>Source: Step 24 Requirements Baseline PDF p.165. Step 25 story mapping populated from Product Backlog traceability; H3 AIR mapping refined in Step 30 where applicable.</x:v>
      </x:c>
    </x:row>
    <x:row r="159">
      <x:c r="A159" s="14" t="str">
        <x:v>UXR-020</x:v>
      </x:c>
      <x:c r="B159" s="14" t="str">
        <x:v>UX / Accessibility Requirement</x:v>
      </x:c>
      <x:c r="C159" s="14" t="str">
        <x:v>The service shall support appropriate alternatives or exception handling where a standard interaction method creates a barrier to progressing the dispute.</x:v>
      </x:c>
      <x:c r="D159" s="14" t="str">
        <x:v>H1</x:v>
      </x:c>
      <x:c r="E159" s="14" t="str">
        <x:v>US-002, US-039</x:v>
      </x:c>
      <x:c r="F159" s="14" t="str">
        <x:v>Accessibility / UX Validation</x:v>
      </x:c>
      <x:c r="G159" s="14"/>
      <x:c r="H159" s="14" t="str">
        <x:v>Must</x:v>
      </x:c>
      <x:c r="I159" s="14" t="str">
        <x:v>Not Applicable to UAT</x:v>
      </x:c>
      <x:c r="J159" s="14" t="str">
        <x:v>Not Applicable</x:v>
      </x:c>
      <x:c r="K159" s="14"/>
      <x:c r="L159" s="14"/>
      <x:c r="M159" s="14" t="str">
        <x:v>Source: Step 24 Requirements Baseline PDF p.165. Step 25 story mapping populated from Product Backlog traceability; H3 AIR mapping refined in Step 30 where applicable.</x:v>
      </x:c>
    </x:row>
    <x:row r="160">
      <x:c r="A160" s="14" t="str">
        <x:v>UXR-021</x:v>
      </x:c>
      <x:c r="B160" s="14" t="str">
        <x:v>UX / Accessibility Requirement</x:v>
      </x:c>
      <x:c r="C160" s="14" t="str">
        <x:v>Important instructions, actions and outcomes shall not depend solely on visual cues that could be unavailable or unclear to some users.</x:v>
      </x:c>
      <x:c r="D160" s="14" t="str">
        <x:v>H1</x:v>
      </x:c>
      <x:c r="E160" s="14" t="str">
        <x:v>US-039</x:v>
      </x:c>
      <x:c r="F160" s="14" t="str">
        <x:v>Accessibility / UX Validation</x:v>
      </x:c>
      <x:c r="G160" s="14"/>
      <x:c r="H160" s="14" t="str">
        <x:v>Must</x:v>
      </x:c>
      <x:c r="I160" s="14" t="str">
        <x:v>Not Applicable to UAT</x:v>
      </x:c>
      <x:c r="J160" s="14" t="str">
        <x:v>Not Applicable</x:v>
      </x:c>
      <x:c r="K160" s="14"/>
      <x:c r="L160" s="14"/>
      <x:c r="M160" s="14" t="str">
        <x:v>Source: Step 24 Requirements Baseline PDF p.165. Step 25 story mapping populated from Product Backlog traceability; H3 AIR mapping refined in Step 30 where applicable.</x:v>
      </x:c>
    </x:row>
    <x:row r="161">
      <x:c r="A161" s="14" t="str">
        <x:v>UXR-022</x:v>
      </x:c>
      <x:c r="B161" s="14" t="str">
        <x:v>UX / Accessibility Requirement</x:v>
      </x:c>
      <x:c r="C161" s="14" t="str">
        <x:v>Accessibility and assisted-service behaviour shall be capable of being validated through appropriate future user and accessibility testing.</x:v>
      </x:c>
      <x:c r="D161" s="14" t="str">
        <x:v>H1</x:v>
      </x:c>
      <x:c r="E161" s="14" t="str">
        <x:v>US-039</x:v>
      </x:c>
      <x:c r="F161" s="14" t="str">
        <x:v>Accessibility / UX Validation</x:v>
      </x:c>
      <x:c r="G161" s="14"/>
      <x:c r="H161" s="14" t="str">
        <x:v>Should</x:v>
      </x:c>
      <x:c r="I161" s="14" t="str">
        <x:v>Not Applicable to UAT</x:v>
      </x:c>
      <x:c r="J161" s="14" t="str">
        <x:v>Not Applicable</x:v>
      </x:c>
      <x:c r="K161" s="14"/>
      <x:c r="L161" s="14"/>
      <x:c r="M161" s="14" t="str">
        <x:v>Source: Step 24 Requirements Baseline PDF p.166. Step 25 story mapping populated from Product Backlog traceability; H3 AIR mapping refined in Step 30 where applicable.</x:v>
      </x:c>
    </x:row>
    <x:row r="162">
      <x:c r="A162" s="14" t="str">
        <x:v>UXR-023</x:v>
      </x:c>
      <x:c r="B162" s="14" t="str">
        <x:v>UX / Accessibility Requirement</x:v>
      </x:c>
      <x:c r="C162" s="14" t="str">
        <x:v>Customer communications shall clearly identify the dispute or relevant case context to which the communication relates.</x:v>
      </x:c>
      <x:c r="D162" s="14" t="str">
        <x:v>H1</x:v>
      </x:c>
      <x:c r="E162" s="14" t="str">
        <x:v>US-037, US-038</x:v>
      </x:c>
      <x:c r="F162" s="14" t="str">
        <x:v>Accessibility / UX Validation</x:v>
      </x:c>
      <x:c r="G162" s="14" t="str">
        <x:v>UAT-09</x:v>
      </x:c>
      <x:c r="H162" s="14" t="str">
        <x:v>Must</x:v>
      </x:c>
      <x:c r="I162" s="14" t="str">
        <x:v>Not Applicable to UAT</x:v>
      </x:c>
      <x:c r="J162" s="14" t="str">
        <x:v>Not Applicable</x:v>
      </x:c>
      <x:c r="K162" s="14"/>
      <x:c r="L162" s="14"/>
      <x:c r="M162" s="14" t="str">
        <x:v>Source: Step 24 Requirements Baseline PDF p.167. Step 25 story mapping populated from Product Backlog traceability; H3 AIR mapping refined in Step 30 where applicable.</x:v>
      </x:c>
    </x:row>
    <x:row r="163">
      <x:c r="A163" s="14" t="str">
        <x:v>UXR-024</x:v>
      </x:c>
      <x:c r="B163" s="14" t="str">
        <x:v>UX / Accessibility Requirement</x:v>
      </x:c>
      <x:c r="C163" s="14" t="str">
        <x:v>Customer communications shall distinguish information, required customer action and final outcome where those concepts differ.</x:v>
      </x:c>
      <x:c r="D163" s="14" t="str">
        <x:v>H1</x:v>
      </x:c>
      <x:c r="E163" s="14" t="str">
        <x:v>US-037, US-038</x:v>
      </x:c>
      <x:c r="F163" s="14" t="str">
        <x:v>Accessibility / UX Validation</x:v>
      </x:c>
      <x:c r="G163" s="14" t="str">
        <x:v>UAT-09</x:v>
      </x:c>
      <x:c r="H163" s="14" t="str">
        <x:v>Must</x:v>
      </x:c>
      <x:c r="I163" s="14" t="str">
        <x:v>Not Applicable to UAT</x:v>
      </x:c>
      <x:c r="J163" s="14" t="str">
        <x:v>Not Applicable</x:v>
      </x:c>
      <x:c r="K163" s="14"/>
      <x:c r="L163" s="14"/>
      <x:c r="M163" s="14" t="str">
        <x:v>Source: Step 24 Requirements Baseline PDF p.167. Step 25 story mapping populated from Product Backlog traceability; H3 AIR mapping refined in Step 30 where applicable.</x:v>
      </x:c>
    </x:row>
    <x:row r="164">
      <x:c r="A164" s="14" t="str">
        <x:v>UXR-025</x:v>
      </x:c>
      <x:c r="B164" s="14" t="str">
        <x:v>UX / Accessibility Requirement</x:v>
      </x:c>
      <x:c r="C164" s="14" t="str">
        <x:v>Final outcome communication shall explain the outcome in language intended to be understandable to the customer.</x:v>
      </x:c>
      <x:c r="D164" s="14" t="str">
        <x:v>H1</x:v>
      </x:c>
      <x:c r="E164" s="14" t="str">
        <x:v>US-038</x:v>
      </x:c>
      <x:c r="F164" s="14" t="str">
        <x:v>Accessibility / UX Validation</x:v>
      </x:c>
      <x:c r="G164" s="14" t="str">
        <x:v>UAT-09</x:v>
      </x:c>
      <x:c r="H164" s="14" t="str">
        <x:v>Must</x:v>
      </x:c>
      <x:c r="I164" s="14" t="str">
        <x:v>Not Applicable to UAT</x:v>
      </x:c>
      <x:c r="J164" s="14" t="str">
        <x:v>Not Applicable</x:v>
      </x:c>
      <x:c r="K164" s="14"/>
      <x:c r="L164" s="14"/>
      <x:c r="M164" s="14" t="str">
        <x:v>Source: Step 24 Requirements Baseline PDF p.167. Step 25 story mapping populated from Product Backlog traceability; H3 AIR mapping refined in Step 30 where applicable.</x:v>
      </x:c>
    </x:row>
    <x:row r="165">
      <x:c r="A165" s="14" t="str">
        <x:v>UXR-026</x:v>
      </x:c>
      <x:c r="B165" s="14" t="str">
        <x:v>UX / Accessibility Requirement</x:v>
      </x:c>
      <x:c r="C165" s="14" t="str">
        <x:v>Final outcome communication shall provide appropriate next-step, complaint or escalation information where applicable.</x:v>
      </x:c>
      <x:c r="D165" s="14" t="str">
        <x:v>H1</x:v>
      </x:c>
      <x:c r="E165" s="14" t="str">
        <x:v>US-038</x:v>
      </x:c>
      <x:c r="F165" s="14" t="str">
        <x:v>Accessibility / UX Validation</x:v>
      </x:c>
      <x:c r="G165" s="14"/>
      <x:c r="H165" s="14" t="str">
        <x:v>Must</x:v>
      </x:c>
      <x:c r="I165" s="14" t="str">
        <x:v>Not Applicable to UAT</x:v>
      </x:c>
      <x:c r="J165" s="14" t="str">
        <x:v>Not Applicable</x:v>
      </x:c>
      <x:c r="K165" s="14"/>
      <x:c r="L165" s="14"/>
      <x:c r="M165" s="14" t="str">
        <x:v>Source: Step 24 Requirements Baseline PDF p.168. Step 25 story mapping populated from Product Backlog traceability; H3 AIR mapping refined in Step 30 where applicable.</x:v>
      </x:c>
    </x:row>
    <x:row r="166">
      <x:c r="A166" s="14" t="str">
        <x:v>UXR-027</x:v>
      </x:c>
      <x:c r="B166" s="14" t="str">
        <x:v>UX / Accessibility Requirement</x:v>
      </x:c>
      <x:c r="C166" s="14" t="str">
        <x:v>Customer communications should use consistent terminology for important lifecycle concepts across the journey.</x:v>
      </x:c>
      <x:c r="D166" s="14" t="str">
        <x:v>H1</x:v>
      </x:c>
      <x:c r="E166" s="14" t="str">
        <x:v>US-038</x:v>
      </x:c>
      <x:c r="F166" s="14" t="str">
        <x:v>Accessibility / UX Validation</x:v>
      </x:c>
      <x:c r="G166" s="14"/>
      <x:c r="H166" s="14" t="str">
        <x:v>Should</x:v>
      </x:c>
      <x:c r="I166" s="14" t="str">
        <x:v>Not Applicable to UAT</x:v>
      </x:c>
      <x:c r="J166" s="14" t="str">
        <x:v>Not Applicable</x:v>
      </x:c>
      <x:c r="K166" s="14"/>
      <x:c r="L166" s="14"/>
      <x:c r="M166" s="14" t="str">
        <x:v>Source: Step 24 Requirements Baseline PDF p.168. Step 25 story mapping populated from Product Backlog traceability; H3 AIR mapping refined in Step 30 where applicable.</x:v>
      </x:c>
    </x:row>
    <x:row r="167">
      <x:c r="A167" s="14" t="str">
        <x:v>UXR-028</x:v>
      </x:c>
      <x:c r="B167" s="14" t="str">
        <x:v>UX / Accessibility Requirement</x:v>
      </x:c>
      <x:c r="C167" s="14" t="str">
        <x:v>Customer communication content shall not present unverified generated content as authoritative fact or decision information.</x:v>
      </x:c>
      <x:c r="D167" s="14" t="str">
        <x:v>H1</x:v>
      </x:c>
      <x:c r="E167" s="14" t="str">
        <x:v>US-038</x:v>
      </x:c>
      <x:c r="F167" s="14" t="str">
        <x:v>Accessibility / UX Validation</x:v>
      </x:c>
      <x:c r="G167" s="14"/>
      <x:c r="H167" s="14" t="str">
        <x:v>Must</x:v>
      </x:c>
      <x:c r="I167" s="14" t="str">
        <x:v>Not Applicable to UAT</x:v>
      </x:c>
      <x:c r="J167" s="14" t="str">
        <x:v>Not Applicable</x:v>
      </x:c>
      <x:c r="K167" s="14"/>
      <x:c r="L167" s="14"/>
      <x:c r="M167" s="14" t="str">
        <x:v>Source: Step 24 Requirements Baseline PDF p.168. Step 25 story mapping populated from Product Backlog traceability; H3 AIR mapping refined in Step 30 where applicable.</x:v>
      </x:c>
    </x:row>
    <x:row r="168">
      <x:c r="A168" s="14" t="str">
        <x:v>UXR-029</x:v>
      </x:c>
      <x:c r="B168" s="14" t="str">
        <x:v>UX / Accessibility Requirement</x:v>
      </x:c>
      <x:c r="C168" s="14" t="str">
        <x:v>An operational user shall be able to understand the current case status, responsibility state and outstanding customer action without reconstructing the entire event history.</x:v>
      </x:c>
      <x:c r="D168" s="14" t="str">
        <x:v>H1</x:v>
      </x:c>
      <x:c r="E168" s="14" t="str">
        <x:v>US-015, US-023, US-025</x:v>
      </x:c>
      <x:c r="F168" s="14" t="str">
        <x:v>Accessibility / UX Validation</x:v>
      </x:c>
      <x:c r="G168" s="14"/>
      <x:c r="H168" s="14" t="str">
        <x:v>Must</x:v>
      </x:c>
      <x:c r="I168" s="14" t="str">
        <x:v>Not Applicable to UAT</x:v>
      </x:c>
      <x:c r="J168" s="14" t="str">
        <x:v>Not Applicable</x:v>
      </x:c>
      <x:c r="K168" s="14"/>
      <x:c r="L168" s="14"/>
      <x:c r="M168" s="14" t="str">
        <x:v>Source: Step 24 Requirements Baseline PDF p.169. Step 25 story mapping populated from Product Backlog traceability; H3 AIR mapping refined in Step 30 where applicable.</x:v>
      </x:c>
    </x:row>
    <x:row r="169">
      <x:c r="A169" s="14" t="str">
        <x:v>UXR-030</x:v>
      </x:c>
      <x:c r="B169" s="14" t="str">
        <x:v>UX / Accessibility Requirement</x:v>
      </x:c>
      <x:c r="C169" s="14" t="str">
        <x:v>A receiving operational or specialist user shall be able to identify the reason for a handoff/referral and the action requested from them.</x:v>
      </x:c>
      <x:c r="D169" s="14" t="str">
        <x:v>H1</x:v>
      </x:c>
      <x:c r="E169" s="14" t="str">
        <x:v>US-015, US-023, US-025, US-027, US-028</x:v>
      </x:c>
      <x:c r="F169" s="14" t="str">
        <x:v>Accessibility / UX Validation</x:v>
      </x:c>
      <x:c r="G169" s="14"/>
      <x:c r="H169" s="14" t="str">
        <x:v>Must</x:v>
      </x:c>
      <x:c r="I169" s="14" t="str">
        <x:v>Not Applicable to UAT</x:v>
      </x:c>
      <x:c r="J169" s="14" t="str">
        <x:v>Not Applicable</x:v>
      </x:c>
      <x:c r="K169" s="14"/>
      <x:c r="L169" s="14"/>
      <x:c r="M169" s="14" t="str">
        <x:v>Source: Step 24 Requirements Baseline PDF p.170. Step 25 story mapping populated from Product Backlog traceability; H3 AIR mapping refined in Step 30 where applicable.</x:v>
      </x:c>
    </x:row>
    <x:row r="170">
      <x:c r="A170" s="14" t="str">
        <x:v>UXR-031</x:v>
      </x:c>
      <x:c r="B170" s="14" t="str">
        <x:v>UX / Accessibility Requirement</x:v>
      </x:c>
      <x:c r="C170" s="14" t="str">
        <x:v>Relevant evidence and source information shall be presented or accessible in a manner that enables an authorised user to distinguish source evidence from summaries or generated information.</x:v>
      </x:c>
      <x:c r="D170" s="14" t="str">
        <x:v>H3</x:v>
      </x:c>
      <x:c r="E170" s="14" t="str">
        <x:v>US-061–063, US-064–066</x:v>
      </x:c>
      <x:c r="F170" s="14" t="str">
        <x:v>AI Prototype Evaluation</x:v>
      </x:c>
      <x:c r="G170" s="14" t="str">
        <x:v>UAT-17, UAT-19</x:v>
      </x:c>
      <x:c r="H170" s="14" t="str">
        <x:v>Must</x:v>
      </x:c>
      <x:c r="I170" s="14" t="str">
        <x:v>Mapped</x:v>
      </x:c>
      <x:c r="J170" s="14" t="str">
        <x:v>Prototype Evaluated - Step 28</x:v>
      </x:c>
      <x:c r="K170" s="14" t="str">
        <x:v>Step 28 controlled synthetic AI prototype evaluation (screenshots 170-176)</x:v>
      </x:c>
      <x:c r="L170" s="14"/>
      <x:c r="M170" s="14" t="str">
        <x:v>Source: Step 24 Requirements Baseline PDF p.170. H3 AI story mapping uses the established controlled-pilot backlog.</x:v>
      </x:c>
    </x:row>
    <x:row r="171">
      <x:c r="A171" s="14" t="str">
        <x:v>UXR-032</x:v>
      </x:c>
      <x:c r="B171" s="14" t="str">
        <x:v>UX / Accessibility Requirement</x:v>
      </x:c>
      <x:c r="C171" s="14" t="str">
        <x:v>Operational users shall be able to identify when a case is waiting and, where appropriate, the dependency or next action associated with the wait.</x:v>
      </x:c>
      <x:c r="D171" s="14" t="str">
        <x:v>H1</x:v>
      </x:c>
      <x:c r="E171" s="14"/>
      <x:c r="F171" s="14" t="str">
        <x:v>Accessibility / UX Validation</x:v>
      </x:c>
      <x:c r="G171" s="14"/>
      <x:c r="H171" s="14" t="str">
        <x:v>Must</x:v>
      </x:c>
      <x:c r="I171" s="14" t="str">
        <x:v>Not Applicable to UAT</x:v>
      </x:c>
      <x:c r="J171" s="14" t="str">
        <x:v>Not Applicable</x:v>
      </x:c>
      <x:c r="K171" s="14"/>
      <x:c r="L171" s="14"/>
      <x:c r="M171" s="14" t="str">
        <x:v>Source: Step 24 Requirements Baseline PDF p.170. No exact US-xxx story allocation is stated in the Step 25 source for this requirement; leave as capability/cross-cutting coverage rather than inventing a mapping.</x:v>
      </x:c>
    </x:row>
    <x:row r="172">
      <x:c r="A172" s="14" t="str">
        <x:v>UXR-033</x:v>
      </x:c>
      <x:c r="B172" s="14" t="str">
        <x:v>UX / Accessibility Requirement</x:v>
      </x:c>
      <x:c r="C172" s="14" t="str">
        <x:v>Exceptions, overrides and technology fallbacks shall provide enough context for an authorised user to understand what action is required rather than sending the case to an unexplained generic failure state.</x:v>
      </x:c>
      <x:c r="D172" s="14" t="str">
        <x:v>H1</x:v>
      </x:c>
      <x:c r="E172" s="14"/>
      <x:c r="F172" s="14" t="str">
        <x:v>Accessibility / UX Validation</x:v>
      </x:c>
      <x:c r="G172" s="14"/>
      <x:c r="H172" s="14" t="str">
        <x:v>Must</x:v>
      </x:c>
      <x:c r="I172" s="14" t="str">
        <x:v>Not Applicable to UAT</x:v>
      </x:c>
      <x:c r="J172" s="14" t="str">
        <x:v>Not Applicable</x:v>
      </x:c>
      <x:c r="K172" s="14"/>
      <x:c r="L172" s="14"/>
      <x:c r="M172" s="14" t="str">
        <x:v>Source: Step 24 Requirements Baseline PDF p.171. No exact US-xxx story allocation is stated in the Step 25 source for this requirement; leave as capability/cross-cutting coverage rather than inventing a mapping.</x:v>
      </x:c>
    </x:row>
    <x:row r="173">
      <x:c r="A173" s="14" t="str">
        <x:v>UXR-034</x:v>
      </x:c>
      <x:c r="B173" s="14" t="str">
        <x:v>UX / Accessibility Requirement</x:v>
      </x:c>
      <x:c r="C173" s="14" t="str">
        <x:v>Where automation performs a material user-visible activity, the resulting service state shall be sufficiently clear for an authorised user to understand what has occurred or what requires attention.</x:v>
      </x:c>
      <x:c r="D173" s="14" t="str">
        <x:v>H2</x:v>
      </x:c>
      <x:c r="E173" s="14"/>
      <x:c r="F173" s="14" t="str">
        <x:v>Accessibility / UX Validation</x:v>
      </x:c>
      <x:c r="G173" s="14"/>
      <x:c r="H173" s="14" t="str">
        <x:v>Must</x:v>
      </x:c>
      <x:c r="I173" s="14" t="str">
        <x:v>Not Applicable to UAT</x:v>
      </x:c>
      <x:c r="J173" s="14" t="str">
        <x:v>Not Applicable</x:v>
      </x:c>
      <x:c r="K173" s="14"/>
      <x:c r="L173" s="14"/>
      <x:c r="M173" s="14" t="str">
        <x:v>Source: Step 24 Requirements Baseline PDF p.172. No exact US-xxx story allocation is stated in the Step 25 source for this requirement; leave as capability/cross-cutting coverage rather than inventing a mapping.</x:v>
      </x:c>
    </x:row>
    <x:row r="174">
      <x:c r="A174" s="14" t="str">
        <x:v>UXR-035</x:v>
      </x:c>
      <x:c r="B174" s="14" t="str">
        <x:v>UX / Accessibility Requirement</x:v>
      </x:c>
      <x:c r="C174" s="14" t="str">
        <x:v>Where an operational user receives AI-generated assistance, the interface or interaction shall make the AI-assisted nature of the output distinguishable where necessary for appropriate review.</x:v>
      </x:c>
      <x:c r="D174" s="14" t="str">
        <x:v>H3</x:v>
      </x:c>
      <x:c r="E174" s="14" t="str">
        <x:v>US-061–066</x:v>
      </x:c>
      <x:c r="F174" s="14" t="str">
        <x:v>AI Prototype Evaluation</x:v>
      </x:c>
      <x:c r="G174" s="14" t="str">
        <x:v>UAT-17, UAT-19</x:v>
      </x:c>
      <x:c r="H174" s="14" t="str">
        <x:v>Must when AI used</x:v>
      </x:c>
      <x:c r="I174" s="14" t="str">
        <x:v>Mapped</x:v>
      </x:c>
      <x:c r="J174" s="14" t="str">
        <x:v>Prototype Evaluated - Step 28</x:v>
      </x:c>
      <x:c r="K174" s="14" t="str">
        <x:v>Step 28 controlled synthetic AI prototype evaluation (screenshots 170-176)</x:v>
      </x:c>
      <x:c r="L174" s="14"/>
      <x:c r="M174" s="14" t="str">
        <x:v>Source: Step 24 Requirements Baseline PDF p.172. H3 AI story mapping uses the established controlled-pilot backlog.</x:v>
      </x:c>
    </x:row>
    <x:row r="175">
      <x:c r="A175" s="14" t="str">
        <x:v>UXR-036</x:v>
      </x:c>
      <x:c r="B175" s="14" t="str">
        <x:v>UX / Accessibility Requirement</x:v>
      </x:c>
      <x:c r="C175" s="14" t="str">
        <x:v>Where AI-generated assistance requires human review, the user shall be able to accept, correct, reject or bypass the output as appropriate to the approved use case.</x:v>
      </x:c>
      <x:c r="D175" s="14" t="str">
        <x:v>H3</x:v>
      </x:c>
      <x:c r="E175" s="14" t="str">
        <x:v>US-062, US-063, US-065, US-066</x:v>
      </x:c>
      <x:c r="F175" s="14" t="str">
        <x:v>AI Prototype Evaluation</x:v>
      </x:c>
      <x:c r="G175" s="14" t="str">
        <x:v>UAT-18</x:v>
      </x:c>
      <x:c r="H175" s="14" t="str">
        <x:v>Must when AI used</x:v>
      </x:c>
      <x:c r="I175" s="14" t="str">
        <x:v>Mapped</x:v>
      </x:c>
      <x:c r="J175" s="14" t="str">
        <x:v>Prototype Evaluated - Step 28</x:v>
      </x:c>
      <x:c r="K175" s="14" t="str">
        <x:v>Step 28 controlled synthetic AI prototype evaluation (screenshots 170-176)</x:v>
      </x:c>
      <x:c r="L175" s="14"/>
      <x:c r="M175" s="14" t="str">
        <x:v>Source: Step 24 Requirements Baseline PDF p.173. H3 AI story mapping uses the established controlled-pilot backlog.</x:v>
      </x:c>
    </x:row>
    <x:row r="176">
      <x:c r="A176" s="14" t="str">
        <x:v>CR-001</x:v>
      </x:c>
      <x:c r="B176" s="14" t="str">
        <x:v>Control Requirement</x:v>
      </x:c>
      <x:c r="C176" s="14" t="str">
        <x:v>The service shall maintain identifiable accountable human authority for sensitive customer-impacting dispute decisions where such authority is required.</x:v>
      </x:c>
      <x:c r="D176" s="14" t="str">
        <x:v>H1</x:v>
      </x:c>
      <x:c r="E176" s="14" t="str">
        <x:v>US-030, US-031, US-032, US-034</x:v>
      </x:c>
      <x:c r="F176" s="14" t="str">
        <x:v>UAT</x:v>
      </x:c>
      <x:c r="G176" s="14" t="str">
        <x:v>UAT-07, UAT-15</x:v>
      </x:c>
      <x:c r="H176" s="14" t="str">
        <x:v>Must</x:v>
      </x:c>
      <x:c r="I176" s="14" t="str">
        <x:v>Mapped</x:v>
      </x:c>
      <x:c r="J176" s="14" t="str">
        <x:v>Designed - Not Executed</x:v>
      </x:c>
      <x:c r="K176" s="14"/>
      <x:c r="L176" s="14"/>
      <x:c r="M176" s="14" t="str">
        <x:v>Source: Step 24 Requirements Baseline PDF p.186. Step 25 story mapping populated from Product Backlog traceability; H3 AIR mapping refined in Step 30 where applicable.</x:v>
      </x:c>
    </x:row>
    <x:row r="177">
      <x:c r="A177" s="14" t="str">
        <x:v>CR-002</x:v>
      </x:c>
      <x:c r="B177" s="14" t="str">
        <x:v>Control Requirement</x:v>
      </x:c>
      <x:c r="C177" s="14" t="str">
        <x:v>A Fraud outcome requiring specialist judgement shall remain attributable to an authorised human Fraud role.</x:v>
      </x:c>
      <x:c r="D177" s="14" t="str">
        <x:v>H1</x:v>
      </x:c>
      <x:c r="E177" s="14" t="str">
        <x:v>US-030, US-031, US-032, US-034</x:v>
      </x:c>
      <x:c r="F177" s="14" t="str">
        <x:v>UAT</x:v>
      </x:c>
      <x:c r="G177" s="14" t="str">
        <x:v>UAT-15</x:v>
      </x:c>
      <x:c r="H177" s="14" t="str">
        <x:v>Must</x:v>
      </x:c>
      <x:c r="I177" s="14" t="str">
        <x:v>Mapped</x:v>
      </x:c>
      <x:c r="J177" s="14" t="str">
        <x:v>Designed - Not Executed</x:v>
      </x:c>
      <x:c r="K177" s="14"/>
      <x:c r="L177" s="14"/>
      <x:c r="M177" s="14" t="str">
        <x:v>Source: Step 24 Requirements Baseline PDF p.186. Step 25 story mapping populated from Product Backlog traceability; H3 AIR mapping refined in Step 30 where applicable.</x:v>
      </x:c>
    </x:row>
    <x:row r="178">
      <x:c r="A178" s="14" t="str">
        <x:v>CR-003</x:v>
      </x:c>
      <x:c r="B178" s="14" t="str">
        <x:v>Control Requirement</x:v>
      </x:c>
      <x:c r="C178" s="14" t="str">
        <x:v>A required refund approval shall remain attributable to an appropriately authorised human Refund / Finance role.</x:v>
      </x:c>
      <x:c r="D178" s="14" t="str">
        <x:v>H1</x:v>
      </x:c>
      <x:c r="E178" s="14" t="str">
        <x:v>US-030, US-031, US-032, US-034</x:v>
      </x:c>
      <x:c r="F178" s="14" t="str">
        <x:v>UAT</x:v>
      </x:c>
      <x:c r="G178" s="14" t="str">
        <x:v>UAT-08, UAT-15</x:v>
      </x:c>
      <x:c r="H178" s="14" t="str">
        <x:v>Must</x:v>
      </x:c>
      <x:c r="I178" s="14" t="str">
        <x:v>Mapped</x:v>
      </x:c>
      <x:c r="J178" s="14" t="str">
        <x:v>Designed - Not Executed</x:v>
      </x:c>
      <x:c r="K178" s="14"/>
      <x:c r="L178" s="14"/>
      <x:c r="M178" s="14" t="str">
        <x:v>Source: Step 24 Requirements Baseline PDF p.187. Step 25 story mapping populated from Product Backlog traceability; H3 AIR mapping refined in Step 30 where applicable.</x:v>
      </x:c>
    </x:row>
    <x:row r="179">
      <x:c r="A179" s="14" t="str">
        <x:v>CR-004</x:v>
      </x:c>
      <x:c r="B179" s="14" t="str">
        <x:v>Control Requirement</x:v>
      </x:c>
      <x:c r="C179" s="14" t="str">
        <x:v>An authoritative complaint outcome shall remain attributable to an appropriate human Complaints role.</x:v>
      </x:c>
      <x:c r="D179" s="14" t="str">
        <x:v>H1</x:v>
      </x:c>
      <x:c r="E179" s="14" t="str">
        <x:v>US-030, US-031, US-032, US-034</x:v>
      </x:c>
      <x:c r="F179" s="14" t="str">
        <x:v>UAT</x:v>
      </x:c>
      <x:c r="G179" s="14" t="str">
        <x:v>UAT-11, UAT-15</x:v>
      </x:c>
      <x:c r="H179" s="14" t="str">
        <x:v>Must</x:v>
      </x:c>
      <x:c r="I179" s="14" t="str">
        <x:v>Mapped</x:v>
      </x:c>
      <x:c r="J179" s="14" t="str">
        <x:v>Designed - Not Executed</x:v>
      </x:c>
      <x:c r="K179" s="14"/>
      <x:c r="L179" s="14"/>
      <x:c r="M179" s="14" t="str">
        <x:v>Source: Step 24 Requirements Baseline PDF p.187. Step 25 story mapping populated from Product Backlog traceability; H3 AIR mapping refined in Step 30 where applicable.</x:v>
      </x:c>
    </x:row>
    <x:row r="180">
      <x:c r="A180" s="14" t="str">
        <x:v>CR-005</x:v>
      </x:c>
      <x:c r="B180" s="14" t="str">
        <x:v>Control Requirement</x:v>
      </x:c>
      <x:c r="C180" s="14" t="str">
        <x:v>Material deterministic business rules shall have identifiable business ownership and controlled rule definition/versioning.</x:v>
      </x:c>
      <x:c r="D180" s="14" t="str">
        <x:v>H1</x:v>
      </x:c>
      <x:c r="E180" s="14" t="str">
        <x:v>US-006, US-009, US-011, US-012</x:v>
      </x:c>
      <x:c r="F180" s="14" t="str">
        <x:v>UAT</x:v>
      </x:c>
      <x:c r="G180" s="14"/>
      <x:c r="H180" s="14" t="str">
        <x:v>Must</x:v>
      </x:c>
      <x:c r="I180" s="14" t="str">
        <x:v>Mapped</x:v>
      </x:c>
      <x:c r="J180" s="14" t="str">
        <x:v>Designed - Not Executed</x:v>
      </x:c>
      <x:c r="K180" s="14"/>
      <x:c r="L180" s="14"/>
      <x:c r="M180" s="14" t="str">
        <x:v>Source: Step 24 Requirements Baseline PDF p.187. Step 25 story mapping populated from Product Backlog traceability; H3 AIR mapping refined in Step 30 where applicable.</x:v>
      </x:c>
    </x:row>
    <x:row r="181">
      <x:c r="A181" s="14" t="str">
        <x:v>CR-006</x:v>
      </x:c>
      <x:c r="B181" s="14" t="str">
        <x:v>Control Requirement</x:v>
      </x:c>
      <x:c r="C181" s="14" t="str">
        <x:v>Where a deterministic rule allows authorised override, the override shall occur through a defined exception path rather than uncontrolled bypass.</x:v>
      </x:c>
      <x:c r="D181" s="14" t="str">
        <x:v>H1</x:v>
      </x:c>
      <x:c r="E181" s="14" t="str">
        <x:v>US-008, US-010, US-013</x:v>
      </x:c>
      <x:c r="F181" s="14" t="str">
        <x:v>UAT</x:v>
      </x:c>
      <x:c r="G181" s="14" t="str">
        <x:v>UAT-12</x:v>
      </x:c>
      <x:c r="H181" s="14" t="str">
        <x:v>Must</x:v>
      </x:c>
      <x:c r="I181" s="14" t="str">
        <x:v>Mapped</x:v>
      </x:c>
      <x:c r="J181" s="14" t="str">
        <x:v>Designed - Not Executed</x:v>
      </x:c>
      <x:c r="K181" s="14"/>
      <x:c r="L181" s="14"/>
      <x:c r="M181" s="14" t="str">
        <x:v>Source: Step 24 Requirements Baseline PDF p.188. Step 25 story mapping populated from Product Backlog traceability; H3 AIR mapping refined in Step 30 where applicable.</x:v>
      </x:c>
    </x:row>
    <x:row r="182">
      <x:c r="A182" s="14" t="str">
        <x:v>CR-007</x:v>
      </x:c>
      <x:c r="B182" s="14" t="str">
        <x:v>Control Requirement</x:v>
      </x:c>
      <x:c r="C182" s="14" t="str">
        <x:v>Progression of a materially incomplete case through an authorised exception shall require an identifiable reason and accountable human action.</x:v>
      </x:c>
      <x:c r="D182" s="14" t="str">
        <x:v>H1</x:v>
      </x:c>
      <x:c r="E182" s="14" t="str">
        <x:v>US-008, US-010, US-013, US-033</x:v>
      </x:c>
      <x:c r="F182" s="14" t="str">
        <x:v>UAT</x:v>
      </x:c>
      <x:c r="G182" s="14" t="str">
        <x:v>UAT-12</x:v>
      </x:c>
      <x:c r="H182" s="14" t="str">
        <x:v>Must</x:v>
      </x:c>
      <x:c r="I182" s="14" t="str">
        <x:v>Mapped</x:v>
      </x:c>
      <x:c r="J182" s="14" t="str">
        <x:v>Designed - Not Executed</x:v>
      </x:c>
      <x:c r="K182" s="14"/>
      <x:c r="L182" s="14"/>
      <x:c r="M182" s="14" t="str">
        <x:v>Source: Step 24 Requirements Baseline PDF p.188. Step 25 story mapping populated from Product Backlog traceability; H3 AIR mapping refined in Step 30 where applicable.</x:v>
      </x:c>
    </x:row>
    <x:row r="183">
      <x:c r="A183" s="14" t="str">
        <x:v>CR-008</x:v>
      </x:c>
      <x:c r="B183" s="14" t="str">
        <x:v>Control Requirement</x:v>
      </x:c>
      <x:c r="C183" s="14" t="str">
        <x:v>Manual correction of classification, priority or routing shall be restricted to an appropriate authorised role and remain traceable where material.</x:v>
      </x:c>
      <x:c r="D183" s="14" t="str">
        <x:v>H1</x:v>
      </x:c>
      <x:c r="E183" s="14" t="str">
        <x:v>US-010, US-011, US-012, US-013, US-014, US-023, US-024, US-025, US-026, US-029</x:v>
      </x:c>
      <x:c r="F183" s="14" t="str">
        <x:v>UAT</x:v>
      </x:c>
      <x:c r="G183" s="14" t="str">
        <x:v>UAT-12</x:v>
      </x:c>
      <x:c r="H183" s="14" t="str">
        <x:v>Must</x:v>
      </x:c>
      <x:c r="I183" s="14" t="str">
        <x:v>Mapped</x:v>
      </x:c>
      <x:c r="J183" s="14" t="str">
        <x:v>Designed - Not Executed</x:v>
      </x:c>
      <x:c r="K183" s="14"/>
      <x:c r="L183" s="14"/>
      <x:c r="M183" s="14" t="str">
        <x:v>Source: Step 24 Requirements Baseline PDF p.188. Step 25 story mapping populated from Product Backlog traceability; H3 AIR mapping refined in Step 30 where applicable.</x:v>
      </x:c>
    </x:row>
    <x:row r="184">
      <x:c r="A184" s="14" t="str">
        <x:v>CR-009</x:v>
      </x:c>
      <x:c r="B184" s="14" t="str">
        <x:v>Control Requirement</x:v>
      </x:c>
      <x:c r="C184" s="14" t="str">
        <x:v>Where independent approval is required by the business process, the future workflow shall preserve that separation rather than automatically collapsing preparation and approval into one activity.</x:v>
      </x:c>
      <x:c r="D184" s="14" t="str">
        <x:v>H1</x:v>
      </x:c>
      <x:c r="E184" s="14" t="str">
        <x:v>US-031, US-032, US-033, US-034</x:v>
      </x:c>
      <x:c r="F184" s="14" t="str">
        <x:v>UAT</x:v>
      </x:c>
      <x:c r="G184" s="14" t="str">
        <x:v>UAT-08</x:v>
      </x:c>
      <x:c r="H184" s="14" t="str">
        <x:v>Must</x:v>
      </x:c>
      <x:c r="I184" s="14" t="str">
        <x:v>Mapped</x:v>
      </x:c>
      <x:c r="J184" s="14" t="str">
        <x:v>Designed - Not Executed</x:v>
      </x:c>
      <x:c r="K184" s="14"/>
      <x:c r="L184" s="14"/>
      <x:c r="M184" s="14" t="str">
        <x:v>Source: Step 24 Requirements Baseline PDF p.189. Step 25 story mapping populated from Product Backlog traceability; H3 AIR mapping refined in Step 30 where applicable.</x:v>
      </x:c>
    </x:row>
    <x:row r="185">
      <x:c r="A185" s="14" t="str">
        <x:v>CR-010</x:v>
      </x:c>
      <x:c r="B185" s="14" t="str">
        <x:v>Control Requirement</x:v>
      </x:c>
      <x:c r="C185" s="14" t="str">
        <x:v>Where an approval is required, the dependent activity shall not be represented as approved until the relevant approval condition has been satisfied.</x:v>
      </x:c>
      <x:c r="D185" s="14" t="str">
        <x:v>H1</x:v>
      </x:c>
      <x:c r="E185" s="14" t="str">
        <x:v>US-032, US-033, US-034</x:v>
      </x:c>
      <x:c r="F185" s="14" t="str">
        <x:v>UAT</x:v>
      </x:c>
      <x:c r="G185" s="14" t="str">
        <x:v>UAT-08</x:v>
      </x:c>
      <x:c r="H185" s="14" t="str">
        <x:v>Must</x:v>
      </x:c>
      <x:c r="I185" s="14" t="str">
        <x:v>Mapped</x:v>
      </x:c>
      <x:c r="J185" s="14" t="str">
        <x:v>Designed - Not Executed</x:v>
      </x:c>
      <x:c r="K185" s="14"/>
      <x:c r="L185" s="14"/>
      <x:c r="M185" s="14" t="str">
        <x:v>Source: Step 24 Requirements Baseline PDF p.189. Step 25 story mapping populated from Product Backlog traceability; H3 AIR mapping refined in Step 30 where applicable.</x:v>
      </x:c>
    </x:row>
    <x:row r="186">
      <x:c r="A186" s="14" t="str">
        <x:v>CR-011</x:v>
      </x:c>
      <x:c r="B186" s="14" t="str">
        <x:v>Control Requirement</x:v>
      </x:c>
      <x:c r="C186" s="14" t="str">
        <x:v>Closure shall be controlled so that applicable decisions, approvals, required communications and outstanding mandatory actions are completed or appropriately accounted for before finalisation.</x:v>
      </x:c>
      <x:c r="D186" s="14" t="str">
        <x:v>H1</x:v>
      </x:c>
      <x:c r="E186" s="14" t="str">
        <x:v>US-043</x:v>
      </x:c>
      <x:c r="F186" s="14" t="str">
        <x:v>UAT</x:v>
      </x:c>
      <x:c r="G186" s="14" t="str">
        <x:v>UAT-10</x:v>
      </x:c>
      <x:c r="H186" s="14" t="str">
        <x:v>Must</x:v>
      </x:c>
      <x:c r="I186" s="14" t="str">
        <x:v>Mapped</x:v>
      </x:c>
      <x:c r="J186" s="14" t="str">
        <x:v>Designed - Not Executed</x:v>
      </x:c>
      <x:c r="K186" s="14"/>
      <x:c r="L186" s="14"/>
      <x:c r="M186" s="14" t="str">
        <x:v>Source: Step 24 Requirements Baseline PDF p.190. Step 25 story mapping populated from Product Backlog traceability; H3 AIR mapping refined in Step 30 where applicable.</x:v>
      </x:c>
    </x:row>
    <x:row r="187">
      <x:c r="A187" s="14" t="str">
        <x:v>CR-012</x:v>
      </x:c>
      <x:c r="B187" s="14" t="str">
        <x:v>Control Requirement</x:v>
      </x:c>
      <x:c r="C187" s="14" t="str">
        <x:v>Material human overrides shall retain sufficient information to identify the original result, revised result, authorised actor, reason and time where appropriate.</x:v>
      </x:c>
      <x:c r="D187" s="14" t="str">
        <x:v>H1</x:v>
      </x:c>
      <x:c r="E187" s="14" t="str">
        <x:v>US-008, US-010, US-013, US-023, US-024, US-025, US-026, US-029, US-033, US-043</x:v>
      </x:c>
      <x:c r="F187" s="14" t="str">
        <x:v>UAT</x:v>
      </x:c>
      <x:c r="G187" s="14" t="str">
        <x:v>UAT-12</x:v>
      </x:c>
      <x:c r="H187" s="14" t="str">
        <x:v>Must</x:v>
      </x:c>
      <x:c r="I187" s="14" t="str">
        <x:v>Mapped</x:v>
      </x:c>
      <x:c r="J187" s="14" t="str">
        <x:v>Designed - Not Executed</x:v>
      </x:c>
      <x:c r="K187" s="14"/>
      <x:c r="L187" s="14"/>
      <x:c r="M187" s="14" t="str">
        <x:v>Source: Step 24 Requirements Baseline PDF p.190. Step 25 story mapping populated from Product Backlog traceability; H3 AIR mapping refined in Step 30 where applicable.</x:v>
      </x:c>
    </x:row>
    <x:row r="188">
      <x:c r="A188" s="14" t="str">
        <x:v>CR-013</x:v>
      </x:c>
      <x:c r="B188" s="14" t="str">
        <x:v>Control Requirement</x:v>
      </x:c>
      <x:c r="C188" s="14" t="str">
        <x:v>Detailed requirement statement is not present in the uploaded Step 24 PDF; the Control Requirements Register lists this ID under Automation Controls.</x:v>
      </x:c>
      <x:c r="D188" s="14" t="str">
        <x:v>H2</x:v>
      </x:c>
      <x:c r="E188" s="14"/>
      <x:c r="F188" s="14" t="str">
        <x:v>Operational Readiness</x:v>
      </x:c>
      <x:c r="G188" s="14"/>
      <x:c r="H188" s="14" t="str">
        <x:v>Must</x:v>
      </x:c>
      <x:c r="I188" s="14" t="str">
        <x:v>Gap</x:v>
      </x:c>
      <x:c r="J188" s="14" t="str">
        <x:v>Not Applicable</x:v>
      </x:c>
      <x:c r="K188" s="14"/>
      <x:c r="L188" s="14"/>
      <x:c r="M188" s="14" t="str">
        <x:v>Source: Step 24 Requirements Baseline PDF p.190. Source gap: the detailed statement for this Automation Control is absent from the exported PDF; do not invent it. No exact US-xxx story allocation is stated in the Step 25 source for this requirement; leave as capability/cross-cutting coverage rather than inventing a mapping.</x:v>
      </x:c>
    </x:row>
    <x:row r="189">
      <x:c r="A189" s="14" t="str">
        <x:v>CR-014</x:v>
      </x:c>
      <x:c r="B189" s="14" t="str">
        <x:v>Control Requirement</x:v>
      </x:c>
      <x:c r="C189" s="14" t="str">
        <x:v>Detailed requirement statement is not present in the uploaded Step 24 PDF; the Control Requirements Register lists this ID under Automation Controls.</x:v>
      </x:c>
      <x:c r="D189" s="14" t="str">
        <x:v>H2</x:v>
      </x:c>
      <x:c r="E189" s="14"/>
      <x:c r="F189" s="14" t="str">
        <x:v>Operational Readiness</x:v>
      </x:c>
      <x:c r="G189" s="14" t="str">
        <x:v>UAT-16</x:v>
      </x:c>
      <x:c r="H189" s="14" t="str">
        <x:v>Must</x:v>
      </x:c>
      <x:c r="I189" s="14" t="str">
        <x:v>Gap</x:v>
      </x:c>
      <x:c r="J189" s="14" t="str">
        <x:v>Not Applicable</x:v>
      </x:c>
      <x:c r="K189" s="14"/>
      <x:c r="L189" s="14"/>
      <x:c r="M189" s="14" t="str">
        <x:v>Source: Step 24 Requirements Baseline PDF p.190. Source gap: the detailed statement for this Automation Control is absent from the exported PDF; do not invent it. No exact US-xxx story allocation is stated in the Step 25 source for this requirement; leave as capability/cross-cutting coverage rather than inventing a mapping.</x:v>
      </x:c>
    </x:row>
    <x:row r="190">
      <x:c r="A190" s="14" t="str">
        <x:v>CR-015</x:v>
      </x:c>
      <x:c r="B190" s="14" t="str">
        <x:v>Control Requirement</x:v>
      </x:c>
      <x:c r="C190" s="14" t="str">
        <x:v>Detailed requirement statement is not present in the uploaded Step 24 PDF; the Control Requirements Register lists this ID under Automation Controls.</x:v>
      </x:c>
      <x:c r="D190" s="14" t="str">
        <x:v>H2</x:v>
      </x:c>
      <x:c r="E190" s="14"/>
      <x:c r="F190" s="14" t="str">
        <x:v>Operational Readiness</x:v>
      </x:c>
      <x:c r="G190" s="14"/>
      <x:c r="H190" s="14" t="str">
        <x:v>Must</x:v>
      </x:c>
      <x:c r="I190" s="14" t="str">
        <x:v>Gap</x:v>
      </x:c>
      <x:c r="J190" s="14" t="str">
        <x:v>Not Applicable</x:v>
      </x:c>
      <x:c r="K190" s="14"/>
      <x:c r="L190" s="14"/>
      <x:c r="M190" s="14" t="str">
        <x:v>Source: Step 24 Requirements Baseline PDF p.190. Source gap: the detailed statement for this Automation Control is absent from the exported PDF; do not invent it. No exact US-xxx story allocation is stated in the Step 25 source for this requirement; leave as capability/cross-cutting coverage rather than inventing a mapping.</x:v>
      </x:c>
    </x:row>
    <x:row r="191">
      <x:c r="A191" s="14" t="str">
        <x:v>CR-016</x:v>
      </x:c>
      <x:c r="B191" s="14" t="str">
        <x:v>Control Requirement</x:v>
      </x:c>
      <x:c r="C191" s="14" t="str">
        <x:v>An appropriate assisted or human-supported route shall remain available where the standard or automated route is unsuitable for the customer's needs.</x:v>
      </x:c>
      <x:c r="D191" s="14" t="str">
        <x:v>H1</x:v>
      </x:c>
      <x:c r="E191" s="14" t="str">
        <x:v>US-002, US-039</x:v>
      </x:c>
      <x:c r="F191" s="14" t="str">
        <x:v>UAT</x:v>
      </x:c>
      <x:c r="G191" s="14"/>
      <x:c r="H191" s="14" t="str">
        <x:v>Must</x:v>
      </x:c>
      <x:c r="I191" s="14" t="str">
        <x:v>Mapped</x:v>
      </x:c>
      <x:c r="J191" s="14" t="str">
        <x:v>Designed - Not Executed</x:v>
      </x:c>
      <x:c r="K191" s="14"/>
      <x:c r="L191" s="14"/>
      <x:c r="M191" s="14" t="str">
        <x:v>Source: Step 24 Requirements Baseline PDF p.191. Step 25 story mapping populated from Product Backlog traceability; H3 AIR mapping refined in Step 30 where applicable.</x:v>
      </x:c>
    </x:row>
    <x:row r="192">
      <x:c r="A192" s="14" t="str">
        <x:v>CR-017</x:v>
      </x:c>
      <x:c r="B192" s="14" t="str">
        <x:v>Control Requirement</x:v>
      </x:c>
      <x:c r="C192" s="14" t="str">
        <x:v>Access to customer, case, specialist and decision information shall be limited according to an appropriate authorised role or business need.</x:v>
      </x:c>
      <x:c r="D192" s="14" t="str">
        <x:v>H1</x:v>
      </x:c>
      <x:c r="E192" s="14"/>
      <x:c r="F192" s="14" t="str">
        <x:v>Security / Privacy Assurance</x:v>
      </x:c>
      <x:c r="G192" s="14" t="str">
        <x:v>UAT-14, UAT-15</x:v>
      </x:c>
      <x:c r="H192" s="14" t="str">
        <x:v>Must</x:v>
      </x:c>
      <x:c r="I192" s="14" t="str">
        <x:v>Not Applicable to UAT</x:v>
      </x:c>
      <x:c r="J192" s="14" t="str">
        <x:v>Not Applicable</x:v>
      </x:c>
      <x:c r="K192" s="14"/>
      <x:c r="L192" s="14"/>
      <x:c r="M192" s="14" t="str">
        <x:v>Source: Step 24 Requirements Baseline PDF p.191. No exact US-xxx story allocation is stated in the Step 25 source for this requirement; leave as capability/cross-cutting coverage rather than inventing a mapping.</x:v>
      </x:c>
    </x:row>
    <x:row r="193">
      <x:c r="A193" s="14" t="str">
        <x:v>CR-018</x:v>
      </x:c>
      <x:c r="B193" s="14" t="str">
        <x:v>Control Requirement</x:v>
      </x:c>
      <x:c r="C193" s="14" t="str">
        <x:v>Material control exceptions, overrides, automation failures and AI-related control events should be capable of periodic review to identify recurring control or process issues.</x:v>
      </x:c>
      <x:c r="D193" s="14" t="str">
        <x:v>H1</x:v>
      </x:c>
      <x:c r="E193" s="14"/>
      <x:c r="F193" s="14" t="str">
        <x:v>Operational Readiness</x:v>
      </x:c>
      <x:c r="G193" s="14"/>
      <x:c r="H193" s="14" t="str">
        <x:v>Should</x:v>
      </x:c>
      <x:c r="I193" s="14" t="str">
        <x:v>Not Applicable to UAT</x:v>
      </x:c>
      <x:c r="J193" s="14" t="str">
        <x:v>Not Applicable</x:v>
      </x:c>
      <x:c r="K193" s="14"/>
      <x:c r="L193" s="14"/>
      <x:c r="M193" s="14" t="str">
        <x:v>Source: Step 24 Requirements Baseline PDF p.191. No exact US-xxx story allocation is stated in the Step 25 source for this requirement; leave as capability/cross-cutting coverage rather than inventing a mapping.</x:v>
      </x:c>
    </x:row>
    <x:row r="194">
      <x:c r="A194" s="14" t="str">
        <x:v>NFR-001</x:v>
      </x:c>
      <x:c r="B194" s="14" t="str">
        <x:v>Non-Functional Requirement</x:v>
      </x:c>
      <x:c r="C194" s="14" t="str">
        <x:v>The service shall protect dispute information from unauthorised access.</x:v>
      </x:c>
      <x:c r="D194" s="14" t="str">
        <x:v>H1</x:v>
      </x:c>
      <x:c r="E194" s="14"/>
      <x:c r="F194" s="14" t="str">
        <x:v>Security / Privacy Assurance</x:v>
      </x:c>
      <x:c r="G194" s="14" t="str">
        <x:v>UAT-15</x:v>
      </x:c>
      <x:c r="H194" s="14" t="str">
        <x:v>Must</x:v>
      </x:c>
      <x:c r="I194" s="14" t="str">
        <x:v>Not Applicable to UAT</x:v>
      </x:c>
      <x:c r="J194" s="14" t="str">
        <x:v>Not Applicable</x:v>
      </x:c>
      <x:c r="K194" s="14"/>
      <x:c r="L194" s="14"/>
      <x:c r="M194" s="14" t="str">
        <x:v>Source: Step 24 Requirements Baseline PDF p.192. No exact US-xxx story allocation is stated in the Step 25 source for this requirement; leave as capability/cross-cutting coverage rather than inventing a mapping.</x:v>
      </x:c>
    </x:row>
    <x:row r="195">
      <x:c r="A195" s="14" t="str">
        <x:v>NFR-002</x:v>
      </x:c>
      <x:c r="B195" s="14" t="str">
        <x:v>Non-Functional Requirement</x:v>
      </x:c>
      <x:c r="C195" s="14" t="str">
        <x:v>Access privileges shall follow an appropriate least-privilege principle based on the user's authorised responsibilities.</x:v>
      </x:c>
      <x:c r="D195" s="14" t="str">
        <x:v>H1</x:v>
      </x:c>
      <x:c r="E195" s="14"/>
      <x:c r="F195" s="14" t="str">
        <x:v>Security / Privacy Assurance</x:v>
      </x:c>
      <x:c r="G195" s="14" t="str">
        <x:v>UAT-15</x:v>
      </x:c>
      <x:c r="H195" s="14" t="str">
        <x:v>Must</x:v>
      </x:c>
      <x:c r="I195" s="14" t="str">
        <x:v>Not Applicable to UAT</x:v>
      </x:c>
      <x:c r="J195" s="14" t="str">
        <x:v>Not Applicable</x:v>
      </x:c>
      <x:c r="K195" s="14"/>
      <x:c r="L195" s="14"/>
      <x:c r="M195" s="14" t="str">
        <x:v>Source: Step 24 Requirements Baseline PDF p.193. No exact US-xxx story allocation is stated in the Step 25 source for this requirement; leave as capability/cross-cutting coverage rather than inventing a mapping.</x:v>
      </x:c>
    </x:row>
    <x:row r="196">
      <x:c r="A196" s="14" t="str">
        <x:v>NFR-003</x:v>
      </x:c>
      <x:c r="B196" s="14" t="str">
        <x:v>Non-Functional Requirement</x:v>
      </x:c>
      <x:c r="C196" s="14" t="str">
        <x:v>Sensitive information shall be appropriately protected during storage and exchange using security controls suitable for the eventual architecture.</x:v>
      </x:c>
      <x:c r="D196" s="14" t="str">
        <x:v>H1</x:v>
      </x:c>
      <x:c r="E196" s="14"/>
      <x:c r="F196" s="14" t="str">
        <x:v>Security / Privacy Assurance</x:v>
      </x:c>
      <x:c r="G196" s="14"/>
      <x:c r="H196" s="14" t="str">
        <x:v>Must</x:v>
      </x:c>
      <x:c r="I196" s="14" t="str">
        <x:v>Not Applicable to UAT</x:v>
      </x:c>
      <x:c r="J196" s="14" t="str">
        <x:v>Not Applicable</x:v>
      </x:c>
      <x:c r="K196" s="14"/>
      <x:c r="L196" s="14"/>
      <x:c r="M196" s="14" t="str">
        <x:v>Source: Step 24 Requirements Baseline PDF p.193. No exact US-xxx story allocation is stated in the Step 25 source for this requirement; leave as capability/cross-cutting coverage rather than inventing a mapping.</x:v>
      </x:c>
    </x:row>
    <x:row r="197">
      <x:c r="A197" s="14" t="str">
        <x:v>NFR-004</x:v>
      </x:c>
      <x:c r="B197" s="14" t="str">
        <x:v>Non-Functional Requirement</x:v>
      </x:c>
      <x:c r="C197" s="14" t="str">
        <x:v>Privileged or sensitive case actions shall require appropriate authentication and authorisation controls.</x:v>
      </x:c>
      <x:c r="D197" s="14" t="str">
        <x:v>H1</x:v>
      </x:c>
      <x:c r="E197" s="14"/>
      <x:c r="F197" s="14" t="str">
        <x:v>Security / Privacy Assurance</x:v>
      </x:c>
      <x:c r="G197" s="14"/>
      <x:c r="H197" s="14" t="str">
        <x:v>Must</x:v>
      </x:c>
      <x:c r="I197" s="14" t="str">
        <x:v>Not Applicable to UAT</x:v>
      </x:c>
      <x:c r="J197" s="14" t="str">
        <x:v>Not Applicable</x:v>
      </x:c>
      <x:c r="K197" s="14"/>
      <x:c r="L197" s="14"/>
      <x:c r="M197" s="14" t="str">
        <x:v>Source: Step 24 Requirements Baseline PDF p.193. No exact US-xxx story allocation is stated in the Step 25 source for this requirement; leave as capability/cross-cutting coverage rather than inventing a mapping.</x:v>
      </x:c>
    </x:row>
    <x:row r="198">
      <x:c r="A198" s="14" t="str">
        <x:v>NFR-005</x:v>
      </x:c>
      <x:c r="B198" s="14" t="str">
        <x:v>Non-Functional Requirement</x:v>
      </x:c>
      <x:c r="C198" s="14" t="str">
        <x:v>The service shall support data minimisation so that information captured, shared or processed has an identified business, user, control, audit or measurement purpose.</x:v>
      </x:c>
      <x:c r="D198" s="14" t="str">
        <x:v>H1</x:v>
      </x:c>
      <x:c r="E198" s="14"/>
      <x:c r="F198" s="14" t="str">
        <x:v>Security / Privacy Assurance</x:v>
      </x:c>
      <x:c r="G198" s="14"/>
      <x:c r="H198" s="14" t="str">
        <x:v>Must</x:v>
      </x:c>
      <x:c r="I198" s="14" t="str">
        <x:v>Not Applicable to UAT</x:v>
      </x:c>
      <x:c r="J198" s="14" t="str">
        <x:v>Not Applicable</x:v>
      </x:c>
      <x:c r="K198" s="14"/>
      <x:c r="L198" s="14"/>
      <x:c r="M198" s="14" t="str">
        <x:v>Source: Step 24 Requirements Baseline PDF p.193. No exact US-xxx story allocation is stated in the Step 25 source for this requirement; leave as capability/cross-cutting coverage rather than inventing a mapping.</x:v>
      </x:c>
    </x:row>
    <x:row r="199">
      <x:c r="A199" s="14" t="str">
        <x:v>NFR-006</x:v>
      </x:c>
      <x:c r="B199" s="14" t="str">
        <x:v>Non-Functional Requirement</x:v>
      </x:c>
      <x:c r="C199" s="14" t="str">
        <x:v>Information made available to a user, specialist, automation or AI capability shall be limited to an appropriate authorised scope for the relevant task.</x:v>
      </x:c>
      <x:c r="D199" s="14" t="str">
        <x:v>H1</x:v>
      </x:c>
      <x:c r="E199" s="14"/>
      <x:c r="F199" s="14" t="str">
        <x:v>Security / Privacy Assurance</x:v>
      </x:c>
      <x:c r="G199" s="14"/>
      <x:c r="H199" s="14" t="str">
        <x:v>Must</x:v>
      </x:c>
      <x:c r="I199" s="14" t="str">
        <x:v>Not Applicable to UAT</x:v>
      </x:c>
      <x:c r="J199" s="14" t="str">
        <x:v>Not Applicable</x:v>
      </x:c>
      <x:c r="K199" s="14"/>
      <x:c r="L199" s="14"/>
      <x:c r="M199" s="14" t="str">
        <x:v>Source: Step 24 Requirements Baseline PDF p.194. No exact US-xxx story allocation is stated in the Step 25 source for this requirement; leave as capability/cross-cutting coverage rather than inventing a mapping.</x:v>
      </x:c>
    </x:row>
    <x:row r="200">
      <x:c r="A200" s="14" t="str">
        <x:v>NFR-007</x:v>
      </x:c>
      <x:c r="B200" s="14" t="str">
        <x:v>Non-Functional Requirement</x:v>
      </x:c>
      <x:c r="C200" s="14" t="str">
        <x:v>The core dispute service shall support an availability level appropriate to the agreed operating need, with the measurable target established before formal service acceptance.</x:v>
      </x:c>
      <x:c r="D200" s="14" t="str">
        <x:v>H1</x:v>
      </x:c>
      <x:c r="E200" s="14"/>
      <x:c r="F200" s="14" t="str">
        <x:v>System Test</x:v>
      </x:c>
      <x:c r="G200" s="14"/>
      <x:c r="H200" s="14" t="str">
        <x:v>Must</x:v>
      </x:c>
      <x:c r="I200" s="14" t="str">
        <x:v>Not Applicable to UAT</x:v>
      </x:c>
      <x:c r="J200" s="14" t="str">
        <x:v>Not Applicable</x:v>
      </x:c>
      <x:c r="K200" s="14"/>
      <x:c r="L200" s="14"/>
      <x:c r="M200" s="14" t="str">
        <x:v>Source: Step 24 Requirements Baseline PDF p.194. No exact US-xxx story allocation is stated in the Step 25 source for this requirement; leave as capability/cross-cutting coverage rather than inventing a mapping.</x:v>
      </x:c>
    </x:row>
    <x:row r="201">
      <x:c r="A201" s="14" t="str">
        <x:v>NFR-008</x:v>
      </x:c>
      <x:c r="B201" s="14" t="str">
        <x:v>Non-Functional Requirement</x:v>
      </x:c>
      <x:c r="C201" s="14" t="str">
        <x:v>Material service or integration failure shall support recovery or a defined contingency sufficient to prevent silent loss of active case work.</x:v>
      </x:c>
      <x:c r="D201" s="14" t="str">
        <x:v>H1</x:v>
      </x:c>
      <x:c r="E201" s="14"/>
      <x:c r="F201" s="14" t="str">
        <x:v>System Test</x:v>
      </x:c>
      <x:c r="G201" s="14" t="str">
        <x:v>UAT-16</x:v>
      </x:c>
      <x:c r="H201" s="14" t="str">
        <x:v>Must</x:v>
      </x:c>
      <x:c r="I201" s="14" t="str">
        <x:v>Not Applicable to UAT</x:v>
      </x:c>
      <x:c r="J201" s="14" t="str">
        <x:v>Not Applicable</x:v>
      </x:c>
      <x:c r="K201" s="14"/>
      <x:c r="L201" s="14"/>
      <x:c r="M201" s="14" t="str">
        <x:v>Source: Step 24 Requirements Baseline PDF p.194. No exact US-xxx story allocation is stated in the Step 25 source for this requirement; leave as capability/cross-cutting coverage rather than inventing a mapping.</x:v>
      </x:c>
    </x:row>
    <x:row r="202">
      <x:c r="A202" s="14" t="str">
        <x:v>NFR-009</x:v>
      </x:c>
      <x:c r="B202" s="14" t="str">
        <x:v>Non-Functional Requirement</x:v>
      </x:c>
      <x:c r="C202" s="14" t="str">
        <x:v>Failure of an optional AI capability shall not prevent the core dispute service from operating.</x:v>
      </x:c>
      <x:c r="D202" s="14" t="str">
        <x:v>H3</x:v>
      </x:c>
      <x:c r="E202" s="14" t="str">
        <x:v>US-061, US-062, US-063, US-064, US-065, US-066</x:v>
      </x:c>
      <x:c r="F202" s="14" t="str">
        <x:v>AI Prototype Evaluation</x:v>
      </x:c>
      <x:c r="G202" s="14" t="str">
        <x:v>UAT-20</x:v>
      </x:c>
      <x:c r="H202" s="14" t="str">
        <x:v>Must</x:v>
      </x:c>
      <x:c r="I202" s="14" t="str">
        <x:v>Mapped</x:v>
      </x:c>
      <x:c r="J202" s="14" t="str">
        <x:v>Prototype Evaluated - Step 28</x:v>
      </x:c>
      <x:c r="K202" s="14" t="str">
        <x:v>Step 28 controlled synthetic AI prototype evaluation (screenshots 170-176)</x:v>
      </x:c>
      <x:c r="L202" s="14"/>
      <x:c r="M202" s="14" t="str">
        <x:v>Source: Step 24 Requirements Baseline PDF p.195. H3 AI story mapping uses the established controlled-pilot backlog. Step 25 story mapping populated from Product Backlog traceability; H3 AIR mapping refined in Step 30 where applicable.</x:v>
      </x:c>
    </x:row>
    <x:row r="203">
      <x:c r="A203" s="14" t="str">
        <x:v>NFR-010</x:v>
      </x:c>
      <x:c r="B203" s="14" t="str">
        <x:v>Non-Functional Requirement</x:v>
      </x:c>
      <x:c r="C203" s="14" t="str">
        <x:v>Persistent material case data shall be recoverable to an agreed level appropriate to the eventual service design.</x:v>
      </x:c>
      <x:c r="D203" s="14" t="str">
        <x:v>H1</x:v>
      </x:c>
      <x:c r="E203" s="14"/>
      <x:c r="F203" s="14" t="str">
        <x:v>System Test</x:v>
      </x:c>
      <x:c r="G203" s="14"/>
      <x:c r="H203" s="14" t="str">
        <x:v>Must</x:v>
      </x:c>
      <x:c r="I203" s="14" t="str">
        <x:v>Not Applicable to UAT</x:v>
      </x:c>
      <x:c r="J203" s="14" t="str">
        <x:v>Not Applicable</x:v>
      </x:c>
      <x:c r="K203" s="14"/>
      <x:c r="L203" s="14"/>
      <x:c r="M203" s="14" t="str">
        <x:v>Source: Step 24 Requirements Baseline PDF p.195. No exact US-xxx story allocation is stated in the Step 25 source for this requirement; leave as capability/cross-cutting coverage rather than inventing a mapping.</x:v>
      </x:c>
    </x:row>
    <x:row r="204">
      <x:c r="A204" s="14" t="str">
        <x:v>NFR-011</x:v>
      </x:c>
      <x:c r="B204" s="14" t="str">
        <x:v>Non-Functional Requirement</x:v>
      </x:c>
      <x:c r="C204" s="14" t="str">
        <x:v>Material workflow and automation actions shall operate consistently with the defined case state and business rules.</x:v>
      </x:c>
      <x:c r="D204" s="14" t="str">
        <x:v>H1</x:v>
      </x:c>
      <x:c r="E204" s="14"/>
      <x:c r="F204" s="14" t="str">
        <x:v>System Test</x:v>
      </x:c>
      <x:c r="G204" s="14"/>
      <x:c r="H204" s="14" t="str">
        <x:v>Must</x:v>
      </x:c>
      <x:c r="I204" s="14" t="str">
        <x:v>Not Applicable to UAT</x:v>
      </x:c>
      <x:c r="J204" s="14" t="str">
        <x:v>Not Applicable</x:v>
      </x:c>
      <x:c r="K204" s="14"/>
      <x:c r="L204" s="14"/>
      <x:c r="M204" s="14" t="str">
        <x:v>Source: Step 24 Requirements Baseline PDF p.195. No exact US-xxx story allocation is stated in the Step 25 source for this requirement; leave as capability/cross-cutting coverage rather than inventing a mapping.</x:v>
      </x:c>
    </x:row>
    <x:row r="205">
      <x:c r="A205" s="14" t="str">
        <x:v>NFR-012</x:v>
      </x:c>
      <x:c r="B205" s="14" t="str">
        <x:v>Non-Functional Requirement</x:v>
      </x:c>
      <x:c r="C205" s="14" t="str">
        <x:v>Where retries or repeated messages can occur, the design shall appropriately control duplicate processing that could create inconsistent or repeated business action.</x:v>
      </x:c>
      <x:c r="D205" s="14" t="str">
        <x:v>H1</x:v>
      </x:c>
      <x:c r="E205" s="14"/>
      <x:c r="F205" s="14" t="str">
        <x:v>System Test</x:v>
      </x:c>
      <x:c r="G205" s="14"/>
      <x:c r="H205" s="14" t="str">
        <x:v>Must</x:v>
      </x:c>
      <x:c r="I205" s="14" t="str">
        <x:v>Not Applicable to UAT</x:v>
      </x:c>
      <x:c r="J205" s="14" t="str">
        <x:v>Not Applicable</x:v>
      </x:c>
      <x:c r="K205" s="14"/>
      <x:c r="L205" s="14"/>
      <x:c r="M205" s="14" t="str">
        <x:v>Source: Step 24 Requirements Baseline PDF p.195. No exact US-xxx story allocation is stated in the Step 25 source for this requirement; leave as capability/cross-cutting coverage rather than inventing a mapping.</x:v>
      </x:c>
    </x:row>
    <x:row r="206">
      <x:c r="A206" s="14" t="str">
        <x:v>NFR-013</x:v>
      </x:c>
      <x:c r="B206" s="14" t="str">
        <x:v>Non-Functional Requirement</x:v>
      </x:c>
      <x:c r="C206" s="14" t="str">
        <x:v>Material lifecycle, ownership, decision and approval information shall remain internally consistent enough to support reliable process execution.</x:v>
      </x:c>
      <x:c r="D206" s="14" t="str">
        <x:v>H1</x:v>
      </x:c>
      <x:c r="E206" s="14"/>
      <x:c r="F206" s="14" t="str">
        <x:v>System Test</x:v>
      </x:c>
      <x:c r="G206" s="14" t="str">
        <x:v>UAT-13</x:v>
      </x:c>
      <x:c r="H206" s="14" t="str">
        <x:v>Must</x:v>
      </x:c>
      <x:c r="I206" s="14" t="str">
        <x:v>Not Applicable to UAT</x:v>
      </x:c>
      <x:c r="J206" s="14" t="str">
        <x:v>Not Applicable</x:v>
      </x:c>
      <x:c r="K206" s="14"/>
      <x:c r="L206" s="14"/>
      <x:c r="M206" s="14" t="str">
        <x:v>Source: Step 24 Requirements Baseline PDF p.196. No exact US-xxx story allocation is stated in the Step 25 source for this requirement; leave as capability/cross-cutting coverage rather than inventing a mapping.</x:v>
      </x:c>
    </x:row>
    <x:row r="207">
      <x:c r="A207" s="14" t="str">
        <x:v>NFR-014</x:v>
      </x:c>
      <x:c r="B207" s="14" t="str">
        <x:v>Non-Functional Requirement</x:v>
      </x:c>
      <x:c r="C207" s="14" t="str">
        <x:v>Critical user and workflow interactions shall meet measurable performance expectations appropriate to the operational task, with thresholds defined before formal performance testing.</x:v>
      </x:c>
      <x:c r="D207" s="14" t="str">
        <x:v>H1</x:v>
      </x:c>
      <x:c r="E207" s="14"/>
      <x:c r="F207" s="14" t="str">
        <x:v>System Test</x:v>
      </x:c>
      <x:c r="G207" s="14"/>
      <x:c r="H207" s="14" t="str">
        <x:v>Should</x:v>
      </x:c>
      <x:c r="I207" s="14" t="str">
        <x:v>Not Applicable to UAT</x:v>
      </x:c>
      <x:c r="J207" s="14" t="str">
        <x:v>Not Applicable</x:v>
      </x:c>
      <x:c r="K207" s="14"/>
      <x:c r="L207" s="14"/>
      <x:c r="M207" s="14" t="str">
        <x:v>Source: Step 24 Requirements Baseline PDF p.196. No exact US-xxx story allocation is stated in the Step 25 source for this requirement; leave as capability/cross-cutting coverage rather than inventing a mapping.</x:v>
      </x:c>
    </x:row>
    <x:row r="208">
      <x:c r="A208" s="14" t="str">
        <x:v>NFR-015</x:v>
      </x:c>
      <x:c r="B208" s="14" t="str">
        <x:v>Non-Functional Requirement</x:v>
      </x:c>
      <x:c r="C208" s="14" t="str">
        <x:v>Material audit and process-event information shall be sufficiently reliable to support authorised reconstruction of significant case activity.</x:v>
      </x:c>
      <x:c r="D208" s="14" t="str">
        <x:v>H1</x:v>
      </x:c>
      <x:c r="E208" s="14"/>
      <x:c r="F208" s="14" t="str">
        <x:v>Operational Readiness</x:v>
      </x:c>
      <x:c r="G208" s="14"/>
      <x:c r="H208" s="14" t="str">
        <x:v>Must</x:v>
      </x:c>
      <x:c r="I208" s="14" t="str">
        <x:v>Not Applicable to UAT</x:v>
      </x:c>
      <x:c r="J208" s="14" t="str">
        <x:v>Not Applicable</x:v>
      </x:c>
      <x:c r="K208" s="14"/>
      <x:c r="L208" s="14"/>
      <x:c r="M208" s="14" t="str">
        <x:v>Source: Step 24 Requirements Baseline PDF p.197. No exact US-xxx story allocation is stated in the Step 25 source for this requirement; leave as capability/cross-cutting coverage rather than inventing a mapping.</x:v>
      </x:c>
    </x:row>
    <x:row r="209">
      <x:c r="A209" s="14" t="str">
        <x:v>NFR-016</x:v>
      </x:c>
      <x:c r="B209" s="14" t="str">
        <x:v>Non-Functional Requirement</x:v>
      </x:c>
      <x:c r="C209" s="14" t="str">
        <x:v>The service should provide sufficient operational observability to identify material workflow, integration, automation and relevant AI failures.</x:v>
      </x:c>
      <x:c r="D209" s="14" t="str">
        <x:v>H1</x:v>
      </x:c>
      <x:c r="E209" s="14"/>
      <x:c r="F209" s="14" t="str">
        <x:v>Operational Readiness</x:v>
      </x:c>
      <x:c r="G209" s="14" t="str">
        <x:v>UAT-16</x:v>
      </x:c>
      <x:c r="H209" s="14" t="str">
        <x:v>Should</x:v>
      </x:c>
      <x:c r="I209" s="14" t="str">
        <x:v>Not Applicable to UAT</x:v>
      </x:c>
      <x:c r="J209" s="14" t="str">
        <x:v>Not Applicable</x:v>
      </x:c>
      <x:c r="K209" s="14"/>
      <x:c r="L209" s="14"/>
      <x:c r="M209" s="14" t="str">
        <x:v>Source: Step 24 Requirements Baseline PDF p.197. No exact US-xxx story allocation is stated in the Step 25 source for this requirement; leave as capability/cross-cutting coverage rather than inventing a mapping.</x:v>
      </x:c>
    </x:row>
    <x:row r="210">
      <x:c r="A210" s="14" t="str">
        <x:v>NFR-017</x:v>
      </x:c>
      <x:c r="B210" s="14" t="str">
        <x:v>Non-Functional Requirement</x:v>
      </x:c>
      <x:c r="C210" s="14" t="str">
        <x:v>Business rules, controlled reason values and workflow configuration should be maintainable through controlled change without unnecessary redesign of unrelated service capability.</x:v>
      </x:c>
      <x:c r="D210" s="14" t="str">
        <x:v>H1</x:v>
      </x:c>
      <x:c r="E210" s="14"/>
      <x:c r="F210" s="14" t="str">
        <x:v>Operational Readiness</x:v>
      </x:c>
      <x:c r="G210" s="14"/>
      <x:c r="H210" s="14" t="str">
        <x:v>Should</x:v>
      </x:c>
      <x:c r="I210" s="14" t="str">
        <x:v>Not Applicable to UAT</x:v>
      </x:c>
      <x:c r="J210" s="14" t="str">
        <x:v>Not Applicable</x:v>
      </x:c>
      <x:c r="K210" s="14"/>
      <x:c r="L210" s="14"/>
      <x:c r="M210" s="14" t="str">
        <x:v>Source: Step 24 Requirements Baseline PDF p.197. No exact US-xxx story allocation is stated in the Step 25 source for this requirement; leave as capability/cross-cutting coverage rather than inventing a mapping.</x:v>
      </x:c>
    </x:row>
    <x:row r="211">
      <x:c r="A211" s="14" t="str">
        <x:v>NFR-018</x:v>
      </x:c>
      <x:c r="B211" s="14" t="str">
        <x:v>Non-Functional Requirement</x:v>
      </x:c>
      <x:c r="C211" s="14" t="str">
        <x:v>Material configuration changes should support versioning, testing and controlled release before affecting the live service.</x:v>
      </x:c>
      <x:c r="D211" s="14" t="str">
        <x:v>H1</x:v>
      </x:c>
      <x:c r="E211" s="14"/>
      <x:c r="F211" s="14" t="str">
        <x:v>Operational Readiness</x:v>
      </x:c>
      <x:c r="G211" s="14"/>
      <x:c r="H211" s="14" t="str">
        <x:v>Should</x:v>
      </x:c>
      <x:c r="I211" s="14" t="str">
        <x:v>Not Applicable to UAT</x:v>
      </x:c>
      <x:c r="J211" s="14" t="str">
        <x:v>Not Applicable</x:v>
      </x:c>
      <x:c r="K211" s="14"/>
      <x:c r="L211" s="14"/>
      <x:c r="M211" s="14" t="str">
        <x:v>Source: Step 24 Requirements Baseline PDF p.197. No exact US-xxx story allocation is stated in the Step 25 source for this requirement; leave as capability/cross-cutting coverage rather than inventing a mapping.</x:v>
      </x:c>
    </x:row>
    <x:row r="212">
      <x:c r="A212" s="14" t="str">
        <x:v>NFR-019</x:v>
      </x:c>
      <x:c r="B212" s="14" t="str">
        <x:v>Non-Functional Requirement</x:v>
      </x:c>
      <x:c r="C212" s="14" t="str">
        <x:v>Information exchanges between logical capabilities should use sufficiently defined and consistent interfaces/contracts to preserve Case ID, provenance and processing integrity.</x:v>
      </x:c>
      <x:c r="D212" s="14" t="str">
        <x:v>H1</x:v>
      </x:c>
      <x:c r="E212" s="14"/>
      <x:c r="F212" s="14" t="str">
        <x:v>Operational Readiness</x:v>
      </x:c>
      <x:c r="G212" s="14" t="str">
        <x:v>UAT-14</x:v>
      </x:c>
      <x:c r="H212" s="14" t="str">
        <x:v>Should</x:v>
      </x:c>
      <x:c r="I212" s="14" t="str">
        <x:v>Not Applicable to UAT</x:v>
      </x:c>
      <x:c r="J212" s="14" t="str">
        <x:v>Not Applicable</x:v>
      </x:c>
      <x:c r="K212" s="14"/>
      <x:c r="L212" s="14"/>
      <x:c r="M212" s="14" t="str">
        <x:v>Source: Step 24 Requirements Baseline PDF p.198. No exact US-xxx story allocation is stated in the Step 25 source for this requirement; leave as capability/cross-cutting coverage rather than inventing a mapping.</x:v>
      </x:c>
    </x:row>
    <x:row r="213">
      <x:c r="A213" s="14" t="str">
        <x:v>NFR-020</x:v>
      </x:c>
      <x:c r="B213" s="14" t="str">
        <x:v>Non-Functional Requirement</x:v>
      </x:c>
      <x:c r="C213" s="14" t="str">
        <x:v>The service should be capable of supporting an agreed operational workload and reasonable future growth without requiring unsupported assumptions about current transaction volume.</x:v>
      </x:c>
      <x:c r="D213" s="14" t="str">
        <x:v>H1</x:v>
      </x:c>
      <x:c r="E213" s="14"/>
      <x:c r="F213" s="14" t="str">
        <x:v>Operational Readiness</x:v>
      </x:c>
      <x:c r="G213" s="14"/>
      <x:c r="H213" s="14" t="str">
        <x:v>Should</x:v>
      </x:c>
      <x:c r="I213" s="14" t="str">
        <x:v>Not Applicable to UAT</x:v>
      </x:c>
      <x:c r="J213" s="14" t="str">
        <x:v>Not Applicable</x:v>
      </x:c>
      <x:c r="K213" s="14"/>
      <x:c r="L213" s="14"/>
      <x:c r="M213" s="14" t="str">
        <x:v>Source: Step 24 Requirements Baseline PDF p.198. No exact US-xxx story allocation is stated in the Step 25 source for this requirement; leave as capability/cross-cutting coverage rather than inventing a mapping.</x:v>
      </x:c>
    </x:row>
    <x:row r="214">
      <x:c r="A214" s="14" t="str">
        <x:v>AIR-001</x:v>
      </x:c>
      <x:c r="B214" s="14" t="str">
        <x:v>AI-Specific Requirement</x:v>
      </x:c>
      <x:c r="C214" s="14" t="str">
        <x:v>AI capability shall only be used for an explicitly approved and bounded AI use case.</x:v>
      </x:c>
      <x:c r="D214" s="14" t="str">
        <x:v>H3</x:v>
      </x:c>
      <x:c r="E214" s="14" t="str">
        <x:v>US-061, US-064</x:v>
      </x:c>
      <x:c r="F214" s="14" t="str">
        <x:v>AI Prototype Evaluation</x:v>
      </x:c>
      <x:c r="G214" s="14" t="str">
        <x:v>UAT-17, UAT-19</x:v>
      </x:c>
      <x:c r="H214" s="14" t="str">
        <x:v>Must when AI used</x:v>
      </x:c>
      <x:c r="I214" s="14" t="str">
        <x:v>Mapped</x:v>
      </x:c>
      <x:c r="J214" s="14" t="str">
        <x:v>Prototype Evaluated - Step 28</x:v>
      </x:c>
      <x:c r="K214" s="14" t="str">
        <x:v>Step 28 controlled synthetic AI prototype evaluation (screenshots 170-176)</x:v>
      </x:c>
      <x:c r="L214" s="14"/>
      <x:c r="M214" s="14" t="str">
        <x:v>Source: Step 24 Requirements Baseline PDF p.199. H3 AI story mapping uses the established controlled-pilot backlog. Step 25 story mapping populated from Product Backlog traceability; H3 AIR mapping refined in Step 30 where applicable.</x:v>
      </x:c>
    </x:row>
    <x:row r="215">
      <x:c r="A215" s="14" t="str">
        <x:v>AIR-002</x:v>
      </x:c>
      <x:c r="B215" s="14" t="str">
        <x:v>AI-Specific Requirement</x:v>
      </x:c>
      <x:c r="C215" s="14" t="str">
        <x:v>No approved AI capability shall be required for completion of the core end-to-end dispute lifecycle.</x:v>
      </x:c>
      <x:c r="D215" s="14" t="str">
        <x:v>H3</x:v>
      </x:c>
      <x:c r="E215" s="14" t="str">
        <x:v>US-061, US-062, US-064, US-065</x:v>
      </x:c>
      <x:c r="F215" s="14" t="str">
        <x:v>AI Prototype Evaluation</x:v>
      </x:c>
      <x:c r="G215" s="14" t="str">
        <x:v>UAT-20</x:v>
      </x:c>
      <x:c r="H215" s="14" t="str">
        <x:v>Must</x:v>
      </x:c>
      <x:c r="I215" s="14" t="str">
        <x:v>Mapped</x:v>
      </x:c>
      <x:c r="J215" s="14" t="str">
        <x:v>Prototype Evaluated - Step 28</x:v>
      </x:c>
      <x:c r="K215" s="14" t="str">
        <x:v>Step 28 controlled synthetic AI prototype evaluation (screenshots 170-176)</x:v>
      </x:c>
      <x:c r="L215" s="14"/>
      <x:c r="M215" s="14" t="str">
        <x:v>Source: Step 24 Requirements Baseline PDF p.199. H3 AI story mapping uses the established controlled-pilot backlog. Step 25 story mapping populated from Product Backlog traceability; H3 AIR mapping refined in Step 30 where applicable.</x:v>
      </x:c>
    </x:row>
    <x:row r="216">
      <x:c r="A216" s="14" t="str">
        <x:v>AIR-003</x:v>
      </x:c>
      <x:c r="B216" s="14" t="str">
        <x:v>AI-Specific Requirement</x:v>
      </x:c>
      <x:c r="C216" s="14" t="str">
        <x:v>AI shall receive only the authorised information required for the relevant approved use case.</x:v>
      </x:c>
      <x:c r="D216" s="14" t="str">
        <x:v>H3</x:v>
      </x:c>
      <x:c r="E216" s="14" t="str">
        <x:v>US-061, US-064</x:v>
      </x:c>
      <x:c r="F216" s="14" t="str">
        <x:v>AI Prototype Evaluation</x:v>
      </x:c>
      <x:c r="G216" s="14" t="str">
        <x:v>UAT-17, UAT-19</x:v>
      </x:c>
      <x:c r="H216" s="14" t="str">
        <x:v>Must when AI used</x:v>
      </x:c>
      <x:c r="I216" s="14" t="str">
        <x:v>Mapped</x:v>
      </x:c>
      <x:c r="J216" s="14" t="str">
        <x:v>Prototype Evaluated - Step 28</x:v>
      </x:c>
      <x:c r="K216" s="14" t="str">
        <x:v>Step 28 controlled synthetic AI prototype evaluation (screenshots 170-176)</x:v>
      </x:c>
      <x:c r="L216" s="14"/>
      <x:c r="M216" s="14" t="str">
        <x:v>Source: Step 24 Requirements Baseline PDF p.200. H3 AI story mapping uses the established controlled-pilot backlog. Step 25 story mapping populated from Product Backlog traceability; H3 AIR mapping refined in Step 30 where applicable.</x:v>
      </x:c>
    </x:row>
    <x:row r="217">
      <x:c r="A217" s="14" t="str">
        <x:v>AIR-004</x:v>
      </x:c>
      <x:c r="B217" s="14" t="str">
        <x:v>AI-Specific Requirement</x:v>
      </x:c>
      <x:c r="C217" s="14" t="str">
        <x:v>AI-generated information shall remain distinguishable from authoritative customer, evidence, specialist and decision information.</x:v>
      </x:c>
      <x:c r="D217" s="14" t="str">
        <x:v>H3</x:v>
      </x:c>
      <x:c r="E217" s="14" t="str">
        <x:v>US-061, US-064</x:v>
      </x:c>
      <x:c r="F217" s="14" t="str">
        <x:v>AI Prototype Evaluation</x:v>
      </x:c>
      <x:c r="G217" s="14" t="str">
        <x:v>UAT-17, UAT-19</x:v>
      </x:c>
      <x:c r="H217" s="14" t="str">
        <x:v>Must when AI used</x:v>
      </x:c>
      <x:c r="I217" s="14" t="str">
        <x:v>Mapped</x:v>
      </x:c>
      <x:c r="J217" s="14" t="str">
        <x:v>Prototype Evaluated - Step 28</x:v>
      </x:c>
      <x:c r="K217" s="14" t="str">
        <x:v>Step 28 controlled synthetic AI prototype evaluation (screenshots 170-176)</x:v>
      </x:c>
      <x:c r="L217" s="14"/>
      <x:c r="M217" s="14" t="str">
        <x:v>Source: Step 24 Requirements Baseline PDF p.200. H3 AI story mapping uses the established controlled-pilot backlog. Step 25 story mapping populated from Product Backlog traceability; H3 AIR mapping refined in Step 30 where applicable.</x:v>
      </x:c>
    </x:row>
    <x:row r="218">
      <x:c r="A218" s="14" t="str">
        <x:v>AIR-005</x:v>
      </x:c>
      <x:c r="B218" s="14" t="str">
        <x:v>AI-Specific Requirement</x:v>
      </x:c>
      <x:c r="C218" s="14" t="str">
        <x:v>Where AI output depends on case or evidence information, the relevant authorised source information shall remain identifiable for human verification.</x:v>
      </x:c>
      <x:c r="D218" s="14" t="str">
        <x:v>H3</x:v>
      </x:c>
      <x:c r="E218" s="14" t="str">
        <x:v>US-061, US-064</x:v>
      </x:c>
      <x:c r="F218" s="14" t="str">
        <x:v>AI Prototype Evaluation</x:v>
      </x:c>
      <x:c r="G218" s="14" t="str">
        <x:v>UAT-17, UAT-19</x:v>
      </x:c>
      <x:c r="H218" s="14" t="str">
        <x:v>Must when AI used</x:v>
      </x:c>
      <x:c r="I218" s="14" t="str">
        <x:v>Mapped</x:v>
      </x:c>
      <x:c r="J218" s="14" t="str">
        <x:v>Prototype Evaluated - Step 28</x:v>
      </x:c>
      <x:c r="K218" s="14" t="str">
        <x:v>Step 28 controlled synthetic AI prototype evaluation (screenshots 170-176)</x:v>
      </x:c>
      <x:c r="L218" s="14"/>
      <x:c r="M218" s="14" t="str">
        <x:v>Source: Step 24 Requirements Baseline PDF p.200. H3 AI story mapping uses the established controlled-pilot backlog. Step 25 story mapping populated from Product Backlog traceability; H3 AIR mapping refined in Step 30 where applicable.</x:v>
      </x:c>
    </x:row>
    <x:row r="219">
      <x:c r="A219" s="14" t="str">
        <x:v>AIR-006</x:v>
      </x:c>
      <x:c r="B219" s="14" t="str">
        <x:v>AI-Specific Requirement</x:v>
      </x:c>
      <x:c r="C219" s="14" t="str">
        <x:v>AI output requiring review shall not become authoritative solely because it has been generated.</x:v>
      </x:c>
      <x:c r="D219" s="14" t="str">
        <x:v>H3</x:v>
      </x:c>
      <x:c r="E219" s="14" t="str">
        <x:v>US-061, US-062, US-064, US-065</x:v>
      </x:c>
      <x:c r="F219" s="14" t="str">
        <x:v>AI Prototype Evaluation</x:v>
      </x:c>
      <x:c r="G219" s="14" t="str">
        <x:v>UAT-17, UAT-18, UAT-19</x:v>
      </x:c>
      <x:c r="H219" s="14" t="str">
        <x:v>Must when AI used</x:v>
      </x:c>
      <x:c r="I219" s="14" t="str">
        <x:v>Mapped</x:v>
      </x:c>
      <x:c r="J219" s="14" t="str">
        <x:v>Prototype Evaluated - Step 28</x:v>
      </x:c>
      <x:c r="K219" s="14" t="str">
        <x:v>Step 28 controlled synthetic AI prototype evaluation (screenshots 170-176)</x:v>
      </x:c>
      <x:c r="L219" s="14"/>
      <x:c r="M219" s="14" t="str">
        <x:v>Source: Step 24 Requirements Baseline PDF p.200. H3 AI story mapping uses the established controlled-pilot backlog. Step 25 story mapping populated from Product Backlog traceability; H3 AIR mapping refined in Step 30 where applicable.</x:v>
      </x:c>
    </x:row>
    <x:row r="220">
      <x:c r="A220" s="14" t="str">
        <x:v>AIR-007</x:v>
      </x:c>
      <x:c r="B220" s="14" t="str">
        <x:v>AI-Specific Requirement</x:v>
      </x:c>
      <x:c r="C220" s="14" t="str">
        <x:v>An authorised human reviewer shall be able to accept, correct, reject or bypass AI-assisted output where the approved use case requires human review.</x:v>
      </x:c>
      <x:c r="D220" s="14" t="str">
        <x:v>H3</x:v>
      </x:c>
      <x:c r="E220" s="14" t="str">
        <x:v>US-062, US-065</x:v>
      </x:c>
      <x:c r="F220" s="14" t="str">
        <x:v>AI Prototype Evaluation</x:v>
      </x:c>
      <x:c r="G220" s="14" t="str">
        <x:v>UAT-18</x:v>
      </x:c>
      <x:c r="H220" s="14" t="str">
        <x:v>Must when AI used</x:v>
      </x:c>
      <x:c r="I220" s="14" t="str">
        <x:v>Mapped</x:v>
      </x:c>
      <x:c r="J220" s="14" t="str">
        <x:v>Prototype Evaluated - Step 28</x:v>
      </x:c>
      <x:c r="K220" s="14" t="str">
        <x:v>Step 28 controlled synthetic AI prototype evaluation (screenshots 170-176)</x:v>
      </x:c>
      <x:c r="L220" s="14"/>
      <x:c r="M220" s="14" t="str">
        <x:v>Source: Step 24 Requirements Baseline PDF p.200. H3 AI story mapping uses the established controlled-pilot backlog. Step 25 story mapping populated from Product Backlog traceability; H3 AIR mapping refined in Step 30 where applicable.</x:v>
      </x:c>
    </x:row>
    <x:row r="221">
      <x:c r="A221" s="14" t="str">
        <x:v>AIR-008</x:v>
      </x:c>
      <x:c r="B221" s="14" t="str">
        <x:v>AI-Specific Requirement</x:v>
      </x:c>
      <x:c r="C221" s="14" t="str">
        <x:v>Rejection or unavailability of AI output shall return the activity to an appropriate normal human or non-AI process without penalising the customer.</x:v>
      </x:c>
      <x:c r="D221" s="14" t="str">
        <x:v>H3</x:v>
      </x:c>
      <x:c r="E221" s="14" t="str">
        <x:v>US-061, US-062, US-064, US-065</x:v>
      </x:c>
      <x:c r="F221" s="14" t="str">
        <x:v>AI Prototype Evaluation</x:v>
      </x:c>
      <x:c r="G221" s="14" t="str">
        <x:v>UAT-18, UAT-20</x:v>
      </x:c>
      <x:c r="H221" s="14" t="str">
        <x:v>Must when AI used</x:v>
      </x:c>
      <x:c r="I221" s="14" t="str">
        <x:v>Mapped</x:v>
      </x:c>
      <x:c r="J221" s="14" t="str">
        <x:v>Prototype Evaluated - Step 28</x:v>
      </x:c>
      <x:c r="K221" s="14" t="str">
        <x:v>Step 28 controlled synthetic AI prototype evaluation (screenshots 170-176)</x:v>
      </x:c>
      <x:c r="L221" s="14"/>
      <x:c r="M221" s="14" t="str">
        <x:v>Source: Step 24 Requirements Baseline PDF p.201. H3 AI story mapping uses the established controlled-pilot backlog. Step 25 story mapping populated from Product Backlog traceability; H3 AIR mapping refined in Step 30 where applicable.</x:v>
      </x:c>
    </x:row>
    <x:row r="222">
      <x:c r="A222" s="14" t="str">
        <x:v>AIR-009</x:v>
      </x:c>
      <x:c r="B222" s="14" t="str">
        <x:v>AI-Specific Requirement</x:v>
      </x:c>
      <x:c r="C222" s="14" t="str">
        <x:v>AI shall not independently determine the authoritative Fraud outcome.</x:v>
      </x:c>
      <x:c r="D222" s="14" t="str">
        <x:v>H4</x:v>
      </x:c>
      <x:c r="E222" s="14" t="str">
        <x:v>US-061, US-062, US-064, US-065</x:v>
      </x:c>
      <x:c r="F222" s="14" t="str">
        <x:v>Future / Conditional</x:v>
      </x:c>
      <x:c r="G222" s="14"/>
      <x:c r="H222" s="14" t="str">
        <x:v>Must</x:v>
      </x:c>
      <x:c r="I222" s="14" t="str">
        <x:v>Future / Conditional</x:v>
      </x:c>
      <x:c r="J222" s="14" t="str">
        <x:v>Future</x:v>
      </x:c>
      <x:c r="K222" s="14"/>
      <x:c r="L222" s="14"/>
      <x:c r="M222" s="14" t="str">
        <x:v>Source: Step 24 Requirements Baseline PDF p.201. Conditional future requirement; no committed H4 story. Step 25 story mapping populated from Product Backlog traceability; H3 AIR mapping refined in Step 30 where applicable.</x:v>
      </x:c>
    </x:row>
    <x:row r="223">
      <x:c r="A223" s="14" t="str">
        <x:v>AIR-010</x:v>
      </x:c>
      <x:c r="B223" s="14" t="str">
        <x:v>AI-Specific Requirement</x:v>
      </x:c>
      <x:c r="C223" s="14" t="str">
        <x:v>AI shall not independently approve a refund where authorised human approval is required.</x:v>
      </x:c>
      <x:c r="D223" s="14" t="str">
        <x:v>H4</x:v>
      </x:c>
      <x:c r="E223" s="14" t="str">
        <x:v>US-061, US-062, US-064, US-065</x:v>
      </x:c>
      <x:c r="F223" s="14" t="str">
        <x:v>Future / Conditional</x:v>
      </x:c>
      <x:c r="G223" s="14"/>
      <x:c r="H223" s="14" t="str">
        <x:v>Must</x:v>
      </x:c>
      <x:c r="I223" s="14" t="str">
        <x:v>Future / Conditional</x:v>
      </x:c>
      <x:c r="J223" s="14" t="str">
        <x:v>Future</x:v>
      </x:c>
      <x:c r="K223" s="14"/>
      <x:c r="L223" s="14"/>
      <x:c r="M223" s="14" t="str">
        <x:v>Source: Step 24 Requirements Baseline PDF p.201. Conditional future requirement; no committed H4 story. Step 25 story mapping populated from Product Backlog traceability; H3 AIR mapping refined in Step 30 where applicable.</x:v>
      </x:c>
    </x:row>
    <x:row r="224">
      <x:c r="A224" s="14" t="str">
        <x:v>AIR-011</x:v>
      </x:c>
      <x:c r="B224" s="14" t="str">
        <x:v>AI-Specific Requirement</x:v>
      </x:c>
      <x:c r="C224" s="14" t="str">
        <x:v>AI shall not independently determine the authoritative complaint outcome.</x:v>
      </x:c>
      <x:c r="D224" s="14" t="str">
        <x:v>H4</x:v>
      </x:c>
      <x:c r="E224" s="14" t="str">
        <x:v>US-061, US-062, US-064, US-065</x:v>
      </x:c>
      <x:c r="F224" s="14" t="str">
        <x:v>Future / Conditional</x:v>
      </x:c>
      <x:c r="G224" s="14"/>
      <x:c r="H224" s="14" t="str">
        <x:v>Must</x:v>
      </x:c>
      <x:c r="I224" s="14" t="str">
        <x:v>Future / Conditional</x:v>
      </x:c>
      <x:c r="J224" s="14" t="str">
        <x:v>Future</x:v>
      </x:c>
      <x:c r="K224" s="14"/>
      <x:c r="L224" s="14"/>
      <x:c r="M224" s="14" t="str">
        <x:v>Source: Step 24 Requirements Baseline PDF p.201. Conditional future requirement; no committed H4 story. Step 25 story mapping populated from Product Backlog traceability; H3 AIR mapping refined in Step 30 where applicable.</x:v>
      </x:c>
    </x:row>
    <x:row r="225">
      <x:c r="A225" s="14" t="str">
        <x:v>AIR-012</x:v>
      </x:c>
      <x:c r="B225" s="14" t="str">
        <x:v>AI-Specific Requirement</x:v>
      </x:c>
      <x:c r="C225" s="14" t="str">
        <x:v>AI shall not independently make a sensitive final dispute decision where accountable human judgement is required.</x:v>
      </x:c>
      <x:c r="D225" s="14" t="str">
        <x:v>H4</x:v>
      </x:c>
      <x:c r="E225" s="14" t="str">
        <x:v>US-061, US-062, US-064, US-065</x:v>
      </x:c>
      <x:c r="F225" s="14" t="str">
        <x:v>Future / Conditional</x:v>
      </x:c>
      <x:c r="G225" s="14"/>
      <x:c r="H225" s="14" t="str">
        <x:v>Must</x:v>
      </x:c>
      <x:c r="I225" s="14" t="str">
        <x:v>Future / Conditional</x:v>
      </x:c>
      <x:c r="J225" s="14" t="str">
        <x:v>Future</x:v>
      </x:c>
      <x:c r="K225" s="14"/>
      <x:c r="L225" s="14"/>
      <x:c r="M225" s="14" t="str">
        <x:v>Source: Step 24 Requirements Baseline PDF p.201. Conditional future requirement; no committed H4 story. Step 25 story mapping populated from Product Backlog traceability; H3 AIR mapping refined in Step 30 where applicable.</x:v>
      </x:c>
    </x:row>
    <x:row r="226">
      <x:c r="A226" s="14" t="str">
        <x:v>AIR-013</x:v>
      </x:c>
      <x:c r="B226" s="14" t="str">
        <x:v>AI-Specific Requirement</x:v>
      </x:c>
      <x:c r="C226" s="14" t="str">
        <x:v>Material AI interactions shall retain sufficient traceability to identify the AI use case, relevant source context, generated output and human review outcome where applicable.</x:v>
      </x:c>
      <x:c r="D226" s="14" t="str">
        <x:v>H3</x:v>
      </x:c>
      <x:c r="E226" s="14" t="str">
        <x:v>US-061, US-062, US-064, US-065</x:v>
      </x:c>
      <x:c r="F226" s="14" t="str">
        <x:v>AI Prototype Evaluation</x:v>
      </x:c>
      <x:c r="G226" s="14" t="str">
        <x:v>UAT-17, UAT-18, UAT-19, UAT-20</x:v>
      </x:c>
      <x:c r="H226" s="14" t="str">
        <x:v>Must when AI used</x:v>
      </x:c>
      <x:c r="I226" s="14" t="str">
        <x:v>Mapped</x:v>
      </x:c>
      <x:c r="J226" s="14" t="str">
        <x:v>Prototype Evaluated - Step 28</x:v>
      </x:c>
      <x:c r="K226" s="14" t="str">
        <x:v>Step 28 controlled synthetic AI prototype evaluation (screenshots 170-176)</x:v>
      </x:c>
      <x:c r="L226" s="14"/>
      <x:c r="M226" s="14" t="str">
        <x:v>Source: Step 24 Requirements Baseline PDF p.202. H3 AI story mapping uses the established controlled-pilot backlog. Step 25 story mapping populated from Product Backlog traceability; H3 AIR mapping refined in Step 30 where applicable.</x:v>
      </x:c>
    </x:row>
    <x:row r="227">
      <x:c r="A227" s="14" t="str">
        <x:v>AIR-014</x:v>
      </x:c>
      <x:c r="B227" s="14" t="str">
        <x:v>AI-Specific Requirement</x:v>
      </x:c>
      <x:c r="C227" s="14" t="str">
        <x:v>AI interactions should support identification of the relevant model/service version or configuration where later required for evaluation, investigation or change control.</x:v>
      </x:c>
      <x:c r="D227" s="14" t="str">
        <x:v>H3</x:v>
      </x:c>
      <x:c r="E227" s="14" t="str">
        <x:v>US-063, US-066</x:v>
      </x:c>
      <x:c r="F227" s="14" t="str">
        <x:v>AI Prototype Evaluation</x:v>
      </x:c>
      <x:c r="G227" s="14"/>
      <x:c r="H227" s="14" t="str">
        <x:v>Should when AI used</x:v>
      </x:c>
      <x:c r="I227" s="14" t="str">
        <x:v>Mapped</x:v>
      </x:c>
      <x:c r="J227" s="14" t="str">
        <x:v>Prototype Evaluated - Step 28</x:v>
      </x:c>
      <x:c r="K227" s="14" t="str">
        <x:v>Step 28 controlled synthetic AI prototype evaluation (screenshots 170-176)</x:v>
      </x:c>
      <x:c r="L227" s="14"/>
      <x:c r="M227" s="14" t="str">
        <x:v>Source: Step 24 Requirements Baseline PDF p.202. H3 AI story mapping uses the established controlled-pilot backlog. Step 25 story mapping populated from Product Backlog traceability; H3 AIR mapping refined in Step 30 where applicable.</x:v>
      </x:c>
    </x:row>
    <x:row r="228">
      <x:c r="A228" s="14" t="str">
        <x:v>AIR-015</x:v>
      </x:c>
      <x:c r="B228" s="14" t="str">
        <x:v>AI-Specific Requirement</x:v>
      </x:c>
      <x:c r="C228" s="14" t="str">
        <x:v>AI-generated customer communication used in sensitive or bespoke circumstances shall remain subject to the appropriate human-review requirement before external use.</x:v>
      </x:c>
      <x:c r="D228" s="14" t="str">
        <x:v>H3</x:v>
      </x:c>
      <x:c r="E228" s="14" t="str">
        <x:v>US-061–066</x:v>
      </x:c>
      <x:c r="F228" s="14" t="str">
        <x:v>AI Prototype Evaluation</x:v>
      </x:c>
      <x:c r="G228" s="14"/>
      <x:c r="H228" s="14" t="str">
        <x:v>Must when AI used</x:v>
      </x:c>
      <x:c r="I228" s="14" t="str">
        <x:v>Mapped</x:v>
      </x:c>
      <x:c r="J228" s="14" t="str">
        <x:v>Prototype Evaluated - Step 28</x:v>
      </x:c>
      <x:c r="K228" s="14" t="str">
        <x:v>Step 28 controlled synthetic AI prototype evaluation (screenshots 170-176)</x:v>
      </x:c>
      <x:c r="L228" s="14"/>
      <x:c r="M228" s="14" t="str">
        <x:v>Source: Step 24 Requirements Baseline PDF p.202. H3 AI story mapping uses the established controlled-pilot backlog.</x:v>
      </x:c>
    </x:row>
    <x:row r="229">
      <x:c r="A229" s="14" t="str">
        <x:v>AIR-016</x:v>
      </x:c>
      <x:c r="B229" s="14" t="str">
        <x:v>AI-Specific Requirement</x:v>
      </x:c>
      <x:c r="C229" s="14" t="str">
        <x:v>An AI use case shall support evaluation and a defined continue, modify or stop decision based on evidence of value, error, omission, human-review burden, control impact and operational risk.</x:v>
      </x:c>
      <x:c r="D229" s="14" t="str">
        <x:v>H3</x:v>
      </x:c>
      <x:c r="E229" s="14" t="str">
        <x:v>US-063, US-066</x:v>
      </x:c>
      <x:c r="F229" s="14" t="str">
        <x:v>AI Prototype Evaluation</x:v>
      </x:c>
      <x:c r="G229" s="14" t="str">
        <x:v>UAT-17, UAT-18, UAT-19, UAT-20</x:v>
      </x:c>
      <x:c r="H229" s="14" t="str">
        <x:v>Must when AI used</x:v>
      </x:c>
      <x:c r="I229" s="14" t="str">
        <x:v>Mapped</x:v>
      </x:c>
      <x:c r="J229" s="14" t="str">
        <x:v>Prototype Evaluated - Step 28</x:v>
      </x:c>
      <x:c r="K229" s="14" t="str">
        <x:v>Step 28 controlled synthetic AI prototype evaluation (screenshots 170-176)</x:v>
      </x:c>
      <x:c r="L229" s="14"/>
      <x:c r="M229" s="14" t="str">
        <x:v>Source: Step 24 Requirements Baseline PDF p.203. H3 AI story mapping uses the established controlled-pilot backlog. Step 25 story mapping populated from Product Backlog traceability; H3 AIR mapping refined in Step 30 where applicable.</x:v>
      </x:c>
    </x:row>
  </x:sheetData>
  <x:mergeCells>
    <x:mergeCell ref="O1:Q1"/>
    <x:mergeCell ref="O2:Q7"/>
  </x:mergeCells>
  <x:conditionalFormatting sqref="I2:I229">
    <x:cfRule type="expression" dxfId="8" priority="1">
      <x:formula>I2="Mapped"</x:formula>
    </x:cfRule>
    <x:cfRule type="expression" dxfId="9" priority="2">
      <x:formula>I2="Gap"</x:formula>
    </x:cfRule>
    <x:cfRule type="expression" dxfId="10" priority="3">
      <x:formula>I2="Future / Conditional"</x:formula>
    </x:cfRule>
    <x:cfRule type="expression" dxfId="11" priority="4">
      <x:formula>I2="Not Applicable to UAT"</x:formula>
    </x:cfRule>
  </x:conditionalFormatting>
  <x:conditionalFormatting sqref="J2:J229">
    <x:cfRule type="expression" dxfId="12" priority="5">
      <x:formula>J2="Prototype Evaluated - Step 28"</x:formula>
    </x:cfRule>
    <x:cfRule type="expression" dxfId="13" priority="6">
      <x:formula>J2="Designed - Not Executed"</x:formula>
    </x:cfRule>
    <x:cfRule type="expression" dxfId="14" priority="7">
      <x:formula>J2="Future"</x:formula>
    </x:cfRule>
  </x:conditionalFormatting>
  <x:dataValidations count="5">
    <x:dataValidation type="list" sqref="D2:D229">
      <x:formula1>"H1,H2,H3,H4"</x:formula1>
    </x:dataValidation>
    <x:dataValidation type="list" sqref="F2:F229">
      <x:formula1>"UAT,System Test,Integration Test,Security / Privacy Assurance,Accessibility / UX Validation,AI Prototype Evaluation,Operational Readiness,Future / Conditional"</x:formula1>
    </x:dataValidation>
    <x:dataValidation type="list" sqref="H2:H229">
      <x:formula1>"Must,Should,Could,Won't for current scope,Must when AI used,Should when AI used"</x:formula1>
    </x:dataValidation>
    <x:dataValidation type="list" sqref="I2:I229">
      <x:formula1>"Mapped,Gap,Not Applicable to UAT,Future / Conditional"</x:formula1>
    </x:dataValidation>
    <x:dataValidation type="list" sqref="J2:J229">
      <x:formula1>"Designed - Not Executed,Prototype Evaluated - Step 28,Not Applicable,Future"</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18" hidden="0" customWidth="1"/>
    <x:col min="5" max="5" width="12" hidden="0" customWidth="1"/>
    <x:col min="6" max="6" width="34" hidden="0" customWidth="1"/>
    <x:col min="7" max="7" width="34" hidden="0" customWidth="1"/>
    <x:col min="8" max="8" width="38" hidden="0" customWidth="1"/>
    <x:col min="9" max="9" width="42" hidden="0" customWidth="1"/>
    <x:col min="10" max="10" width="24" hidden="0" customWidth="1"/>
    <x:col min="11" max="11" width="28" hidden="0" customWidth="1"/>
    <x:col min="12" max="12" width="34" hidden="0" customWidth="1"/>
    <x:col min="13" max="13" width="16" hidden="0" customWidth="1"/>
    <x:col min="14" max="14" width="16" hidden="0" customWidth="1"/>
    <x:col min="15" max="15" width="16" hidden="0" customWidth="1"/>
    <x:col min="16" max="16" width="34" hidden="0" customWidth="1"/>
  </x:cols>
  <x:sheetData>
    <x:row r="1" ht="34" customHeight="1">
      <x:c r="A1" s="6" t="str">
        <x:v>Test Case ID</x:v>
      </x:c>
      <x:c r="B1" s="6" t="str">
        <x:v>Test Case Title</x:v>
      </x:c>
      <x:c r="C1" s="6" t="str">
        <x:v>Requirement IDs</x:v>
      </x:c>
      <x:c r="D1" s="6" t="str">
        <x:v>Story IDs</x:v>
      </x:c>
      <x:c r="E1" s="6" t="str">
        <x:v>Priority</x:v>
      </x:c>
      <x:c r="F1" s="6" t="str">
        <x:v>Preconditions</x:v>
      </x:c>
      <x:c r="G1" s="6" t="str">
        <x:v>Synthetic Test Data</x:v>
      </x:c>
      <x:c r="H1" s="6" t="str">
        <x:v>Test Steps</x:v>
      </x:c>
      <x:c r="I1" s="6" t="str">
        <x:v>Expected Result</x:v>
      </x:c>
      <x:c r="J1" s="6" t="str">
        <x:v>Actual Result</x:v>
      </x:c>
      <x:c r="K1" s="6" t="str">
        <x:v>Execution Status</x:v>
      </x:c>
      <x:c r="L1" s="6" t="str">
        <x:v>Evidence Reference</x:v>
      </x:c>
      <x:c r="M1" s="6" t="str">
        <x:v>Defect ID</x:v>
      </x:c>
      <x:c r="N1" s="6" t="str">
        <x:v>Reviewer</x:v>
      </x:c>
      <x:c r="O1" s="6" t="str">
        <x:v>Execution Date</x:v>
      </x:c>
      <x:c r="P1" s="6" t="str">
        <x:v>Notes</x:v>
      </x:c>
    </x:row>
    <x:row r="2">
      <x:c r="A2" s="14" t="str">
        <x:v>UAT-01</x:v>
      </x:c>
      <x:c r="B2" s="14" t="str">
        <x:v>Create new dispute</x:v>
      </x:c>
      <x:c r="C2" s="14" t="str">
        <x:v>BR-001, UR-CUS-002, FR-003, DR-001, DR-003</x:v>
      </x:c>
      <x:c r="D2" s="14" t="str">
        <x:v>US-001, US-003</x:v>
      </x:c>
      <x:c r="E2" s="14" t="str">
        <x:v>High</x:v>
      </x:c>
      <x:c r="F2" s="14" t="str">
        <x:v>Authorised user and valid synthetic dispute data</x:v>
      </x:c>
      <x:c r="G2" s="14" t="str">
        <x:v>Controlled synthetic PayFix test data only</x:v>
      </x:c>
      <x:c r="H2" s="14" t="str">
        <x:v>Open intake → enter required data → submit</x:v>
      </x:c>
      <x:c r="I2" s="14" t="str">
        <x:v>Unique dispute created with valid initial state and auditable creation event</x:v>
      </x:c>
      <x:c r="J2" s="14" t="str"/>
      <x:c r="K2" s="14" t="str">
        <x:v>Designed - Not Executed</x:v>
      </x:c>
      <x:c r="L2" s="14" t="str"/>
      <x:c r="M2" s="14" t="str"/>
      <x:c r="N2" s="14" t="str"/>
      <x:c r="O2" s="14" t="str"/>
      <x:c r="P2" s="14" t="str">
        <x:v>Story mapping completed from Step 25 Product Backlog traceability.</x:v>
      </x:c>
    </x:row>
    <x:row r="3">
      <x:c r="A3" s="14" t="str">
        <x:v>UAT-02</x:v>
      </x:c>
      <x:c r="B3" s="14" t="str">
        <x:v>Request missing evidence</x:v>
      </x:c>
      <x:c r="C3" s="14" t="str">
        <x:v>BR-005, BR-008, UR-CUS-001, UR-CUS-004, FR-008, FR-010, FR-011, DR-015, DR-016, DR-017, UXR-008, UXR-009, UXR-012, UXR-013</x:v>
      </x:c>
      <x:c r="D3" s="14" t="str">
        <x:v>US-007</x:v>
      </x:c>
      <x:c r="E3" s="14" t="str">
        <x:v>High</x:v>
      </x:c>
      <x:c r="F3" s="14" t="str">
        <x:v>Active case with missing evidence</x:v>
      </x:c>
      <x:c r="G3" s="14" t="str">
        <x:v>Controlled synthetic PayFix test data only</x:v>
      </x:c>
      <x:c r="H3" s="14" t="str">
        <x:v>Open case → create evidence request → send</x:v>
      </x:c>
      <x:c r="I3" s="14" t="str">
        <x:v>Outstanding evidence request remains visible</x:v>
      </x:c>
      <x:c r="J3" s="14" t="str"/>
      <x:c r="K3" s="14" t="str">
        <x:v>Designed - Not Executed</x:v>
      </x:c>
      <x:c r="L3" s="14" t="str"/>
      <x:c r="M3" s="14" t="str"/>
      <x:c r="N3" s="14" t="str"/>
      <x:c r="O3" s="14" t="str"/>
      <x:c r="P3" s="14" t="str">
        <x:v>Story mapping completed from Step 25 Product Backlog traceability.</x:v>
      </x:c>
    </x:row>
    <x:row r="4">
      <x:c r="A4" s="14" t="str">
        <x:v>UAT-03</x:v>
      </x:c>
      <x:c r="B4" s="14" t="str">
        <x:v>Receive requested evidence</x:v>
      </x:c>
      <x:c r="C4" s="14" t="str">
        <x:v>BR-005, BR-010, BR-011, FR-011, FR-024, DR-011, DR-012, DR-013, DR-015, DR-016, DR-017</x:v>
      </x:c>
      <x:c r="D4" s="14" t="str">
        <x:v>US-007, US-020</x:v>
      </x:c>
      <x:c r="E4" s="14" t="str">
        <x:v>High</x:v>
      </x:c>
      <x:c r="F4" s="14" t="str">
        <x:v>Open evidence request</x:v>
      </x:c>
      <x:c r="G4" s="14" t="str">
        <x:v>Controlled synthetic PayFix test data only</x:v>
      </x:c>
      <x:c r="H4" s="14" t="str">
        <x:v>Receive evidence → associate to correct request/case → save</x:v>
      </x:c>
      <x:c r="I4" s="14" t="str">
        <x:v>Evidence attaches only to correct case and request</x:v>
      </x:c>
      <x:c r="J4" s="14" t="str"/>
      <x:c r="K4" s="14" t="str">
        <x:v>Designed - Not Executed</x:v>
      </x:c>
      <x:c r="L4" s="14" t="str"/>
      <x:c r="M4" s="14" t="str"/>
      <x:c r="N4" s="14" t="str"/>
      <x:c r="O4" s="14" t="str"/>
      <x:c r="P4" s="14" t="str">
        <x:v>Story mapping completed from Step 25 Product Backlog traceability.</x:v>
      </x:c>
    </x:row>
    <x:row r="5">
      <x:c r="A5" s="14" t="str">
        <x:v>UAT-04</x:v>
      </x:c>
      <x:c r="B5" s="14" t="str">
        <x:v>Transfer queue ownership</x:v>
      </x:c>
      <x:c r="C5" s="14" t="str">
        <x:v>BR-004, BR-010, BR-011, FR-018, FR-019, DR-024, DR-025, UXR-029, UXR-030</x:v>
      </x:c>
      <x:c r="D5" s="14" t="str">
        <x:v>US-015</x:v>
      </x:c>
      <x:c r="E5" s="14" t="str">
        <x:v>High</x:v>
      </x:c>
      <x:c r="F5" s="14" t="str">
        <x:v>Current owner and valid destination queue</x:v>
      </x:c>
      <x:c r="G5" s="14" t="str">
        <x:v>Controlled synthetic PayFix test data only</x:v>
      </x:c>
      <x:c r="H5" s="14" t="str">
        <x:v>Initiate transfer → destination accepts/completes</x:v>
      </x:c>
      <x:c r="I5" s="14" t="str">
        <x:v>Current ownership changes only after valid completed transfer</x:v>
      </x:c>
      <x:c r="J5" s="14" t="str"/>
      <x:c r="K5" s="14" t="str">
        <x:v>Designed - Not Executed</x:v>
      </x:c>
      <x:c r="L5" s="14" t="str"/>
      <x:c r="M5" s="14" t="str"/>
      <x:c r="N5" s="14" t="str"/>
      <x:c r="O5" s="14" t="str"/>
      <x:c r="P5" s="14" t="str">
        <x:v>Story mapping completed from Step 25 Product Backlog traceability.</x:v>
      </x:c>
    </x:row>
    <x:row r="6">
      <x:c r="A6" s="14" t="str">
        <x:v>UAT-05</x:v>
      </x:c>
      <x:c r="B6" s="14" t="str">
        <x:v>Create specialist referral</x:v>
      </x:c>
      <x:c r="C6" s="14" t="str">
        <x:v>BR-006, BR-010, BR-011, FR-027, DR-026, DR-027, UXR-029, UXR-030, CR-008, CR-012</x:v>
      </x:c>
      <x:c r="D6" s="14" t="str">
        <x:v>US-023</x:v>
      </x:c>
      <x:c r="E6" s="14" t="str">
        <x:v>High</x:v>
      </x:c>
      <x:c r="F6" s="14" t="str">
        <x:v>Specialist review required</x:v>
      </x:c>
      <x:c r="G6" s="14" t="str">
        <x:v>Controlled synthetic PayFix test data only</x:v>
      </x:c>
      <x:c r="H6" s="14" t="str">
        <x:v>Create referral → submit</x:v>
      </x:c>
      <x:c r="I6" s="14" t="str">
        <x:v>Referral exists without falsely changing ownership</x:v>
      </x:c>
      <x:c r="J6" s="14" t="str"/>
      <x:c r="K6" s="14" t="str">
        <x:v>Designed - Not Executed</x:v>
      </x:c>
      <x:c r="L6" s="14" t="str"/>
      <x:c r="M6" s="14" t="str"/>
      <x:c r="N6" s="14" t="str"/>
      <x:c r="O6" s="14" t="str"/>
      <x:c r="P6" s="14" t="str">
        <x:v>Story mapping completed from Step 25 Product Backlog traceability.</x:v>
      </x:c>
    </x:row>
    <x:row r="7">
      <x:c r="A7" s="14" t="str">
        <x:v>UAT-06</x:v>
      </x:c>
      <x:c r="B7" s="14" t="str">
        <x:v>Accept specialist referral</x:v>
      </x:c>
      <x:c r="C7" s="14" t="str">
        <x:v>BR-006, BR-010, BR-011, FR-028, DR-028, DR-029, CR-008, CR-012</x:v>
      </x:c>
      <x:c r="D7" s="14" t="str">
        <x:v>US-024</x:v>
      </x:c>
      <x:c r="E7" s="14" t="str">
        <x:v>High</x:v>
      </x:c>
      <x:c r="F7" s="14" t="str">
        <x:v>Open referral exists</x:v>
      </x:c>
      <x:c r="G7" s="14" t="str">
        <x:v>Controlled synthetic PayFix test data only</x:v>
      </x:c>
      <x:c r="H7" s="14" t="str">
        <x:v>Specialist reviews → accepts</x:v>
      </x:c>
      <x:c r="I7" s="14" t="str">
        <x:v>Acceptance and resulting ownership/state correctly recorded</x:v>
      </x:c>
      <x:c r="J7" s="14" t="str"/>
      <x:c r="K7" s="14" t="str">
        <x:v>Designed - Not Executed</x:v>
      </x:c>
      <x:c r="L7" s="14" t="str"/>
      <x:c r="M7" s="14" t="str"/>
      <x:c r="N7" s="14" t="str"/>
      <x:c r="O7" s="14" t="str"/>
      <x:c r="P7" s="14" t="str">
        <x:v>Story mapping completed from Step 25 Product Backlog traceability.</x:v>
      </x:c>
    </x:row>
    <x:row r="8">
      <x:c r="A8" s="14" t="str">
        <x:v>UAT-07</x:v>
      </x:c>
      <x:c r="B8" s="14" t="str">
        <x:v>Record dispute decision</x:v>
      </x:c>
      <x:c r="C8" s="14" t="str">
        <x:v>BR-007, BR-011, FR-035, DR-032, DR-033, DR-034, CR-001, CR-002, CR-003, CR-004, CR-009</x:v>
      </x:c>
      <x:c r="D8" s="14" t="str">
        <x:v>US-031</x:v>
      </x:c>
      <x:c r="E8" s="14" t="str">
        <x:v>High</x:v>
      </x:c>
      <x:c r="F8" s="14" t="str">
        <x:v>Investigation sufficient</x:v>
      </x:c>
      <x:c r="G8" s="14" t="str">
        <x:v>Controlled synthetic PayFix test data only</x:v>
      </x:c>
      <x:c r="H8" s="14" t="str">
        <x:v>Record decision → save</x:v>
      </x:c>
      <x:c r="I8" s="14" t="str">
        <x:v>Decision remains separate from approval</x:v>
      </x:c>
      <x:c r="J8" s="14" t="str"/>
      <x:c r="K8" s="14" t="str">
        <x:v>Designed - Not Executed</x:v>
      </x:c>
      <x:c r="L8" s="14" t="str"/>
      <x:c r="M8" s="14" t="str"/>
      <x:c r="N8" s="14" t="str"/>
      <x:c r="O8" s="14" t="str"/>
      <x:c r="P8" s="14" t="str">
        <x:v>Story mapping completed from Step 25 Product Backlog traceability.</x:v>
      </x:c>
    </x:row>
    <x:row r="9">
      <x:c r="A9" s="14" t="str">
        <x:v>UAT-08</x:v>
      </x:c>
      <x:c r="B9" s="14" t="str">
        <x:v>Complete approval</x:v>
      </x:c>
      <x:c r="C9" s="14" t="str">
        <x:v>BR-007, BR-011, UR-FIN-001, FR-036, CR-001, CR-002, CR-003, CR-004, CR-009, CR-010</x:v>
      </x:c>
      <x:c r="D9" s="14" t="str">
        <x:v>US-032</x:v>
      </x:c>
      <x:c r="E9" s="14" t="str">
        <x:v>High</x:v>
      </x:c>
      <x:c r="F9" s="14" t="str">
        <x:v>Decision awaiting approval</x:v>
      </x:c>
      <x:c r="G9" s="14" t="str">
        <x:v>Controlled synthetic PayFix test data only</x:v>
      </x:c>
      <x:c r="H9" s="14" t="str">
        <x:v>Authorised approver reviews → approves</x:v>
      </x:c>
      <x:c r="I9" s="14" t="str">
        <x:v>Approval separately recorded and auditable</x:v>
      </x:c>
      <x:c r="J9" s="14" t="str"/>
      <x:c r="K9" s="14" t="str">
        <x:v>Designed - Not Executed</x:v>
      </x:c>
      <x:c r="L9" s="14" t="str"/>
      <x:c r="M9" s="14" t="str"/>
      <x:c r="N9" s="14" t="str"/>
      <x:c r="O9" s="14" t="str"/>
      <x:c r="P9" s="14" t="str">
        <x:v>Story mapping completed from Step 25 Product Backlog traceability.</x:v>
      </x:c>
    </x:row>
    <x:row r="10">
      <x:c r="A10" s="14" t="str">
        <x:v>UAT-09</x:v>
      </x:c>
      <x:c r="B10" s="14" t="str">
        <x:v>Communicate authorised outcome</x:v>
      </x:c>
      <x:c r="C10" s="14" t="str">
        <x:v>BR-008, BR-011, UR-CUS-009, FR-042, DR-036, DR-037, UXR-023, UXR-024, UXR-025, UXR-026, UXR-027, UXR-028</x:v>
      </x:c>
      <x:c r="D10" s="14" t="str">
        <x:v>US-038</x:v>
      </x:c>
      <x:c r="E10" s="14" t="str">
        <x:v>High</x:v>
      </x:c>
      <x:c r="F10" s="14" t="str">
        <x:v>Approved outcome exists</x:v>
      </x:c>
      <x:c r="G10" s="14" t="str">
        <x:v>Controlled synthetic PayFix test data only</x:v>
      </x:c>
      <x:c r="H10" s="14" t="str">
        <x:v>Send/record communication</x:v>
      </x:c>
      <x:c r="I10" s="14" t="str">
        <x:v>Communication recorded without automatically closing case</x:v>
      </x:c>
      <x:c r="J10" s="14" t="str"/>
      <x:c r="K10" s="14" t="str">
        <x:v>Designed - Not Executed</x:v>
      </x:c>
      <x:c r="L10" s="14" t="str"/>
      <x:c r="M10" s="14" t="str"/>
      <x:c r="N10" s="14" t="str"/>
      <x:c r="O10" s="14" t="str"/>
      <x:c r="P10" s="14" t="str">
        <x:v>Story mapping completed from Step 25 Product Backlog traceability.</x:v>
      </x:c>
    </x:row>
    <x:row r="11">
      <x:c r="A11" s="14" t="str">
        <x:v>UAT-10</x:v>
      </x:c>
      <x:c r="B11" s="14" t="str">
        <x:v>Close eligible case</x:v>
      </x:c>
      <x:c r="C11" s="14" t="str">
        <x:v>BR-011, BR-014, FR-047, DR-038, CR-011, CR-012</x:v>
      </x:c>
      <x:c r="D11" s="14" t="str">
        <x:v>US-043</x:v>
      </x:c>
      <x:c r="E11" s="14" t="str">
        <x:v>High</x:v>
      </x:c>
      <x:c r="F11" s="14" t="str">
        <x:v>Closure conditions satisfied</x:v>
      </x:c>
      <x:c r="G11" s="14" t="str">
        <x:v>Controlled synthetic PayFix test data only</x:v>
      </x:c>
      <x:c r="H11" s="14" t="str">
        <x:v>Attempt closure → confirm</x:v>
      </x:c>
      <x:c r="I11" s="14" t="str">
        <x:v>Closure succeeds only when required controls are satisfied</x:v>
      </x:c>
      <x:c r="J11" s="14" t="str"/>
      <x:c r="K11" s="14" t="str">
        <x:v>Designed - Not Executed</x:v>
      </x:c>
      <x:c r="L11" s="14" t="str"/>
      <x:c r="M11" s="14" t="str"/>
      <x:c r="N11" s="14" t="str"/>
      <x:c r="O11" s="14" t="str"/>
      <x:c r="P11" s="14" t="str">
        <x:v>Story mapping completed from Step 25 Product Backlog traceability.</x:v>
      </x:c>
    </x:row>
    <x:row r="12">
      <x:c r="A12" s="14" t="str">
        <x:v>UAT-11</x:v>
      </x:c>
      <x:c r="B12" s="14" t="str">
        <x:v>Complaint/dispute separation</x:v>
      </x:c>
      <x:c r="C12" s="14" t="str">
        <x:v>BR-011, BR-013, UR-COM-001, FR-044, FR-045</x:v>
      </x:c>
      <x:c r="D12" s="14" t="str">
        <x:v>US-040, US-041</x:v>
      </x:c>
      <x:c r="E12" s="14" t="str">
        <x:v>High</x:v>
      </x:c>
      <x:c r="F12" s="14" t="str">
        <x:v>Linked complaint and dispute exist</x:v>
      </x:c>
      <x:c r="G12" s="14" t="str">
        <x:v>Controlled synthetic PayFix test data only</x:v>
      </x:c>
      <x:c r="H12" s="14" t="str">
        <x:v>Update dispute → inspect/update complaint</x:v>
      </x:c>
      <x:c r="I12" s="14" t="str">
        <x:v>Lifecycles remain independently traceable</x:v>
      </x:c>
      <x:c r="J12" s="14" t="str"/>
      <x:c r="K12" s="14" t="str">
        <x:v>Designed - Not Executed</x:v>
      </x:c>
      <x:c r="L12" s="14" t="str"/>
      <x:c r="M12" s="14" t="str"/>
      <x:c r="N12" s="14" t="str"/>
      <x:c r="O12" s="14" t="str"/>
      <x:c r="P12" s="14" t="str">
        <x:v>Story mapping completed from Step 25 Product Backlog traceability.</x:v>
      </x:c>
    </x:row>
    <x:row r="13">
      <x:c r="A13" s="14" t="str">
        <x:v>UAT-12</x:v>
      </x:c>
      <x:c r="B13" s="14" t="str">
        <x:v>Conflicting information</x:v>
      </x:c>
      <x:c r="C13" s="14" t="str">
        <x:v>BR-003, BR-012, FR-009, FR-013, DR-014, DR-015, DR-043, CR-006, CR-007, CR-008, CR-012</x:v>
      </x:c>
      <x:c r="D13" s="14" t="str">
        <x:v>US-049</x:v>
      </x:c>
      <x:c r="E13" s="14" t="str">
        <x:v>High</x:v>
      </x:c>
      <x:c r="F13" s="14" t="str">
        <x:v>Synthetic conflicting records</x:v>
      </x:c>
      <x:c r="G13" s="14" t="str">
        <x:v>Controlled synthetic PayFix test data only</x:v>
      </x:c>
      <x:c r="H13" s="14" t="str">
        <x:v>Open case → inspect evidence</x:v>
      </x:c>
      <x:c r="I13" s="14" t="str">
        <x:v>Conflict remains visible for human resolution</x:v>
      </x:c>
      <x:c r="J13" s="14" t="str"/>
      <x:c r="K13" s="14" t="str">
        <x:v>Designed - Not Executed</x:v>
      </x:c>
      <x:c r="L13" s="14" t="str"/>
      <x:c r="M13" s="14" t="str"/>
      <x:c r="N13" s="14" t="str"/>
      <x:c r="O13" s="14" t="str"/>
      <x:c r="P13" s="14" t="str">
        <x:v>Story mapping completed from Step 25 Product Backlog traceability.</x:v>
      </x:c>
    </x:row>
    <x:row r="14">
      <x:c r="A14" s="14" t="str">
        <x:v>UAT-13</x:v>
      </x:c>
      <x:c r="B14" s="14" t="str">
        <x:v>Missing current ownership</x:v>
      </x:c>
      <x:c r="C14" s="14" t="str">
        <x:v>BR-004, BR-010, FR-017, DR-021, DR-022, CR-008, NFR-013</x:v>
      </x:c>
      <x:c r="D14" s="14" t="str">
        <x:v>US-014, US-046</x:v>
      </x:c>
      <x:c r="E14" s="14" t="str">
        <x:v>High</x:v>
      </x:c>
      <x:c r="F14" s="14" t="str">
        <x:v>No valid owner record</x:v>
      </x:c>
      <x:c r="G14" s="14" t="str">
        <x:v>Controlled synthetic PayFix test data only</x:v>
      </x:c>
      <x:c r="H14" s="14" t="str">
        <x:v>Open case → inspect ownership</x:v>
      </x:c>
      <x:c r="I14" s="14" t="str">
        <x:v>System does not invent current owner</x:v>
      </x:c>
      <x:c r="J14" s="14" t="str"/>
      <x:c r="K14" s="14" t="str">
        <x:v>Designed - Not Executed</x:v>
      </x:c>
      <x:c r="L14" s="14" t="str"/>
      <x:c r="M14" s="14" t="str"/>
      <x:c r="N14" s="14" t="str"/>
      <x:c r="O14" s="14" t="str"/>
      <x:c r="P14" s="14" t="str">
        <x:v>Story mapping completed from Step 25 Product Backlog traceability.</x:v>
      </x:c>
    </x:row>
    <x:row r="15">
      <x:c r="A15" s="14" t="str">
        <x:v>UAT-14</x:v>
      </x:c>
      <x:c r="B15" s="14" t="str">
        <x:v>Prevent wrong-case association</x:v>
      </x:c>
      <x:c r="C15" s="14" t="str">
        <x:v>DR-006, DR-011, DR-012, DR-013, CR-017, NFR-019</x:v>
      </x:c>
      <x:c r="D15" s="14" t="str">
        <x:v>US-018, US-045</x:v>
      </x:c>
      <x:c r="E15" s="14" t="str">
        <x:v>Critical</x:v>
      </x:c>
      <x:c r="F15" s="14" t="str">
        <x:v>Two synthetic cases exist</x:v>
      </x:c>
      <x:c r="G15" s="14" t="str">
        <x:v>Controlled synthetic PayFix test data only</x:v>
      </x:c>
      <x:c r="H15" s="14" t="str">
        <x:v>Attempt linking Case B evidence to Case A</x:v>
      </x:c>
      <x:c r="I15" s="14" t="str">
        <x:v>Cross-case contamination prevented</x:v>
      </x:c>
      <x:c r="J15" s="14" t="str"/>
      <x:c r="K15" s="14" t="str">
        <x:v>Designed - Not Executed</x:v>
      </x:c>
      <x:c r="L15" s="14" t="str"/>
      <x:c r="M15" s="14" t="str"/>
      <x:c r="N15" s="14" t="str"/>
      <x:c r="O15" s="14" t="str"/>
      <x:c r="P15" s="14" t="str">
        <x:v>Story mapping completed from Step 25 Product Backlog traceability.</x:v>
      </x:c>
    </x:row>
    <x:row r="16">
      <x:c r="A16" s="14" t="str">
        <x:v>UAT-15</x:v>
      </x:c>
      <x:c r="B16" s="14" t="str">
        <x:v>Prevent unauthorised action</x:v>
      </x:c>
      <x:c r="C16" s="14" t="str">
        <x:v>BR-007, CR-001, CR-002, CR-003, CR-004, CR-017, NFR-001, NFR-002</x:v>
      </x:c>
      <x:c r="D16" s="14" t="str">
        <x:v>US-032, US-052</x:v>
      </x:c>
      <x:c r="E16" s="14" t="str">
        <x:v>Critical</x:v>
      </x:c>
      <x:c r="F16" s="14" t="str">
        <x:v>User lacks required authority</x:v>
      </x:c>
      <x:c r="G16" s="14" t="str">
        <x:v>Controlled synthetic PayFix test data only</x:v>
      </x:c>
      <x:c r="H16" s="14" t="str">
        <x:v>Attempt restricted refund/approval/decision</x:v>
      </x:c>
      <x:c r="I16" s="14" t="str">
        <x:v>Action prevented and attempt appropriately auditable</x:v>
      </x:c>
      <x:c r="J16" s="14" t="str"/>
      <x:c r="K16" s="14" t="str">
        <x:v>Designed - Not Executed</x:v>
      </x:c>
      <x:c r="L16" s="14" t="str"/>
      <x:c r="M16" s="14" t="str"/>
      <x:c r="N16" s="14" t="str"/>
      <x:c r="O16" s="14" t="str"/>
      <x:c r="P16" s="14" t="str">
        <x:v>Story mapping completed from Step 25 Product Backlog traceability.</x:v>
      </x:c>
    </x:row>
    <x:row r="17">
      <x:c r="A17" s="14" t="str">
        <x:v>UAT-16</x:v>
      </x:c>
      <x:c r="B17" s="14" t="str">
        <x:v>Automation unavailable</x:v>
      </x:c>
      <x:c r="C17" s="14" t="str">
        <x:v>BR-012, BR-015, FR-049, DR-042, CR-014, NFR-008, NFR-016</x:v>
      </x:c>
      <x:c r="D17" s="14" t="str">
        <x:v>US-054, US-055</x:v>
      </x:c>
      <x:c r="E17" s="14" t="str">
        <x:v>High</x:v>
      </x:c>
      <x:c r="F17" s="14" t="str">
        <x:v>Automation intentionally unavailable</x:v>
      </x:c>
      <x:c r="G17" s="14" t="str">
        <x:v>Controlled synthetic PayFix test data only</x:v>
      </x:c>
      <x:c r="H17" s="14" t="str">
        <x:v>Continue supported journey via fallback</x:v>
      </x:c>
      <x:c r="I17" s="14" t="str">
        <x:v>Core supported process continues without failed automation</x:v>
      </x:c>
      <x:c r="J17" s="14" t="str"/>
      <x:c r="K17" s="14" t="str">
        <x:v>Designed - Not Executed</x:v>
      </x:c>
      <x:c r="L17" s="14" t="str"/>
      <x:c r="M17" s="14" t="str"/>
      <x:c r="N17" s="14" t="str"/>
      <x:c r="O17" s="14" t="str"/>
      <x:c r="P17" s="14" t="str">
        <x:v>Story mapping completed from Step 25 Product Backlog traceability.</x:v>
      </x:c>
    </x:row>
    <x:row r="18">
      <x:c r="A18" s="14" t="str">
        <x:v>UAT-17</x:v>
      </x:c>
      <x:c r="B18" s="14" t="str">
        <x:v>Generate Evidence Summary</x:v>
      </x:c>
      <x:c r="C18" s="14" t="str">
        <x:v>DR-048, DR-049, UXR-031, UXR-035, AIR-001, AIR-003, AIR-004, AIR-005, AIR-006, AIR-013, AIR-016</x:v>
      </x:c>
      <x:c r="D18" s="14" t="str">
        <x:v>US-061</x:v>
      </x:c>
      <x:c r="E18" s="14" t="str">
        <x:v>Medium</x:v>
      </x:c>
      <x:c r="F18" s="14" t="str">
        <x:v>Authorised synthetic evidence context</x:v>
      </x:c>
      <x:c r="G18" s="14" t="str">
        <x:v>Step 28 controlled synthetic AI evaluation data</x:v>
      </x:c>
      <x:c r="H18" s="14" t="str">
        <x:v>Generate summary → inspect</x:v>
      </x:c>
      <x:c r="I18" s="14" t="str">
        <x:v>Grounded draft produced, uncertainty preserved, no authoritative state changed</x:v>
      </x:c>
      <x:c r="J18" s="14" t="str"/>
      <x:c r="K18" s="14" t="str">
        <x:v>Prototype Evaluated - Step 28</x:v>
      </x:c>
      <x:c r="L18" s="14" t="str">
        <x:v>Step 28 prototype evaluation evidence (screenshots 170-176)</x:v>
      </x:c>
      <x:c r="M18" s="14" t="str"/>
      <x:c r="N18" s="14" t="str"/>
      <x:c r="O18" s="14" t="str"/>
      <x:c r="P18" s="14" t="str">
        <x:v>Supporting prototype evidence only; not full-service UAT. Story mapping completed from Step 25 Product Backlog traceability.</x:v>
      </x:c>
    </x:row>
    <x:row r="19">
      <x:c r="A19" s="14" t="str">
        <x:v>UAT-18</x:v>
      </x:c>
      <x:c r="B19" s="14" t="str">
        <x:v>Human review Evidence Summary</x:v>
      </x:c>
      <x:c r="C19" s="14" t="str">
        <x:v>DR-049, UXR-036, AIR-006, AIR-007, AIR-008, AIR-013, AIR-016</x:v>
      </x:c>
      <x:c r="D19" s="14" t="str">
        <x:v>US-062, US-063</x:v>
      </x:c>
      <x:c r="E19" s="14" t="str">
        <x:v>High</x:v>
      </x:c>
      <x:c r="F19" s="14" t="str">
        <x:v>AI Evidence Summary exists</x:v>
      </x:c>
      <x:c r="G19" s="14" t="str">
        <x:v>Step 28 controlled synthetic AI evaluation data</x:v>
      </x:c>
      <x:c r="H19" s="14" t="str">
        <x:v>Accept / Correct / Reject / Disregard</x:v>
      </x:c>
      <x:c r="I19" s="14" t="str">
        <x:v>Human decision captured; AI cannot bypass review</x:v>
      </x:c>
      <x:c r="J19" s="14" t="str"/>
      <x:c r="K19" s="14" t="str">
        <x:v>Prototype Evaluated - Step 28</x:v>
      </x:c>
      <x:c r="L19" s="14" t="str">
        <x:v>Step 28 prototype evaluation evidence (screenshots 170-176)</x:v>
      </x:c>
      <x:c r="M19" s="14" t="str"/>
      <x:c r="N19" s="14" t="str"/>
      <x:c r="O19" s="14" t="str"/>
      <x:c r="P19" s="14" t="str">
        <x:v>Supporting prototype evidence only; not full-service UAT. Story mapping completed from Step 25 Product Backlog traceability.</x:v>
      </x:c>
    </x:row>
    <x:row r="20">
      <x:c r="A20" s="14" t="str">
        <x:v>UAT-19</x:v>
      </x:c>
      <x:c r="B20" s="14" t="str">
        <x:v>Generate Handoff Summary</x:v>
      </x:c>
      <x:c r="C20" s="14" t="str">
        <x:v>DR-048, DR-049, UXR-031, UXR-035, AIR-001, AIR-003, AIR-004, AIR-005, AIR-006, AIR-013, AIR-016</x:v>
      </x:c>
      <x:c r="D20" s="14" t="str">
        <x:v>US-064, US-065</x:v>
      </x:c>
      <x:c r="E20" s="14" t="str">
        <x:v>Medium</x:v>
      </x:c>
      <x:c r="F20" s="14" t="str">
        <x:v>Valid handoff context</x:v>
      </x:c>
      <x:c r="G20" s="14" t="str">
        <x:v>Step 28 controlled synthetic AI evaluation data</x:v>
      </x:c>
      <x:c r="H20" s="14" t="str">
        <x:v>Generate summary → inspect owner/state/work</x:v>
      </x:c>
      <x:c r="I20" s="14" t="str">
        <x:v>Ownership, lifecycle and outstanding work preserved</x:v>
      </x:c>
      <x:c r="J20" s="14" t="str"/>
      <x:c r="K20" s="14" t="str">
        <x:v>Prototype Evaluated - Step 28</x:v>
      </x:c>
      <x:c r="L20" s="14" t="str">
        <x:v>Step 28 prototype evaluation evidence (screenshots 170-176)</x:v>
      </x:c>
      <x:c r="M20" s="14" t="str"/>
      <x:c r="N20" s="14" t="str"/>
      <x:c r="O20" s="14" t="str"/>
      <x:c r="P20" s="14" t="str">
        <x:v>Supporting prototype evidence only; not full-service UAT. Story mapping completed from Step 25 Product Backlog traceability.</x:v>
      </x:c>
    </x:row>
    <x:row r="21">
      <x:c r="A21" s="14" t="str">
        <x:v>UAT-20</x:v>
      </x:c>
      <x:c r="B21" s="14" t="str">
        <x:v>AI unavailable/unusable</x:v>
      </x:c>
      <x:c r="C21" s="14" t="str">
        <x:v>FR-050, DR-049, NFR-009, AIR-002, AIR-008, AIR-013, AIR-016</x:v>
      </x:c>
      <x:c r="D21" s="14" t="str">
        <x:v>US-063, US-066</x:v>
      </x:c>
      <x:c r="E21" s="14" t="str">
        <x:v>High</x:v>
      </x:c>
      <x:c r="F21" s="14" t="str">
        <x:v>Timeout/unusable-output condition</x:v>
      </x:c>
      <x:c r="G21" s="14" t="str">
        <x:v>Step 28 controlled synthetic AI evaluation data</x:v>
      </x:c>
      <x:c r="H21" s="14" t="str">
        <x:v>Trigger AI → observe failure → continue workflow</x:v>
      </x:c>
      <x:c r="I21" s="14" t="str">
        <x:v>AI output not relied upon; authoritative workflow remains available</x:v>
      </x:c>
      <x:c r="J21" s="14" t="str"/>
      <x:c r="K21" s="14" t="str">
        <x:v>Prototype Evaluated - Step 28</x:v>
      </x:c>
      <x:c r="L21" s="14" t="str">
        <x:v>Step 28 prototype evaluation evidence (screenshots 170-176)</x:v>
      </x:c>
      <x:c r="M21" s="14" t="str"/>
      <x:c r="N21" s="14" t="str"/>
      <x:c r="O21" s="14" t="str"/>
      <x:c r="P21" s="14" t="str">
        <x:v>Supporting prototype evidence only; not full-service UAT. Story mapping completed from Step 25 Product Backlog traceability.</x:v>
      </x:c>
    </x:row>
  </x:sheetData>
  <x:conditionalFormatting sqref="K2:K21">
    <x:cfRule type="expression" dxfId="5" priority="1">
      <x:formula>K2="Prototype Evaluated - Step 28"</x:formula>
    </x:cfRule>
    <x:cfRule type="expression" dxfId="6" priority="2">
      <x:formula>K2="Designed - Not Executed"</x:formula>
    </x:cfRule>
  </x:conditionalFormatting>
  <x:conditionalFormatting sqref="E2:E21">
    <x:cfRule type="expression" dxfId="7" priority="3">
      <x:formula>E2="Critical"</x:formula>
    </x:cfRule>
  </x:conditionalFormatting>
  <x:dataValidations count="2">
    <x:dataValidation type="list" sqref="E2:E21">
      <x:formula1>"Critical,High,Medium,Low"</x:formula1>
    </x:dataValidation>
    <x:dataValidation type="list" sqref="K2:K21">
      <x:formula1>"Designed - Not Executed,Prototype Evaluated - Step 28"</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36" hidden="0" customWidth="1"/>
    <x:col min="2" max="2" width="18"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6" t="str">
        <x:v>PayFix AI 2.0 — Step 30 Testing Coverage Summary</x:v>
      </x:c>
      <x:c r="B1" s="6"/>
      <x:c r="D1" s="6" t="str">
        <x:v>Workbook Completion Note</x:v>
      </x:c>
      <x:c r="E1" s="6"/>
      <x:c r="F1" s="6"/>
      <x:c r="G1" s="6"/>
      <x:c r="H1" s="6"/>
    </x:row>
    <x:row r="2">
      <x:c r="D2" s="14" t="str">
        <x:v>Step 30 source completion status:
• Step 24 Requirements Baseline: 228 requirement IDs loaded; 225 detailed statements available in the export.
• Step 25 Product Backlog: story traceability has now been added where the source provides an exact US-xxx relationship.
• UAT-01 to UAT-20 now have Step 25 story mappings.
• Cross-cutting requirements that Step 25 deliberately leaves at capability/family level remain without an invented story ID.
• CR-013, CR-014 and CR-015 remain source-definition gaps from the Step 24 export.
• Full-service UAT executed remains 0; UAT-17 to UAT-20 reference Step 28 prototype evidence only.</x:v>
      </x:c>
      <x:c r="E2" s="14"/>
      <x:c r="F2" s="14"/>
      <x:c r="G2" s="14"/>
      <x:c r="H2" s="14"/>
    </x:row>
    <x:row r="3">
      <x:c r="A3" s="6" t="str">
        <x:v>Metric</x:v>
      </x:c>
      <x:c r="B3" s="6" t="str">
        <x:v>Result</x:v>
      </x:c>
      <x:c r="D3" s="14"/>
      <x:c r="E3" s="14"/>
      <x:c r="F3" s="14"/>
      <x:c r="G3" s="14"/>
      <x:c r="H3" s="14"/>
    </x:row>
    <x:row r="4">
      <x:c r="A4" s="19" t="str">
        <x:v>Total Requirements</x:v>
      </x:c>
      <x:c r="B4" s="26" t="n">
        <x:f>COUNTA(RTM!A2:A229)</x:f>
        <x:v>228</x:v>
      </x:c>
      <x:c r="D4" s="14"/>
      <x:c r="E4" s="14"/>
      <x:c r="F4" s="14"/>
      <x:c r="G4" s="14"/>
      <x:c r="H4" s="14"/>
    </x:row>
    <x:row r="5">
      <x:c r="A5" s="19" t="str">
        <x:v>Requirements Mapped</x:v>
      </x:c>
      <x:c r="B5" s="26" t="n">
        <x:f>COUNTIF(RTM!I2:I229,"Mapped")</x:f>
        <x:v>116</x:v>
      </x:c>
      <x:c r="D5" s="14"/>
      <x:c r="E5" s="14"/>
      <x:c r="F5" s="14"/>
      <x:c r="G5" s="14"/>
      <x:c r="H5" s="14"/>
    </x:row>
    <x:row r="6">
      <x:c r="A6" s="19" t="str">
        <x:v>Traceability Gaps</x:v>
      </x:c>
      <x:c r="B6" s="26" t="n">
        <x:f>COUNTIF(RTM!I2:I229,"Gap")</x:f>
        <x:v>3</x:v>
      </x:c>
      <x:c r="D6" s="14"/>
      <x:c r="E6" s="14"/>
      <x:c r="F6" s="14"/>
      <x:c r="G6" s="14"/>
      <x:c r="H6" s="14"/>
    </x:row>
    <x:row r="7">
      <x:c r="A7" s="19" t="str">
        <x:v>UAT Test Cases Designed</x:v>
      </x:c>
      <x:c r="B7" s="26" t="n">
        <x:f>COUNTA(UAT_Test_Cases!A2:A21)</x:f>
        <x:v>20</x:v>
      </x:c>
      <x:c r="D7" s="14"/>
      <x:c r="E7" s="14"/>
      <x:c r="F7" s="14"/>
      <x:c r="G7" s="14"/>
      <x:c r="H7" s="14"/>
    </x:row>
    <x:row r="8">
      <x:c r="A8" s="19" t="str">
        <x:v>Full-Service UAT Cases Executed</x:v>
      </x:c>
      <x:c r="B8" s="26" t="n">
        <x:v>0</x:v>
      </x:c>
      <x:c r="D8" s="14"/>
      <x:c r="E8" s="14"/>
      <x:c r="F8" s="14"/>
      <x:c r="G8" s="14"/>
      <x:c r="H8" s="14"/>
    </x:row>
    <x:row r="9">
      <x:c r="A9" s="19" t="str">
        <x:v>AI Prototype-Evaluated Cases</x:v>
      </x:c>
      <x:c r="B9" s="26" t="n">
        <x:f>COUNTIF(UAT_Test_Cases!K2:K21,"Prototype Evaluated - Step 28")</x:f>
        <x:v>4</x:v>
      </x:c>
    </x:row>
    <x:row r="10">
      <x:c r="A10" s="19" t="str">
        <x:v>Critical UAT Cases</x:v>
      </x:c>
      <x:c r="B10" s="26" t="n">
        <x:f>COUNTIF(UAT_Test_Cases!E2:E21,"Critical")</x:f>
        <x:v>2</x:v>
      </x:c>
    </x:row>
    <x:row r="13">
      <x:c r="A13" s="6" t="str">
        <x:v>UAT Execution Status</x:v>
      </x:c>
      <x:c r="B13" s="6" t="str">
        <x:v>Count</x:v>
      </x:c>
    </x:row>
    <x:row r="14">
      <x:c r="A14" t="str">
        <x:v>Designed - Not Executed</x:v>
      </x:c>
      <x:c r="B14" t="n">
        <x:f>COUNTIF(UAT_Test_Cases!K2:K100,"Designed - Not Executed")</x:f>
        <x:v>16</x:v>
      </x:c>
    </x:row>
    <x:row r="15">
      <x:c r="A15" t="str">
        <x:v>Prototype Evaluated - Step 28</x:v>
      </x:c>
      <x:c r="B15" t="n">
        <x:f>COUNTIF(UAT_Test_Cases!K2:K100,"Prototype Evaluated - Step 28")</x:f>
        <x:v>4</x:v>
      </x:c>
    </x:row>
    <x:row r="18">
      <x:c r="A18" s="35" t="str">
        <x:v>Source Control</x:v>
      </x:c>
      <x:c r="B18" s="35" t="str">
        <x:v>Value</x:v>
      </x:c>
    </x:row>
    <x:row r="19">
      <x:c r="A19" s="36" t="str">
        <x:v>Step 24 Requirements</x:v>
      </x:c>
      <x:c r="B19" s="12" t="n">
        <x:v>228</x:v>
      </x:c>
    </x:row>
    <x:row r="20">
      <x:c r="A20" s="36" t="str">
        <x:v>Detailed Statements Loaded</x:v>
      </x:c>
      <x:c r="B20" s="12" t="n">
        <x:v>225</x:v>
      </x:c>
    </x:row>
    <x:row r="21">
      <x:c r="A21" s="36" t="str">
        <x:v>Source Gaps</x:v>
      </x:c>
      <x:c r="B21" s="12" t="n">
        <x:v>3</x:v>
      </x:c>
    </x:row>
    <x:row r="22">
      <x:c r="A22" s="36" t="str">
        <x:v>Gap IDs</x:v>
      </x:c>
      <x:c r="B22" s="12" t="str">
        <x:v>CR-013, CR-014, CR-015</x:v>
      </x:c>
    </x:row>
    <x:row r="24">
      <x:c r="A24" s="47" t="str">
        <x:v>Backlog Traceability</x:v>
      </x:c>
      <x:c r="B24" s="47" t="str">
        <x:v>Result</x:v>
      </x:c>
    </x:row>
    <x:row r="25">
      <x:c r="A25" s="48" t="str">
        <x:v>Requirements with US-xxx Mapping</x:v>
      </x:c>
      <x:c r="B25" s="12" t="n">
        <x:f>COUNTIF(RTM!E2:E229,"&lt;&gt;")</x:f>
        <x:v>169</x:v>
      </x:c>
    </x:row>
    <x:row r="26">
      <x:c r="A26" s="48" t="str">
        <x:v>Requirements without Exact US-xxx Mapping</x:v>
      </x:c>
      <x:c r="B26" s="12" t="n">
        <x:f>COUNTBLANK(RTM!E2:E229)</x:f>
        <x:v>59</x:v>
      </x:c>
    </x:row>
    <x:row r="27">
      <x:c r="A27" s="48" t="str">
        <x:v>UAT Cases with Story Mapping</x:v>
      </x:c>
      <x:c r="B27" s="12" t="n">
        <x:f>COUNTIF(UAT_Test_Cases!D2:D21,"&lt;&gt;")</x:f>
        <x:v>20</x:v>
      </x:c>
    </x:row>
  </x:sheetData>
  <x:mergeCells>
    <x:mergeCell ref="A1:B1"/>
    <x:mergeCell ref="D1:H1"/>
    <x:mergeCell ref="D2:H8"/>
  </x:mergeCells>
  <x:pageMargins left="0.7" right="0.7" top="0.75" bottom="0.75" header="0.3" footer="0.3"/>
  <x:drawing xmlns:r="http://schemas.openxmlformats.org/officeDocument/2006/relationships" r:id="Rcf67d317d7da4841"/>
</x:worksheet>
</file>