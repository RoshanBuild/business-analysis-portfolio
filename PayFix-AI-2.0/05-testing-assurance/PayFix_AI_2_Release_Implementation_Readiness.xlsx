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a930c7821c4d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lease_Readiness" sheetId="1" r:id="R9f0fbcc939f54015"/>
    <x:sheet xmlns:r="http://schemas.openxmlformats.org/officeDocument/2006/relationships" name="Implementation_Plan" sheetId="2" r:id="R5a77b6b6203a4653"/>
    <x:sheet xmlns:r="http://schemas.openxmlformats.org/officeDocument/2006/relationships" name="Dependencies_Assumptions" sheetId="3" r:id="R26b68cfbf0744bbd"/>
    <x:sheet xmlns:r="http://schemas.openxmlformats.org/officeDocument/2006/relationships" name="Training_Comms" sheetId="4" r:id="R45833590cb1a4974"/>
    <x:sheet xmlns:r="http://schemas.openxmlformats.org/officeDocument/2006/relationships" name="Rollback_Fallback" sheetId="5" r:id="R48c4400b6d624b86"/>
    <x:sheet xmlns:r="http://schemas.openxmlformats.org/officeDocument/2006/relationships" name="GoLive_Checklist" sheetId="6" r:id="R5e3d53d42b474a28"/>
    <x:sheet xmlns:r="http://schemas.openxmlformats.org/officeDocument/2006/relationships" name="Release_Decision_Summary" sheetId="7" r:id="Rf79efff028ca48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4"/>
      <x:color rgb="FFFFFFFF"/>
      <x:name val="Carlito"/>
    </x:font>
    <x:font>
      <x:i/>
      <x:sz val="11"/>
      <x:color rgb="FF1F1F1F"/>
      <x:name val="Carlito"/>
    </x:font>
    <x:font>
      <x:b/>
      <x:sz val="11"/>
      <x:color rgb="FF1F1F1F"/>
      <x:name val="Carlito"/>
    </x:font>
    <x:font>
      <x:b/>
      <x:sz val="11"/>
      <x:color rgb="FF9C0006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EF6FC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E4DFEC"/>
      </x:patternFill>
    </x:fill>
  </x:fills>
  <x:borders count="20"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horizont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top" wrapText="1"/>
    </x:xf>
    <x:xf numFmtId="0" fontId="6" fillId="6" borderId="1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vertical="top" wrapText="1"/>
    </x:xf>
    <x:xf numFmtId="0" fontId="5" fillId="2" borderId="2" xfId="0" applyNumberFormat="1" applyFont="1" applyFill="1" applyBorder="1" applyAlignment="1">
      <x:alignment horizontal="center" vertical="center" wrapText="1"/>
    </x:xf>
    <x:xf numFmtId="0" fontId="5" fillId="2" borderId="3" xfId="0" applyNumberFormat="1" applyFont="1" applyFill="1" applyBorder="1" applyAlignment="1">
      <x:alignment horizontal="center" vertical="center" wrapText="1"/>
    </x:xf>
    <x:xf numFmtId="0" fontId="5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5" fillId="2" borderId="11" xfId="0" applyNumberFormat="1" applyFont="1" applyFill="1" applyBorder="1" applyAlignment="1">
      <x:alignment horizontal="center" vertical="center" wrapText="1"/>
    </x:xf>
    <x:xf numFmtId="0" fontId="5" fillId="2" borderId="12" xfId="0" applyNumberFormat="1" applyFont="1" applyFill="1" applyBorder="1" applyAlignment="1">
      <x:alignment horizontal="center" vertical="center" wrapText="1"/>
    </x:xf>
    <x:xf numFmtId="0" fontId="5" fillId="2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horizontal="center"/>
    </x:xf>
    <x:xf numFmtId="0" fontId="3" fillId="4" borderId="8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horizontal="center"/>
    </x:xf>
  </x:cellXfs>
  <x:cellStyles count="1">
    <x:cellStyle name="Normal" xfId="0"/>
  </x:cellStyles>
  <x:dxfs count="13"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D9EAF7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D9EAF7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D9EAF7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f5a464bbd6414c" /><Relationship Type="http://schemas.openxmlformats.org/officeDocument/2006/relationships/theme" Target="/xl/theme/theme1.xml" Id="R7ba6dc7d96d9470e" /><Relationship Type="http://schemas.openxmlformats.org/officeDocument/2006/relationships/sharedStrings" Target="/xl/sharedStrings.xml" Id="R8276ea1ee19c4d3d" /><Relationship Type="http://schemas.openxmlformats.org/officeDocument/2006/relationships/worksheet" Target="/xl/worksheets/sheet1.xml" Id="R9f0fbcc939f54015" /><Relationship Type="http://schemas.openxmlformats.org/officeDocument/2006/relationships/worksheet" Target="/xl/worksheets/sheet2.xml" Id="R5a77b6b6203a4653" /><Relationship Type="http://schemas.openxmlformats.org/officeDocument/2006/relationships/worksheet" Target="/xl/worksheets/sheet3.xml" Id="R26b68cfbf0744bbd" /><Relationship Type="http://schemas.openxmlformats.org/officeDocument/2006/relationships/worksheet" Target="/xl/worksheets/sheet4.xml" Id="R45833590cb1a4974" /><Relationship Type="http://schemas.openxmlformats.org/officeDocument/2006/relationships/worksheet" Target="/xl/worksheets/sheet5.xml" Id="R48c4400b6d624b86" /><Relationship Type="http://schemas.openxmlformats.org/officeDocument/2006/relationships/worksheet" Target="/xl/worksheets/sheet6.xml" Id="R5e3d53d42b474a28" /><Relationship Type="http://schemas.openxmlformats.org/officeDocument/2006/relationships/worksheet" Target="/xl/worksheets/sheet7.xml" Id="Rf79efff028ca48d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7da737e889f4da0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7e636d6a95064510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7867924d64ec441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Release Readiness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'Release_Readiness'!$K$5:$K$7</c:f>
              <c:strCache>
                <c:ptCount val="0"/>
              </c:strCache>
            </c:strRef>
          </c:cat>
          <c:val>
            <c:numRef>
              <c:f>'Release_Readiness'!$L$5:$L$7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Go-Live Checklist Status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'GoLive_Checklist'!$J$5:$J$8</c:f>
              <c:strCache>
                <c:ptCount val="0"/>
              </c:strCache>
            </c:strRef>
          </c:cat>
          <c:val>
            <c:numRef>
              <c:f>'GoLive_Checklist'!$K$5:$K$8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Release Decision Snapshot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'Release_Decision_Summary'!$A$10:$A$13</c:f>
              <c:strCache>
                <c:ptCount val="0"/>
              </c:strCache>
            </c:strRef>
          </c:cat>
          <c:val>
            <c:numRef>
              <c:f>'Release_Decision_Summary'!$B$10:$B$13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8</xdr:row>
      <xdr:rowOff>0</xdr:rowOff>
    </xdr:from>
    <xdr:to>
      <xdr:col>16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7da737e889f4da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9</xdr:col>
      <xdr:colOff>0</xdr:colOff>
      <xdr:row>9</xdr:row>
      <xdr:rowOff>0</xdr:rowOff>
    </xdr:from>
    <xdr:to>
      <xdr:col>15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e636d6a95064510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0</xdr:col>
      <xdr:colOff>0</xdr:colOff>
      <xdr:row>15</xdr:row>
      <xdr:rowOff>0</xdr:rowOff>
    </xdr:from>
    <xdr:to>
      <xdr:col>3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867924d64ec441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dedeb25a93e46b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2.xml" Id="R38eea64ea8a348c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3.xml" Id="R5124ab20b11b4565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36" hidden="0" customWidth="1"/>
    <x:col min="5" max="5" width="46" hidden="0" customWidth="1"/>
    <x:col min="6" max="6" width="28" hidden="0" customWidth="1"/>
    <x:col min="7" max="7" width="18" hidden="0" customWidth="1"/>
    <x:col min="8" max="8" width="18" hidden="0" customWidth="1"/>
    <x:col min="9" max="9" width="38" hidden="0" customWidth="1"/>
    <x:col min="11" max="11" width="18" hidden="0" customWidth="1"/>
    <x:col min="12" max="12" width="12" hidden="0" customWidth="1"/>
  </x:cols>
  <x:sheetData>
    <x:row r="1" ht="30" customHeight="1">
      <x:c r="A1" s="5" t="str">
        <x:v>PayFix AI 2.0 — Step 33 Release and Implementation Readiness</x:v>
      </x:c>
      <x:c r="B1" s="5"/>
      <x:c r="C1" s="5"/>
      <x:c r="D1" s="5"/>
      <x:c r="E1" s="5"/>
      <x:c r="F1" s="5"/>
      <x:c r="G1" s="5"/>
      <x:c r="H1" s="5"/>
      <x:c r="I1" s="5"/>
    </x:row>
    <x:row r="2">
      <x:c r="A2" s="13" t="str">
        <x:v>Portfolio position: release and implementation governance is designed, but the complete service has not been implemented, full-service UAT has not been executed, and production approval has not been granted.</x:v>
      </x:c>
      <x:c r="B2" s="13"/>
      <x:c r="C2" s="13"/>
      <x:c r="D2" s="13"/>
      <x:c r="E2" s="13"/>
      <x:c r="F2" s="13"/>
      <x:c r="G2" s="13"/>
      <x:c r="H2" s="13"/>
      <x:c r="I2" s="13"/>
    </x:row>
    <x:row r="4">
      <x:c r="A4" s="21" t="str">
        <x:v>Overall Release Readiness Decision</x:v>
      </x:c>
      <x:c r="B4" s="30" t="str">
        <x:v>NOT READY FOR GO-LIVE</x:v>
      </x:c>
      <x:c r="K4" s="39" t="str">
        <x:v>Readiness Status</x:v>
      </x:c>
      <x:c r="L4" s="39" t="str">
        <x:v>Count</x:v>
      </x:c>
    </x:row>
    <x:row r="5">
      <x:c r="K5" s="21" t="str">
        <x:v>Ready</x:v>
      </x:c>
      <x:c r="L5" t="n">
        <x:f>COUNTIF(C7:C21,"Ready")</x:f>
        <x:v>2</x:v>
      </x:c>
    </x:row>
    <x:row r="6">
      <x:c r="A6" s="70" t="str">
        <x:v>Readiness ID</x:v>
      </x:c>
      <x:c r="B6" s="71" t="str">
        <x:v>Readiness Criterion</x:v>
      </x:c>
      <x:c r="C6" s="71" t="str">
        <x:v>Current Status</x:v>
      </x:c>
      <x:c r="D6" s="71" t="str">
        <x:v>Evidence / Basis</x:v>
      </x:c>
      <x:c r="E6" s="71" t="str">
        <x:v>Required Before Go-Live</x:v>
      </x:c>
      <x:c r="F6" s="71" t="str">
        <x:v>Decision Owner</x:v>
      </x:c>
      <x:c r="G6" s="71" t="str">
        <x:v>Release Blocking?</x:v>
      </x:c>
      <x:c r="H6" s="71" t="str">
        <x:v>Related Step</x:v>
      </x:c>
      <x:c r="I6" s="72" t="str">
        <x:v>Notes</x:v>
      </x:c>
      <x:c r="K6" s="21" t="str">
        <x:v>Not Ready</x:v>
      </x:c>
      <x:c r="L6" t="n">
        <x:f>COUNTIF(C7:C21,"Not Ready")</x:f>
        <x:v>13</x:v>
      </x:c>
    </x:row>
    <x:row r="7">
      <x:c r="A7" s="73" t="str">
        <x:v>REL-001</x:v>
      </x:c>
      <x:c r="B7" s="74" t="str">
        <x:v>Approved scope and release boundaries defined</x:v>
      </x:c>
      <x:c r="C7" s="74" t="str">
        <x:v>Ready</x:v>
      </x:c>
      <x:c r="D7" s="74" t="str">
        <x:v>Step 24–27 scope and horizons</x:v>
      </x:c>
      <x:c r="E7" s="74" t="str">
        <x:v>Maintain approved H1/H2 scope; H3 only under separate controlled approval.</x:v>
      </x:c>
      <x:c r="F7" s="74" t="str">
        <x:v>Product / Business</x:v>
      </x:c>
      <x:c r="G7" s="74" t="str">
        <x:v>Yes</x:v>
      </x:c>
      <x:c r="H7" s="74" t="str">
        <x:v>Steps 24–27</x:v>
      </x:c>
      <x:c r="I7" s="75" t="str">
        <x:v>H4 remains conditional and outside committed release scope.</x:v>
      </x:c>
      <x:c r="K7" s="21" t="str">
        <x:v>Not Applicable</x:v>
      </x:c>
      <x:c r="L7" t="n">
        <x:f>COUNTIF(C7:C21,"Not Applicable")</x:f>
        <x:v>0</x:v>
      </x:c>
    </x:row>
    <x:row r="8">
      <x:c r="A8" s="73" t="str">
        <x:v>REL-002</x:v>
      </x:c>
      <x:c r="B8" s="74" t="str">
        <x:v>Requirements and backlog traceability available</x:v>
      </x:c>
      <x:c r="C8" s="74" t="str">
        <x:v>Ready</x:v>
      </x:c>
      <x:c r="D8" s="74" t="str">
        <x:v>Steps 24, 25 and 30</x:v>
      </x:c>
      <x:c r="E8" s="74" t="str">
        <x:v>Keep traceability current through implementation and acceptance.</x:v>
      </x:c>
      <x:c r="F8" s="74" t="str">
        <x:v>Business Analyst / Product</x:v>
      </x:c>
      <x:c r="G8" s="74" t="str">
        <x:v>Yes</x:v>
      </x:c>
      <x:c r="H8" s="74" t="str">
        <x:v>Steps 24,25,30</x:v>
      </x:c>
      <x:c r="I8" s="75" t="str">
        <x:v>Source-of-truth requirements must remain controlled.</x:v>
      </x:c>
    </x:row>
    <x:row r="9">
      <x:c r="A9" s="73" t="str">
        <x:v>REL-003</x:v>
      </x:c>
      <x:c r="B9" s="74" t="str">
        <x:v>Full-service UAT completed and business acceptance recorded</x:v>
      </x:c>
      <x:c r="C9" s="74" t="str">
        <x:v>Not Ready</x:v>
      </x:c>
      <x:c r="D9" s="74" t="str">
        <x:v>Step 31: UAT execution not started</x:v>
      </x:c>
      <x:c r="E9" s="74" t="str">
        <x:v>Execute agreed UAT scope and obtain authorised business decision.</x:v>
      </x:c>
      <x:c r="F9" s="74" t="str">
        <x:v>Business / Product</x:v>
      </x:c>
      <x:c r="G9" s="74" t="str">
        <x:v>Yes</x:v>
      </x:c>
      <x:c r="H9" s="74" t="str">
        <x:v>Steps 29–31</x:v>
      </x:c>
      <x:c r="I9" s="75" t="str">
        <x:v>Prototype evaluation does not replace full-service UAT.</x:v>
      </x:c>
    </x:row>
    <x:row r="10">
      <x:c r="A10" s="73" t="str">
        <x:v>REL-004</x:v>
      </x:c>
      <x:c r="B10" s="74" t="str">
        <x:v>Security and privacy production assurance complete</x:v>
      </x:c>
      <x:c r="C10" s="74" t="str">
        <x:v>Not Ready</x:v>
      </x:c>
      <x:c r="D10" s="74" t="str">
        <x:v>Step 32: assurance gates remain open</x:v>
      </x:c>
      <x:c r="E10" s="74" t="str">
        <x:v>Close applicable privacy, DPIA, access, security and supplier assurance gates.</x:v>
      </x:c>
      <x:c r="F10" s="74" t="str">
        <x:v>Security / Privacy / Legal</x:v>
      </x:c>
      <x:c r="G10" s="74" t="str">
        <x:v>Yes</x:v>
      </x:c>
      <x:c r="H10" s="74" t="str">
        <x:v>Step 32</x:v>
      </x:c>
      <x:c r="I10" s="75" t="str">
        <x:v>Production approval remains not granted.</x:v>
      </x:c>
    </x:row>
    <x:row r="11">
      <x:c r="A11" s="73" t="str">
        <x:v>REL-005</x:v>
      </x:c>
      <x:c r="B11" s="74" t="str">
        <x:v>Production environment provisioned and controlled</x:v>
      </x:c>
      <x:c r="C11" s="74" t="str">
        <x:v>Not Ready</x:v>
      </x:c>
      <x:c r="D11" s="74" t="str">
        <x:v>No production deployment performed</x:v>
      </x:c>
      <x:c r="E11" s="74" t="str">
        <x:v>Provision target environment, identity, secrets, logging and separation controls.</x:v>
      </x:c>
      <x:c r="F11" s="74" t="str">
        <x:v>Engineering / Security</x:v>
      </x:c>
      <x:c r="G11" s="74" t="str">
        <x:v>Yes</x:v>
      </x:c>
      <x:c r="H11" s="74" t="str">
        <x:v>Step 26,32</x:v>
      </x:c>
      <x:c r="I11" s="75" t="str">
        <x:v>Representative production environment is not evidenced.</x:v>
      </x:c>
    </x:row>
    <x:row r="12">
      <x:c r="A12" s="73" t="str">
        <x:v>REL-006</x:v>
      </x:c>
      <x:c r="B12" s="74" t="str">
        <x:v>Required integrations available and tested</x:v>
      </x:c>
      <x:c r="C12" s="74" t="str">
        <x:v>Not Ready</x:v>
      </x:c>
      <x:c r="D12" s="74" t="str">
        <x:v>Integration design exists; production integrations unavailable</x:v>
      </x:c>
      <x:c r="E12" s="74" t="str">
        <x:v>Implement and test required external/internal interfaces in target environment.</x:v>
      </x:c>
      <x:c r="F12" s="74" t="str">
        <x:v>Engineering / Integration</x:v>
      </x:c>
      <x:c r="G12" s="74" t="str">
        <x:v>Yes</x:v>
      </x:c>
      <x:c r="H12" s="74" t="str">
        <x:v>Step 26</x:v>
      </x:c>
      <x:c r="I12" s="75" t="str">
        <x:v>Use controlled stubs only where formally accepted.</x:v>
      </x:c>
    </x:row>
    <x:row r="13">
      <x:c r="A13" s="73" t="str">
        <x:v>REL-007</x:v>
      </x:c>
      <x:c r="B13" s="74" t="str">
        <x:v>Operational monitoring and alerting implemented</x:v>
      </x:c>
      <x:c r="C13" s="74" t="str">
        <x:v>Not Ready</x:v>
      </x:c>
      <x:c r="D13" s="74" t="str">
        <x:v>Operational model not yet implemented</x:v>
      </x:c>
      <x:c r="E13" s="74" t="str">
        <x:v>Implement service, security and business monitoring before go-live.</x:v>
      </x:c>
      <x:c r="F13" s="74" t="str">
        <x:v>Operations / Engineering</x:v>
      </x:c>
      <x:c r="G13" s="74" t="str">
        <x:v>Yes</x:v>
      </x:c>
      <x:c r="H13" s="74" t="str">
        <x:v>Step 26,32</x:v>
      </x:c>
      <x:c r="I13" s="75" t="str">
        <x:v>Live-service details continue in Step 34.</x:v>
      </x:c>
    </x:row>
    <x:row r="14">
      <x:c r="A14" s="73" t="str">
        <x:v>REL-008</x:v>
      </x:c>
      <x:c r="B14" s="74" t="str">
        <x:v>Support and incident ownership operationally assigned</x:v>
      </x:c>
      <x:c r="C14" s="74" t="str">
        <x:v>Not Ready</x:v>
      </x:c>
      <x:c r="D14" s="74" t="str">
        <x:v>Design-level ownership only</x:v>
      </x:c>
      <x:c r="E14" s="74" t="str">
        <x:v>Nominate live-service owners, support channels and escalation responsibilities.</x:v>
      </x:c>
      <x:c r="F14" s="74" t="str">
        <x:v>Operations / Product</x:v>
      </x:c>
      <x:c r="G14" s="74" t="str">
        <x:v>Yes</x:v>
      </x:c>
      <x:c r="H14" s="74" t="str">
        <x:v>Step 31,32</x:v>
      </x:c>
      <x:c r="I14" s="75" t="str">
        <x:v>No live support organisation is claimed.</x:v>
      </x:c>
    </x:row>
    <x:row r="15">
      <x:c r="A15" s="73" t="str">
        <x:v>REL-009</x:v>
      </x:c>
      <x:c r="B15" s="74" t="str">
        <x:v>Training and user guidance ready</x:v>
      </x:c>
      <x:c r="C15" s="74" t="str">
        <x:v>Not Ready</x:v>
      </x:c>
      <x:c r="D15" s="74" t="str">
        <x:v>Training approach designed in Step 33</x:v>
      </x:c>
      <x:c r="E15" s="74" t="str">
        <x:v>Prepare role-based training and confirm target users have completed required readiness activities.</x:v>
      </x:c>
      <x:c r="F15" s="74" t="str">
        <x:v>Product / Operations / Training</x:v>
      </x:c>
      <x:c r="G15" s="74" t="str">
        <x:v>Yes</x:v>
      </x:c>
      <x:c r="H15" s="74" t="str">
        <x:v>Step 33</x:v>
      </x:c>
      <x:c r="I15" s="75" t="str">
        <x:v>Training completion is not fabricated.</x:v>
      </x:c>
    </x:row>
    <x:row r="16">
      <x:c r="A16" s="73" t="str">
        <x:v>REL-010</x:v>
      </x:c>
      <x:c r="B16" s="74" t="str">
        <x:v>Release communications approved</x:v>
      </x:c>
      <x:c r="C16" s="74" t="str">
        <x:v>Not Ready</x:v>
      </x:c>
      <x:c r="D16" s="74" t="str">
        <x:v>Communications plan designed in Step 33</x:v>
      </x:c>
      <x:c r="E16" s="74" t="str">
        <x:v>Approve audience, timing, messages and escalation contacts.</x:v>
      </x:c>
      <x:c r="F16" s="74" t="str">
        <x:v>Product / Communications</x:v>
      </x:c>
      <x:c r="G16" s="74" t="str">
        <x:v>No</x:v>
      </x:c>
      <x:c r="H16" s="74" t="str">
        <x:v>Step 33</x:v>
      </x:c>
      <x:c r="I16" s="75" t="str">
        <x:v>Exact dates remain TBC until a real release exists.</x:v>
      </x:c>
    </x:row>
    <x:row r="17">
      <x:c r="A17" s="73" t="str">
        <x:v>REL-011</x:v>
      </x:c>
      <x:c r="B17" s="74" t="str">
        <x:v>Rollback/fallback approach agreed and technically viable</x:v>
      </x:c>
      <x:c r="C17" s="74" t="str">
        <x:v>Not Ready</x:v>
      </x:c>
      <x:c r="D17" s="74" t="str">
        <x:v>Design defined in Step 33</x:v>
      </x:c>
      <x:c r="E17" s="74" t="str">
        <x:v>Validate rollback/fallback in target architecture and rehearse where appropriate.</x:v>
      </x:c>
      <x:c r="F17" s="74" t="str">
        <x:v>Engineering / Operations / Product</x:v>
      </x:c>
      <x:c r="G17" s="74" t="str">
        <x:v>Yes</x:v>
      </x:c>
      <x:c r="H17" s="74" t="str">
        <x:v>Step 33</x:v>
      </x:c>
      <x:c r="I17" s="75" t="str">
        <x:v>Fallback must protect authoritative data and customer journeys.</x:v>
      </x:c>
    </x:row>
    <x:row r="18">
      <x:c r="A18" s="73" t="str">
        <x:v>REL-012</x:v>
      </x:c>
      <x:c r="B18" s="74" t="str">
        <x:v>Backup/restore and recovery evidence available</x:v>
      </x:c>
      <x:c r="C18" s="74" t="str">
        <x:v>Not Ready</x:v>
      </x:c>
      <x:c r="D18" s="74" t="str">
        <x:v>Step 32: implementation evidence outstanding</x:v>
      </x:c>
      <x:c r="E18" s="74" t="str">
        <x:v>Complete backup, restore and recovery tests appropriate to the service.</x:v>
      </x:c>
      <x:c r="F18" s="74" t="str">
        <x:v>Operations / Engineering</x:v>
      </x:c>
      <x:c r="G18" s="74" t="str">
        <x:v>Yes</x:v>
      </x:c>
      <x:c r="H18" s="74" t="str">
        <x:v>Step 32</x:v>
      </x:c>
      <x:c r="I18" s="75" t="str">
        <x:v>Exact recovery objectives are not invented.</x:v>
      </x:c>
    </x:row>
    <x:row r="19">
      <x:c r="A19" s="73" t="str">
        <x:v>REL-013</x:v>
      </x:c>
      <x:c r="B19" s="74" t="str">
        <x:v>Production data/retention governance approved</x:v>
      </x:c>
      <x:c r="C19" s="74" t="str">
        <x:v>Not Ready</x:v>
      </x:c>
      <x:c r="D19" s="74" t="str">
        <x:v>Step 32: retention policy decision required</x:v>
      </x:c>
      <x:c r="E19" s="74" t="str">
        <x:v>Approve production data sources, retention/deletion and privacy responsibilities.</x:v>
      </x:c>
      <x:c r="F19" s="74" t="str">
        <x:v>Privacy / Records / Product</x:v>
      </x:c>
      <x:c r="G19" s="74" t="str">
        <x:v>Yes</x:v>
      </x:c>
      <x:c r="H19" s="74" t="str">
        <x:v>Step 32</x:v>
      </x:c>
      <x:c r="I19" s="75" t="str">
        <x:v>Portfolio remains synthetic-only.</x:v>
      </x:c>
    </x:row>
    <x:row r="20">
      <x:c r="A20" s="73" t="str">
        <x:v>REL-014</x:v>
      </x:c>
      <x:c r="B20" s="74" t="str">
        <x:v>AI production scope separately approved</x:v>
      </x:c>
      <x:c r="C20" s="74" t="str">
        <x:v>Not Ready</x:v>
      </x:c>
      <x:c r="D20" s="74" t="str">
        <x:v>H3 prototype evaluated; production AI approval not granted</x:v>
      </x:c>
      <x:c r="E20" s="74" t="str">
        <x:v>If H3 proceeds, approve provider, privacy/security, evaluation, human review and fallback controls.</x:v>
      </x:c>
      <x:c r="F20" s="74" t="str">
        <x:v>Product / Risk / Privacy / Security</x:v>
      </x:c>
      <x:c r="G20" s="74" t="str">
        <x:v>Yes if H3 included</x:v>
      </x:c>
      <x:c r="H20" s="74" t="str">
        <x:v>Steps 27,28,32</x:v>
      </x:c>
      <x:c r="I20" s="75" t="str">
        <x:v>H1/H2 release must not depend on AI.</x:v>
      </x:c>
    </x:row>
    <x:row r="21">
      <x:c r="A21" s="76" t="str">
        <x:v>REL-015</x:v>
      </x:c>
      <x:c r="B21" s="77" t="str">
        <x:v>Go-live decision meeting completed</x:v>
      </x:c>
      <x:c r="C21" s="77" t="str">
        <x:v>Not Ready</x:v>
      </x:c>
      <x:c r="D21" s="77" t="str">
        <x:v>No production release decision</x:v>
      </x:c>
      <x:c r="E21" s="77" t="str">
        <x:v>Review all blocking criteria, residual risks and evidence; record authorised decision.</x:v>
      </x:c>
      <x:c r="F21" s="77" t="str">
        <x:v>Business / Product / Security / Privacy / Operations</x:v>
      </x:c>
      <x:c r="G21" s="77" t="str">
        <x:v>Yes</x:v>
      </x:c>
      <x:c r="H21" s="77" t="str">
        <x:v>Step 33</x:v>
      </x:c>
      <x:c r="I21" s="78" t="str">
        <x:v>Current decision remains Not Ready for Go-Live.</x:v>
      </x:c>
    </x:row>
  </x:sheetData>
  <x:mergeCells>
    <x:mergeCell ref="A1:I1"/>
    <x:mergeCell ref="A2:I2"/>
  </x:mergeCells>
  <x:conditionalFormatting sqref="C7:C21">
    <x:cfRule type="expression" dxfId="0" priority="1">
      <x:formula>C7="Ready"</x:formula>
    </x:cfRule>
    <x:cfRule type="expression" dxfId="1" priority="2">
      <x:formula>C7="Not Ready"</x:formula>
    </x:cfRule>
  </x:conditionalFormatting>
  <x:dataValidations count="2">
    <x:dataValidation type="list" sqref="C7:C21">
      <x:formula1>"Ready,Not Ready,Not Applicable"</x:formula1>
    </x:dataValidation>
    <x:dataValidation type="list" sqref="G7:G21">
      <x:formula1>"Yes,No,Yes if H3 included"</x:formula1>
    </x:dataValidation>
  </x:dataValidations>
  <x:pageMargins left="0.7" right="0.7" top="0.75" bottom="0.75" header="0.3" footer="0.3"/>
  <x:drawing xmlns:r="http://schemas.openxmlformats.org/officeDocument/2006/relationships" r:id="R2dedeb25a93e46b4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16" hidden="0" customWidth="1"/>
    <x:col min="4" max="4" width="48" hidden="0" customWidth="1"/>
    <x:col min="5" max="5" width="38" hidden="0" customWidth="1"/>
    <x:col min="6" max="6" width="42" hidden="0" customWidth="1"/>
    <x:col min="7" max="7" width="30" hidden="0" customWidth="1"/>
    <x:col min="8" max="8" width="16" hidden="0" customWidth="1"/>
    <x:col min="9" max="9" width="28" hidden="0" customWidth="1"/>
    <x:col min="10" max="10" width="38" hidden="0" customWidth="1"/>
  </x:cols>
  <x:sheetData>
    <x:row r="1">
      <x:c r="A1" s="5" t="str">
        <x:v>PayFix AI 2.0 — Phased Implementation Plan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13" t="str">
        <x:v>This is a planned implementation sequence, not a claim that deployment has occurred. H1 core service is independent of AI; H3 AI can only proceed after separate assurance and approval.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4">
      <x:c r="A4" s="70" t="str">
        <x:v>Sequence</x:v>
      </x:c>
      <x:c r="B4" s="71" t="str">
        <x:v>Phase / Work Package</x:v>
      </x:c>
      <x:c r="C4" s="71" t="str">
        <x:v>Delivery Horizon</x:v>
      </x:c>
      <x:c r="D4" s="71" t="str">
        <x:v>Planned Activity</x:v>
      </x:c>
      <x:c r="E4" s="71" t="str">
        <x:v>Entry Condition</x:v>
      </x:c>
      <x:c r="F4" s="71" t="str">
        <x:v>Exit Evidence</x:v>
      </x:c>
      <x:c r="G4" s="71" t="str">
        <x:v>Primary Owner</x:v>
      </x:c>
      <x:c r="H4" s="71" t="str">
        <x:v>Current Status</x:v>
      </x:c>
      <x:c r="I4" s="71" t="str">
        <x:v>Dependency</x:v>
      </x:c>
      <x:c r="J4" s="72" t="str">
        <x:v>Notes</x:v>
      </x:c>
    </x:row>
    <x:row r="5">
      <x:c r="A5" s="73" t="n">
        <x:v>1</x:v>
      </x:c>
      <x:c r="B5" s="74" t="str">
        <x:v>Release governance and scope freeze</x:v>
      </x:c>
      <x:c r="C5" s="74" t="str">
        <x:v>Cross-cutting</x:v>
      </x:c>
      <x:c r="D5" s="74" t="str">
        <x:v>Confirm release content, exclusions, authority and unresolved risks.</x:v>
      </x:c>
      <x:c r="E5" s="74" t="str">
        <x:v>Approved release candidate scope.</x:v>
      </x:c>
      <x:c r="F5" s="74" t="str">
        <x:v>Controlled scope baseline and decision record.</x:v>
      </x:c>
      <x:c r="G5" s="74" t="str">
        <x:v>Product / Business</x:v>
      </x:c>
      <x:c r="H5" s="74" t="str">
        <x:v>Planned</x:v>
      </x:c>
      <x:c r="I5" s="74" t="str">
        <x:v>Requirements/backlog baseline</x:v>
      </x:c>
      <x:c r="J5" s="75" t="str">
        <x:v>No production date assumed.</x:v>
      </x:c>
    </x:row>
    <x:row r="6">
      <x:c r="A6" s="73" t="n">
        <x:v>2</x:v>
      </x:c>
      <x:c r="B6" s="74" t="str">
        <x:v>Target environment and access readiness</x:v>
      </x:c>
      <x:c r="C6" s="74" t="str">
        <x:v>H1 prerequisite</x:v>
      </x:c>
      <x:c r="D6" s="74" t="str">
        <x:v>Provision target environment, identity, secrets, configuration, logging and separation.</x:v>
      </x:c>
      <x:c r="E6" s="74" t="str">
        <x:v>Security/privacy design accepted for implementation.</x:v>
      </x:c>
      <x:c r="F6" s="74" t="str">
        <x:v>Environment/access verification evidence.</x:v>
      </x:c>
      <x:c r="G6" s="74" t="str">
        <x:v>Engineering / Security</x:v>
      </x:c>
      <x:c r="H6" s="74" t="str">
        <x:v>Planned</x:v>
      </x:c>
      <x:c r="I6" s="74" t="str">
        <x:v>Step 32 assurance</x:v>
      </x:c>
      <x:c r="J6" s="75" t="str">
        <x:v>No production credentials in portfolio evidence.</x:v>
      </x:c>
    </x:row>
    <x:row r="7">
      <x:c r="A7" s="73" t="n">
        <x:v>3</x:v>
      </x:c>
      <x:c r="B7" s="74" t="str">
        <x:v>H1 core case-management foundation</x:v>
      </x:c>
      <x:c r="C7" s="74" t="str">
        <x:v>H1</x:v>
      </x:c>
      <x:c r="D7" s="74" t="str">
        <x:v>Implement core dispute intake, ownership, evidence, referral, decision, approval, communication and closure journeys.</x:v>
      </x:c>
      <x:c r="E7" s="74" t="str">
        <x:v>Target environment available.</x:v>
      </x:c>
      <x:c r="F7" s="74" t="str">
        <x:v>System/integration test evidence for H1.</x:v>
      </x:c>
      <x:c r="G7" s="74" t="str">
        <x:v>Engineering / Product</x:v>
      </x:c>
      <x:c r="H7" s="74" t="str">
        <x:v>Planned</x:v>
      </x:c>
      <x:c r="I7" s="74" t="str">
        <x:v>Environment readiness</x:v>
      </x:c>
      <x:c r="J7" s="75" t="str">
        <x:v>Core business service must work without AI.</x:v>
      </x:c>
    </x:row>
    <x:row r="8">
      <x:c r="A8" s="73" t="n">
        <x:v>4</x:v>
      </x:c>
      <x:c r="B8" s="74" t="str">
        <x:v>H1 integration and authority validation</x:v>
      </x:c>
      <x:c r="C8" s="74" t="str">
        <x:v>H1</x:v>
      </x:c>
      <x:c r="D8" s="74" t="str">
        <x:v>Validate data exchanges, role/authority controls, audit events and failure paths.</x:v>
      </x:c>
      <x:c r="E8" s="74" t="str">
        <x:v>Core H1 functionality deployed to representative test environment.</x:v>
      </x:c>
      <x:c r="F8" s="74" t="str">
        <x:v>Integration, access and negative-test evidence.</x:v>
      </x:c>
      <x:c r="G8" s="74" t="str">
        <x:v>Engineering / Security / QA</x:v>
      </x:c>
      <x:c r="H8" s="74" t="str">
        <x:v>Planned</x:v>
      </x:c>
      <x:c r="I8" s="74" t="str">
        <x:v>H1 implementation</x:v>
      </x:c>
      <x:c r="J8" s="75" t="str">
        <x:v>Customer-impacting authority remains human controlled.</x:v>
      </x:c>
    </x:row>
    <x:row r="9">
      <x:c r="A9" s="73" t="n">
        <x:v>5</x:v>
      </x:c>
      <x:c r="B9" s="74" t="str">
        <x:v>H2 selective deterministic automation</x:v>
      </x:c>
      <x:c r="C9" s="74" t="str">
        <x:v>H2</x:v>
      </x:c>
      <x:c r="D9" s="74" t="str">
        <x:v>Implement approved rule-based/automation improvements that do not require AI.</x:v>
      </x:c>
      <x:c r="E9" s="74" t="str">
        <x:v>Stable H1 baseline.</x:v>
      </x:c>
      <x:c r="F9" s="74" t="str">
        <x:v>Automation tests and fallback evidence.</x:v>
      </x:c>
      <x:c r="G9" s="74" t="str">
        <x:v>Engineering / Product</x:v>
      </x:c>
      <x:c r="H9" s="74" t="str">
        <x:v>Planned</x:v>
      </x:c>
      <x:c r="I9" s="74" t="str">
        <x:v>H1 readiness</x:v>
      </x:c>
      <x:c r="J9" s="75" t="str">
        <x:v>Automation must be separable from H1 core service.</x:v>
      </x:c>
    </x:row>
    <x:row r="10">
      <x:c r="A10" s="73" t="n">
        <x:v>6</x:v>
      </x:c>
      <x:c r="B10" s="74" t="str">
        <x:v>Full-service UAT</x:v>
      </x:c>
      <x:c r="C10" s="74" t="str">
        <x:v>H1/H2</x:v>
      </x:c>
      <x:c r="D10" s="74" t="str">
        <x:v>Execute agreed UAT-01 to UAT-20 as applicable to release scope in representative environment.</x:v>
      </x:c>
      <x:c r="E10" s="74" t="str">
        <x:v>System/integration/security prerequisites satisfied.</x:v>
      </x:c>
      <x:c r="F10" s="74" t="str">
        <x:v>Observed UAT evidence, defects/retests and business acceptance decision.</x:v>
      </x:c>
      <x:c r="G10" s="74" t="str">
        <x:v>Business / Product / QA</x:v>
      </x:c>
      <x:c r="H10" s="74" t="str">
        <x:v>Not Started</x:v>
      </x:c>
      <x:c r="I10" s="74" t="str">
        <x:v>Steps 29–31</x:v>
      </x:c>
      <x:c r="J10" s="75" t="str">
        <x:v>Step 28 prototype evaluation is not full-service UAT.</x:v>
      </x:c>
    </x:row>
    <x:row r="11">
      <x:c r="A11" s="73" t="n">
        <x:v>7</x:v>
      </x:c>
      <x:c r="B11" s="74" t="str">
        <x:v>Operational readiness and training</x:v>
      </x:c>
      <x:c r="C11" s="74" t="str">
        <x:v>H1/H2</x:v>
      </x:c>
      <x:c r="D11" s="74" t="str">
        <x:v>Prepare support, monitoring, user guidance, training, communications and escalation paths.</x:v>
      </x:c>
      <x:c r="E11" s="74" t="str">
        <x:v>Release candidate sufficiently stable.</x:v>
      </x:c>
      <x:c r="F11" s="74" t="str">
        <x:v>Training readiness, runbooks and operational acceptance evidence.</x:v>
      </x:c>
      <x:c r="G11" s="74" t="str">
        <x:v>Operations / Product</x:v>
      </x:c>
      <x:c r="H11" s="74" t="str">
        <x:v>Planned</x:v>
      </x:c>
      <x:c r="I11" s="74" t="str">
        <x:v>Release candidate</x:v>
      </x:c>
      <x:c r="J11" s="75" t="str">
        <x:v>No completion claims are made.</x:v>
      </x:c>
    </x:row>
    <x:row r="12">
      <x:c r="A12" s="73" t="n">
        <x:v>8</x:v>
      </x:c>
      <x:c r="B12" s="74" t="str">
        <x:v>Release decision / go-live gate</x:v>
      </x:c>
      <x:c r="C12" s="74" t="str">
        <x:v>H1/H2</x:v>
      </x:c>
      <x:c r="D12" s="74" t="str">
        <x:v>Review readiness evidence, open risks, defects, privacy/security and operational acceptance.</x:v>
      </x:c>
      <x:c r="E12" s="74" t="str">
        <x:v>Blocking readiness criteria satisfied.</x:v>
      </x:c>
      <x:c r="F12" s="74" t="str">
        <x:v>Authorised Go / Conditional Go / No-Go decision.</x:v>
      </x:c>
      <x:c r="G12" s="74" t="str">
        <x:v>Business / Product / Security / Privacy / Operations</x:v>
      </x:c>
      <x:c r="H12" s="74" t="str">
        <x:v>Not Started</x:v>
      </x:c>
      <x:c r="I12" s="74" t="str">
        <x:v>All blocking gates</x:v>
      </x:c>
      <x:c r="J12" s="75" t="str">
        <x:v>Current decision: Not Ready for Go-Live.</x:v>
      </x:c>
    </x:row>
    <x:row r="13">
      <x:c r="A13" s="73" t="n">
        <x:v>9</x:v>
      </x:c>
      <x:c r="B13" s="74" t="str">
        <x:v>Controlled production release</x:v>
      </x:c>
      <x:c r="C13" s="74" t="str">
        <x:v>H1/H2</x:v>
      </x:c>
      <x:c r="D13" s="74" t="str">
        <x:v>Deploy approved release using controlled change and monitoring.</x:v>
      </x:c>
      <x:c r="E13" s="74" t="str">
        <x:v>Authorised Go decision.</x:v>
      </x:c>
      <x:c r="F13" s="74" t="str">
        <x:v>Deployment/change record and post-deployment checks.</x:v>
      </x:c>
      <x:c r="G13" s="74" t="str">
        <x:v>Engineering / Operations</x:v>
      </x:c>
      <x:c r="H13" s="74" t="str">
        <x:v>Not Started</x:v>
      </x:c>
      <x:c r="I13" s="74" t="str">
        <x:v>Go-live approval</x:v>
      </x:c>
      <x:c r="J13" s="75" t="str">
        <x:v>No production deployment has occurred.</x:v>
      </x:c>
    </x:row>
    <x:row r="14">
      <x:c r="A14" s="73" t="n">
        <x:v>10</x:v>
      </x:c>
      <x:c r="B14" s="74" t="str">
        <x:v>Early-life support</x:v>
      </x:c>
      <x:c r="C14" s="74" t="str">
        <x:v>H1/H2</x:v>
      </x:c>
      <x:c r="D14" s="74" t="str">
        <x:v>Heightened monitoring, issue triage and business feedback after release.</x:v>
      </x:c>
      <x:c r="E14" s="74" t="str">
        <x:v>Successful controlled deployment.</x:v>
      </x:c>
      <x:c r="F14" s="74" t="str">
        <x:v>Early-life support record and transition decision.</x:v>
      </x:c>
      <x:c r="G14" s="74" t="str">
        <x:v>Operations / Product / Engineering</x:v>
      </x:c>
      <x:c r="H14" s="74" t="str">
        <x:v>Not Started</x:v>
      </x:c>
      <x:c r="I14" s="74" t="str">
        <x:v>Production release</x:v>
      </x:c>
      <x:c r="J14" s="75" t="str">
        <x:v>Step 34 will define live-service model.</x:v>
      </x:c>
    </x:row>
    <x:row r="15">
      <x:c r="A15" s="73" t="n">
        <x:v>11</x:v>
      </x:c>
      <x:c r="B15" s="74" t="str">
        <x:v>H3 controlled AI production pilot — optional</x:v>
      </x:c>
      <x:c r="C15" s="74" t="str">
        <x:v>H3</x:v>
      </x:c>
      <x:c r="D15" s="74" t="str">
        <x:v>Only if separately approved, introduce Evidence Summarisation and/or Handoff Summarisation under mandatory human review.</x:v>
      </x:c>
      <x:c r="E15" s="74" t="str">
        <x:v>H1/H2 stable plus separate AI security/privacy/provider/operational approval.</x:v>
      </x:c>
      <x:c r="F15" s="74" t="str">
        <x:v>Production AI pilot evaluation, human-review and fallback evidence.</x:v>
      </x:c>
      <x:c r="G15" s="74" t="str">
        <x:v>Product / AI Owner / Risk / Security / Privacy</x:v>
      </x:c>
      <x:c r="H15" s="74" t="str">
        <x:v>Not Approved</x:v>
      </x:c>
      <x:c r="I15" s="74" t="str">
        <x:v>Separate AI assurance gates</x:v>
      </x:c>
      <x:c r="J15" s="75" t="str">
        <x:v>H3 is optional and must not block H1/H2 release.</x:v>
      </x:c>
    </x:row>
    <x:row r="16">
      <x:c r="A16" s="76" t="n">
        <x:v>12</x:v>
      </x:c>
      <x:c r="B16" s="77" t="str">
        <x:v>H4 expansion — conditional</x:v>
      </x:c>
      <x:c r="C16" s="77" t="str">
        <x:v>H4</x:v>
      </x:c>
      <x:c r="D16" s="77" t="str">
        <x:v>Consider only through a future options/risk/requirements cycle.</x:v>
      </x:c>
      <x:c r="E16" s="77" t="str">
        <x:v>Evidence of need and separate governance approval.</x:v>
      </x:c>
      <x:c r="F16" s="77" t="str">
        <x:v>New approved business case/requirements/assurance evidence.</x:v>
      </x:c>
      <x:c r="G16" s="77" t="str">
        <x:v>Product / Governance</x:v>
      </x:c>
      <x:c r="H16" s="77" t="str">
        <x:v>Not Committed</x:v>
      </x:c>
      <x:c r="I16" s="77" t="str">
        <x:v>Future decision</x:v>
      </x:c>
      <x:c r="J16" s="78" t="str">
        <x:v>No H4 delivery stories are committed.</x:v>
      </x:c>
    </x:row>
  </x:sheetData>
  <x:mergeCells>
    <x:mergeCell ref="A1:J1"/>
    <x:mergeCell ref="A2:J2"/>
  </x:mergeCells>
  <x:conditionalFormatting sqref="H5:H16">
    <x:cfRule type="expression" dxfId="2" priority="1">
      <x:formula>H5="Complete"</x:formula>
    </x:cfRule>
    <x:cfRule type="expression" dxfId="3" priority="2">
      <x:formula>OR(H5="Not Approved",H5="Not Committed")</x:formula>
    </x:cfRule>
    <x:cfRule type="expression" dxfId="4" priority="3">
      <x:formula>H5="Planned"</x:formula>
    </x:cfRule>
  </x:conditionalFormatting>
  <x:dataValidations count="1">
    <x:dataValidation type="list" sqref="H5:H16">
      <x:formula1>"Planned,Not Started,In Progress,Complete,Not Approved,Not Committed"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4" hidden="0" customWidth="1"/>
    <x:col min="3" max="3" width="44" hidden="0" customWidth="1"/>
    <x:col min="4" max="4" width="42" hidden="0" customWidth="1"/>
    <x:col min="5" max="5" width="20" hidden="0" customWidth="1"/>
    <x:col min="6" max="6" width="46" hidden="0" customWidth="1"/>
    <x:col min="7" max="7" width="28" hidden="0" customWidth="1"/>
    <x:col min="8" max="8" width="22" hidden="0" customWidth="1"/>
    <x:col min="9" max="9" width="38" hidden="0" customWidth="1"/>
  </x:cols>
  <x:sheetData>
    <x:row r="1">
      <x:c r="A1" s="5" t="str">
        <x:v>PayFix AI 2.0 — Release Dependencies, Assumptions and Constraints</x:v>
      </x:c>
      <x:c r="B1" s="5"/>
      <x:c r="C1" s="5"/>
      <x:c r="D1" s="5"/>
      <x:c r="E1" s="5"/>
      <x:c r="F1" s="5"/>
      <x:c r="G1" s="5"/>
      <x:c r="H1" s="5"/>
      <x:c r="I1" s="5"/>
    </x:row>
    <x:row r="2">
      <x:c r="A2" s="13" t="str">
        <x:v>Dependencies and assumptions are explicit so they can be validated rather than silently treated as facts.</x:v>
      </x:c>
      <x:c r="B2" s="13"/>
      <x:c r="C2" s="13"/>
      <x:c r="D2" s="13"/>
      <x:c r="E2" s="13"/>
      <x:c r="F2" s="13"/>
      <x:c r="G2" s="13"/>
      <x:c r="H2" s="13"/>
      <x:c r="I2" s="13"/>
    </x:row>
    <x:row r="4">
      <x:c r="A4" s="70" t="str">
        <x:v>ID</x:v>
      </x:c>
      <x:c r="B4" s="71" t="str">
        <x:v>Type</x:v>
      </x:c>
      <x:c r="C4" s="71" t="str">
        <x:v>Dependency / Assumption / Constraint</x:v>
      </x:c>
      <x:c r="D4" s="71" t="str">
        <x:v>Why It Matters</x:v>
      </x:c>
      <x:c r="E4" s="71" t="str">
        <x:v>Current Position</x:v>
      </x:c>
      <x:c r="F4" s="71" t="str">
        <x:v>Validation / Action Required</x:v>
      </x:c>
      <x:c r="G4" s="71" t="str">
        <x:v>Owner</x:v>
      </x:c>
      <x:c r="H4" s="71" t="str">
        <x:v>Release Impact</x:v>
      </x:c>
      <x:c r="I4" s="72" t="str">
        <x:v>Notes</x:v>
      </x:c>
    </x:row>
    <x:row r="5">
      <x:c r="A5" s="73" t="str">
        <x:v>DEP-01</x:v>
      </x:c>
      <x:c r="B5" s="74" t="str">
        <x:v>Dependency</x:v>
      </x:c>
      <x:c r="C5" s="74" t="str">
        <x:v>Representative target environment is available.</x:v>
      </x:c>
      <x:c r="D5" s="74" t="str">
        <x:v>Full-service integration, security and UAT evidence requires a realistic environment.</x:v>
      </x:c>
      <x:c r="E5" s="74" t="str">
        <x:v>Not Available</x:v>
      </x:c>
      <x:c r="F5" s="74" t="str">
        <x:v>Provision and verify target environment.</x:v>
      </x:c>
      <x:c r="G5" s="74" t="str">
        <x:v>Engineering / Security</x:v>
      </x:c>
      <x:c r="H5" s="74" t="str">
        <x:v>Blocking</x:v>
      </x:c>
      <x:c r="I5" s="75" t="str">
        <x:v>No environment is claimed.</x:v>
      </x:c>
    </x:row>
    <x:row r="6">
      <x:c r="A6" s="73" t="str">
        <x:v>DEP-02</x:v>
      </x:c>
      <x:c r="B6" s="74" t="str">
        <x:v>Dependency</x:v>
      </x:c>
      <x:c r="C6" s="74" t="str">
        <x:v>Required payment/banking/internal interfaces are available or formally stubbed.</x:v>
      </x:c>
      <x:c r="D6" s="74" t="str">
        <x:v>End-to-end journeys depend on controlled system interactions.</x:v>
      </x:c>
      <x:c r="E6" s="74" t="str">
        <x:v>Not Available</x:v>
      </x:c>
      <x:c r="F6" s="74" t="str">
        <x:v>Confirm interface owners, contracts, test endpoints and failure handling.</x:v>
      </x:c>
      <x:c r="G6" s="74" t="str">
        <x:v>Integration / Engineering</x:v>
      </x:c>
      <x:c r="H6" s="74" t="str">
        <x:v>Blocking</x:v>
      </x:c>
      <x:c r="I6" s="75" t="str">
        <x:v>Exact providers remain implementation decisions.</x:v>
      </x:c>
    </x:row>
    <x:row r="7">
      <x:c r="A7" s="73" t="str">
        <x:v>DEP-03</x:v>
      </x:c>
      <x:c r="B7" s="74" t="str">
        <x:v>Dependency</x:v>
      </x:c>
      <x:c r="C7" s="74" t="str">
        <x:v>Identity and role-management capability can enforce PayFix authority model.</x:v>
      </x:c>
      <x:c r="D7" s="74" t="str">
        <x:v>Logical RBAC must be technically implemented.</x:v>
      </x:c>
      <x:c r="E7" s="74" t="str">
        <x:v>Design Only</x:v>
      </x:c>
      <x:c r="F7" s="74" t="str">
        <x:v>Configure roles/MFA and test least privilege/segregation.</x:v>
      </x:c>
      <x:c r="G7" s="74" t="str">
        <x:v>Security / Engineering</x:v>
      </x:c>
      <x:c r="H7" s="74" t="str">
        <x:v>Blocking</x:v>
      </x:c>
      <x:c r="I7" s="75" t="str">
        <x:v>Authority cannot rely only on documentation.</x:v>
      </x:c>
    </x:row>
    <x:row r="8">
      <x:c r="A8" s="73" t="str">
        <x:v>DEP-04</x:v>
      </x:c>
      <x:c r="B8" s="74" t="str">
        <x:v>Dependency</x:v>
      </x:c>
      <x:c r="C8" s="74" t="str">
        <x:v>Authorised business testers and approver are available.</x:v>
      </x:c>
      <x:c r="D8" s="74" t="str">
        <x:v>UAT/sign-off require genuine accountable participants.</x:v>
      </x:c>
      <x:c r="E8" s="74" t="str">
        <x:v>Not Available</x:v>
      </x:c>
      <x:c r="F8" s="74" t="str">
        <x:v>Nominate testers and authorised approver.</x:v>
      </x:c>
      <x:c r="G8" s="74" t="str">
        <x:v>Business / Product</x:v>
      </x:c>
      <x:c r="H8" s="74" t="str">
        <x:v>Blocking</x:v>
      </x:c>
      <x:c r="I8" s="75" t="str">
        <x:v>Portfolio owner is not treated as organisational approver.</x:v>
      </x:c>
    </x:row>
    <x:row r="9">
      <x:c r="A9" s="73" t="str">
        <x:v>DEP-05</x:v>
      </x:c>
      <x:c r="B9" s="74" t="str">
        <x:v>Dependency</x:v>
      </x:c>
      <x:c r="C9" s="74" t="str">
        <x:v>Security/privacy assurance decisions are completed.</x:v>
      </x:c>
      <x:c r="D9" s="74" t="str">
        <x:v>Production processing cannot rely on design-only evidence.</x:v>
      </x:c>
      <x:c r="E9" s="74" t="str">
        <x:v>Open</x:v>
      </x:c>
      <x:c r="F9" s="74" t="str">
        <x:v>Close Step 32 gates including DPIA/retention/supplier decisions as applicable.</x:v>
      </x:c>
      <x:c r="G9" s="74" t="str">
        <x:v>Security / Privacy / Legal</x:v>
      </x:c>
      <x:c r="H9" s="74" t="str">
        <x:v>Blocking</x:v>
      </x:c>
      <x:c r="I9" s="75" t="str">
        <x:v>Production approval not granted.</x:v>
      </x:c>
    </x:row>
    <x:row r="10">
      <x:c r="A10" s="73" t="str">
        <x:v>DEP-06</x:v>
      </x:c>
      <x:c r="B10" s="74" t="str">
        <x:v>Dependency</x:v>
      </x:c>
      <x:c r="C10" s="74" t="str">
        <x:v>Operational support and monitoring ownership is established.</x:v>
      </x:c>
      <x:c r="D10" s="74" t="str">
        <x:v>Release requires response capability after deployment.</x:v>
      </x:c>
      <x:c r="E10" s="74" t="str">
        <x:v>Design Only</x:v>
      </x:c>
      <x:c r="F10" s="74" t="str">
        <x:v>Define live-service ownership, monitoring and escalation.</x:v>
      </x:c>
      <x:c r="G10" s="74" t="str">
        <x:v>Operations / Product</x:v>
      </x:c>
      <x:c r="H10" s="74" t="str">
        <x:v>Blocking</x:v>
      </x:c>
      <x:c r="I10" s="75" t="str">
        <x:v>Detailed in Step 34.</x:v>
      </x:c>
    </x:row>
    <x:row r="11">
      <x:c r="A11" s="73" t="str">
        <x:v>DEP-07</x:v>
      </x:c>
      <x:c r="B11" s="74" t="str">
        <x:v>Assumption</x:v>
      </x:c>
      <x:c r="C11" s="74" t="str">
        <x:v>H1 core service can operate without AI.</x:v>
      </x:c>
      <x:c r="D11" s="74" t="str">
        <x:v>Prevents AI availability or approval from blocking core dispute handling.</x:v>
      </x:c>
      <x:c r="E11" s="74" t="str">
        <x:v>Supported by Design</x:v>
      </x:c>
      <x:c r="F11" s="74" t="str">
        <x:v>Preserve this boundary during implementation and testing.</x:v>
      </x:c>
      <x:c r="G11" s="74" t="str">
        <x:v>Product / Architecture</x:v>
      </x:c>
      <x:c r="H11" s="74" t="str">
        <x:v>Protective</x:v>
      </x:c>
      <x:c r="I11" s="75" t="str">
        <x:v>Established across Steps 22–28.</x:v>
      </x:c>
    </x:row>
    <x:row r="12">
      <x:c r="A12" s="73" t="str">
        <x:v>DEP-08</x:v>
      </x:c>
      <x:c r="B12" s="74" t="str">
        <x:v>Assumption</x:v>
      </x:c>
      <x:c r="C12" s="74" t="str">
        <x:v>H2 deterministic automation can be disabled or bypassed safely.</x:v>
      </x:c>
      <x:c r="D12" s="74" t="str">
        <x:v>Supports controlled fallback and phased release.</x:v>
      </x:c>
      <x:c r="E12" s="74" t="str">
        <x:v>Supported by Design</x:v>
      </x:c>
      <x:c r="F12" s="74" t="str">
        <x:v>Validate implementation fallback paths.</x:v>
      </x:c>
      <x:c r="G12" s="74" t="str">
        <x:v>Product / Engineering</x:v>
      </x:c>
      <x:c r="H12" s="74" t="str">
        <x:v>Material</x:v>
      </x:c>
      <x:c r="I12" s="75" t="str">
        <x:v>Must be tested before release.</x:v>
      </x:c>
    </x:row>
    <x:row r="13">
      <x:c r="A13" s="73" t="str">
        <x:v>DEP-09</x:v>
      </x:c>
      <x:c r="B13" s="74" t="str">
        <x:v>Assumption</x:v>
      </x:c>
      <x:c r="C13" s="74" t="str">
        <x:v>No legacy production migration is required for the portfolio release design.</x:v>
      </x:c>
      <x:c r="D13" s="74" t="str">
        <x:v>No migration source/system has been established in the project.</x:v>
      </x:c>
      <x:c r="E13" s="74" t="str">
        <x:v>Unconfirmed</x:v>
      </x:c>
      <x:c r="F13" s="74" t="str">
        <x:v>If a real implementation requires migration, create separate mapping, reconciliation and cutover plan.</x:v>
      </x:c>
      <x:c r="G13" s="74" t="str">
        <x:v>Product / Data / Engineering</x:v>
      </x:c>
      <x:c r="H13" s="74" t="str">
        <x:v>Potentially Blocking</x:v>
      </x:c>
      <x:c r="I13" s="75" t="str">
        <x:v>Do not infer a migration need without a real source system.</x:v>
      </x:c>
    </x:row>
    <x:row r="14">
      <x:c r="A14" s="73" t="str">
        <x:v>DEP-10</x:v>
      </x:c>
      <x:c r="B14" s="74" t="str">
        <x:v>Constraint</x:v>
      </x:c>
      <x:c r="C14" s="74" t="str">
        <x:v>Portfolio/test evidence uses synthetic data.</x:v>
      </x:c>
      <x:c r="D14" s="74" t="str">
        <x:v>Prevents claiming production data migration or live customer processing.</x:v>
      </x:c>
      <x:c r="E14" s="74" t="str">
        <x:v>Confirmed</x:v>
      </x:c>
      <x:c r="F14" s="74" t="str">
        <x:v>Maintain synthetic-only evidence until authorised production processing exists.</x:v>
      </x:c>
      <x:c r="G14" s="74" t="str">
        <x:v>Privacy / Portfolio Owner</x:v>
      </x:c>
      <x:c r="H14" s="74" t="str">
        <x:v>Protective</x:v>
      </x:c>
      <x:c r="I14" s="75" t="str">
        <x:v>Supports safe portfolio demonstration.</x:v>
      </x:c>
    </x:row>
    <x:row r="15">
      <x:c r="A15" s="73" t="str">
        <x:v>DEP-11</x:v>
      </x:c>
      <x:c r="B15" s="74" t="str">
        <x:v>Constraint</x:v>
      </x:c>
      <x:c r="C15" s="74" t="str">
        <x:v>H3 AI production use requires separate approval.</x:v>
      </x:c>
      <x:c r="D15" s="74" t="str">
        <x:v>Prototype evidence is not production approval.</x:v>
      </x:c>
      <x:c r="E15" s="74" t="str">
        <x:v>Confirmed</x:v>
      </x:c>
      <x:c r="F15" s="74" t="str">
        <x:v>Complete provider/security/privacy/human-review/fallback gates before any H3 production pilot.</x:v>
      </x:c>
      <x:c r="G15" s="74" t="str">
        <x:v>Product / Risk / Security / Privacy</x:v>
      </x:c>
      <x:c r="H15" s="74" t="str">
        <x:v>Blocking if H3 included</x:v>
      </x:c>
      <x:c r="I15" s="75" t="str">
        <x:v>H1/H2 release must not depend on H3.</x:v>
      </x:c>
    </x:row>
    <x:row r="16">
      <x:c r="A16" s="76" t="str">
        <x:v>DEP-12</x:v>
      </x:c>
      <x:c r="B16" s="77" t="str">
        <x:v>Constraint</x:v>
      </x:c>
      <x:c r="C16" s="77" t="str">
        <x:v>H4 is not committed.</x:v>
      </x:c>
      <x:c r="D16" s="77" t="str">
        <x:v>Prevents future ideas being presented as current delivery scope.</x:v>
      </x:c>
      <x:c r="E16" s="77" t="str">
        <x:v>Confirmed</x:v>
      </x:c>
      <x:c r="F16" s="77" t="str">
        <x:v>Run a new options/requirements/governance cycle before H4 work.</x:v>
      </x:c>
      <x:c r="G16" s="77" t="str">
        <x:v>Product / Governance</x:v>
      </x:c>
      <x:c r="H16" s="77" t="str">
        <x:v>Non-blocking for H1/H2</x:v>
      </x:c>
      <x:c r="I16" s="78" t="str">
        <x:v>Keep outside release baseline.</x:v>
      </x:c>
    </x:row>
  </x:sheetData>
  <x:mergeCells>
    <x:mergeCell ref="A1:I1"/>
    <x:mergeCell ref="A2:I2"/>
  </x:mergeCells>
  <x:dataValidations count="2">
    <x:dataValidation type="list" sqref="B5:B100">
      <x:formula1>"Dependency,Assumption,Constraint"</x:formula1>
    </x:dataValidation>
    <x:dataValidation type="list" sqref="H5:H100">
      <x:formula1>"Blocking,Potentially Blocking,Material,Protective,Non-blocking for H1/H2"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8" hidden="0" customWidth="1"/>
    <x:col min="3" max="3" width="34" hidden="0" customWidth="1"/>
    <x:col min="4" max="4" width="46" hidden="0" customWidth="1"/>
    <x:col min="5" max="5" width="30" hidden="0" customWidth="1"/>
    <x:col min="6" max="6" width="24" hidden="0" customWidth="1"/>
    <x:col min="7" max="7" width="30" hidden="0" customWidth="1"/>
    <x:col min="8" max="8" width="25" hidden="0" customWidth="1"/>
    <x:col min="9" max="9" width="34" hidden="0" customWidth="1"/>
  </x:cols>
  <x:sheetData>
    <x:row r="1">
      <x:c r="A1" s="5" t="str">
        <x:v>PayFix AI 2.0 — Training and Release Communications Readiness</x:v>
      </x:c>
      <x:c r="B1" s="5"/>
      <x:c r="C1" s="5"/>
      <x:c r="D1" s="5"/>
      <x:c r="E1" s="5"/>
      <x:c r="F1" s="5"/>
      <x:c r="G1" s="5"/>
      <x:c r="H1" s="5"/>
      <x:c r="I1" s="5"/>
    </x:row>
    <x:row r="2">
      <x:c r="A2" s="13" t="str">
        <x:v>Training and communications are designed but not delivered. Exact audiences, dates and organisational channels must be confirmed in a real implementation.</x:v>
      </x:c>
      <x:c r="B2" s="13"/>
      <x:c r="C2" s="13"/>
      <x:c r="D2" s="13"/>
      <x:c r="E2" s="13"/>
      <x:c r="F2" s="13"/>
      <x:c r="G2" s="13"/>
      <x:c r="H2" s="13"/>
      <x:c r="I2" s="13"/>
    </x:row>
    <x:row r="4">
      <x:c r="A4" s="70" t="str">
        <x:v>Item ID</x:v>
      </x:c>
      <x:c r="B4" s="71" t="str">
        <x:v>Audience</x:v>
      </x:c>
      <x:c r="C4" s="71" t="str">
        <x:v>Readiness Item</x:v>
      </x:c>
      <x:c r="D4" s="71" t="str">
        <x:v>Content / Purpose</x:v>
      </x:c>
      <x:c r="E4" s="71" t="str">
        <x:v>Delivery Method</x:v>
      </x:c>
      <x:c r="F4" s="71" t="str">
        <x:v>Timing</x:v>
      </x:c>
      <x:c r="G4" s="71" t="str">
        <x:v>Owner</x:v>
      </x:c>
      <x:c r="H4" s="71" t="str">
        <x:v>Current Status</x:v>
      </x:c>
      <x:c r="I4" s="72" t="str">
        <x:v>Evidence Required</x:v>
      </x:c>
    </x:row>
    <x:row r="5">
      <x:c r="A5" s="73" t="str">
        <x:v>TRN-01</x:v>
      </x:c>
      <x:c r="B5" s="74" t="str">
        <x:v>Case Handlers</x:v>
      </x:c>
      <x:c r="C5" s="74" t="str">
        <x:v>Core dispute journey training</x:v>
      </x:c>
      <x:c r="D5" s="74" t="str">
        <x:v>Intake, evidence, ownership, referral, decisions, communications and closure.</x:v>
      </x:c>
      <x:c r="E5" s="74" t="str">
        <x:v>Role-based walkthrough + guided scenarios</x:v>
      </x:c>
      <x:c r="F5" s="74" t="str">
        <x:v>Before UAT / before go-live</x:v>
      </x:c>
      <x:c r="G5" s="74" t="str">
        <x:v>Product / Operations / Training</x:v>
      </x:c>
      <x:c r="H5" s="74" t="str">
        <x:v>Planned</x:v>
      </x:c>
      <x:c r="I5" s="75" t="str">
        <x:v>Training material and completion record</x:v>
      </x:c>
    </x:row>
    <x:row r="6">
      <x:c r="A6" s="73" t="str">
        <x:v>TRN-02</x:v>
      </x:c>
      <x:c r="B6" s="74" t="str">
        <x:v>Approvers</x:v>
      </x:c>
      <x:c r="C6" s="74" t="str">
        <x:v>Approval and segregation-of-duties training</x:v>
      </x:c>
      <x:c r="D6" s="74" t="str">
        <x:v>Approval authority, rationale, exceptions and audit expectations.</x:v>
      </x:c>
      <x:c r="E6" s="74" t="str">
        <x:v>Role-based briefing + scenarios</x:v>
      </x:c>
      <x:c r="F6" s="74" t="str">
        <x:v>Before UAT / before go-live</x:v>
      </x:c>
      <x:c r="G6" s="74" t="str">
        <x:v>Product / Risk</x:v>
      </x:c>
      <x:c r="H6" s="74" t="str">
        <x:v>Planned</x:v>
      </x:c>
      <x:c r="I6" s="75" t="str">
        <x:v>Briefing material and attendee evidence</x:v>
      </x:c>
    </x:row>
    <x:row r="7">
      <x:c r="A7" s="73" t="str">
        <x:v>TRN-03</x:v>
      </x:c>
      <x:c r="B7" s="74" t="str">
        <x:v>Specialists / Fraud / Complaints</x:v>
      </x:c>
      <x:c r="C7" s="74" t="str">
        <x:v>Referral-specific workflow training</x:v>
      </x:c>
      <x:c r="D7" s="74" t="str">
        <x:v>Scope of access, handoffs, authority boundaries and escalation.</x:v>
      </x:c>
      <x:c r="E7" s="74" t="str">
        <x:v>Role-based briefing</x:v>
      </x:c>
      <x:c r="F7" s="74" t="str">
        <x:v>Before go-live</x:v>
      </x:c>
      <x:c r="G7" s="74" t="str">
        <x:v>Operations / Functional Leads</x:v>
      </x:c>
      <x:c r="H7" s="74" t="str">
        <x:v>Planned</x:v>
      </x:c>
      <x:c r="I7" s="75" t="str">
        <x:v>Approved role guidance</x:v>
      </x:c>
    </x:row>
    <x:row r="8">
      <x:c r="A8" s="73" t="str">
        <x:v>TRN-04</x:v>
      </x:c>
      <x:c r="B8" s="74" t="str">
        <x:v>Support / Operations</x:v>
      </x:c>
      <x:c r="C8" s="74" t="str">
        <x:v>Operational support training</x:v>
      </x:c>
      <x:c r="D8" s="74" t="str">
        <x:v>Monitoring, incident intake, escalation, fallback and recovery responsibilities.</x:v>
      </x:c>
      <x:c r="E8" s="74" t="str">
        <x:v>Runbook walkthrough</x:v>
      </x:c>
      <x:c r="F8" s="74" t="str">
        <x:v>Before go-live</x:v>
      </x:c>
      <x:c r="G8" s="74" t="str">
        <x:v>Operations / Engineering</x:v>
      </x:c>
      <x:c r="H8" s="74" t="str">
        <x:v>Planned</x:v>
      </x:c>
      <x:c r="I8" s="75" t="str">
        <x:v>Runbook and support acceptance</x:v>
      </x:c>
    </x:row>
    <x:row r="9">
      <x:c r="A9" s="73" t="str">
        <x:v>TRN-05</x:v>
      </x:c>
      <x:c r="B9" s="74" t="str">
        <x:v>Security / Admin</x:v>
      </x:c>
      <x:c r="C9" s="74" t="str">
        <x:v>Privileged administration briefing</x:v>
      </x:c>
      <x:c r="D9" s="74" t="str">
        <x:v>Access provisioning, review, logging and safe privileged activity.</x:v>
      </x:c>
      <x:c r="E9" s="74" t="str">
        <x:v>Admin runbook walkthrough</x:v>
      </x:c>
      <x:c r="F9" s="74" t="str">
        <x:v>Before production access</x:v>
      </x:c>
      <x:c r="G9" s="74" t="str">
        <x:v>Security / Engineering</x:v>
      </x:c>
      <x:c r="H9" s="74" t="str">
        <x:v>Planned</x:v>
      </x:c>
      <x:c r="I9" s="75" t="str">
        <x:v>Admin runbook and access approval</x:v>
      </x:c>
    </x:row>
    <x:row r="10">
      <x:c r="A10" s="73" t="str">
        <x:v>TRN-06</x:v>
      </x:c>
      <x:c r="B10" s="74" t="str">
        <x:v>H3 AI Reviewers — only if approved</x:v>
      </x:c>
      <x:c r="C10" s="74" t="str">
        <x:v>Meaningful human-review training</x:v>
      </x:c>
      <x:c r="D10" s="74" t="str">
        <x:v>Grounding, Accept/Correct/Reject/Disregard, limitations, escalation and fallback.</x:v>
      </x:c>
      <x:c r="E10" s="74" t="str">
        <x:v>Controlled pilot training + examples</x:v>
      </x:c>
      <x:c r="F10" s="74" t="str">
        <x:v>Before H3 pilot</x:v>
      </x:c>
      <x:c r="G10" s="74" t="str">
        <x:v>Product / AI Owner / Risk</x:v>
      </x:c>
      <x:c r="H10" s="74" t="str">
        <x:v>Not Applicable Until H3 Approved</x:v>
      </x:c>
      <x:c r="I10" s="75" t="str">
        <x:v>Training/evaluation evidence</x:v>
      </x:c>
    </x:row>
    <x:row r="11">
      <x:c r="A11" s="73" t="str">
        <x:v>COM-01</x:v>
      </x:c>
      <x:c r="B11" s="74" t="str">
        <x:v>Business stakeholders</x:v>
      </x:c>
      <x:c r="C11" s="74" t="str">
        <x:v>Release scope communication</x:v>
      </x:c>
      <x:c r="D11" s="74" t="str">
        <x:v>What is included, excluded, risks, readiness and decision status.</x:v>
      </x:c>
      <x:c r="E11" s="74" t="str">
        <x:v>Release briefing</x:v>
      </x:c>
      <x:c r="F11" s="74" t="str">
        <x:v>Before go-live decision</x:v>
      </x:c>
      <x:c r="G11" s="74" t="str">
        <x:v>Product / Business</x:v>
      </x:c>
      <x:c r="H11" s="74" t="str">
        <x:v>Planned</x:v>
      </x:c>
      <x:c r="I11" s="75" t="str">
        <x:v>Approved briefing</x:v>
      </x:c>
    </x:row>
    <x:row r="12">
      <x:c r="A12" s="73" t="str">
        <x:v>COM-02</x:v>
      </x:c>
      <x:c r="B12" s="74" t="str">
        <x:v>End users</x:v>
      </x:c>
      <x:c r="C12" s="74" t="str">
        <x:v>Change communication</x:v>
      </x:c>
      <x:c r="D12" s="74" t="str">
        <x:v>What is changing, when, user actions, training/support route.</x:v>
      </x:c>
      <x:c r="E12" s="74" t="str">
        <x:v>Internal communication</x:v>
      </x:c>
      <x:c r="F12" s="74" t="str">
        <x:v>Before go-live</x:v>
      </x:c>
      <x:c r="G12" s="74" t="str">
        <x:v>Product / Communications</x:v>
      </x:c>
      <x:c r="H12" s="74" t="str">
        <x:v>Planned</x:v>
      </x:c>
      <x:c r="I12" s="75" t="str">
        <x:v>Approved message</x:v>
      </x:c>
    </x:row>
    <x:row r="13">
      <x:c r="A13" s="73" t="str">
        <x:v>COM-03</x:v>
      </x:c>
      <x:c r="B13" s="74" t="str">
        <x:v>Support teams</x:v>
      </x:c>
      <x:c r="C13" s="74" t="str">
        <x:v>Go-live support communication</x:v>
      </x:c>
      <x:c r="D13" s="74" t="str">
        <x:v>Support window, escalation contacts, severity route and known limitations.</x:v>
      </x:c>
      <x:c r="E13" s="74" t="str">
        <x:v>Operational briefing</x:v>
      </x:c>
      <x:c r="F13" s="74" t="str">
        <x:v>Before go-live</x:v>
      </x:c>
      <x:c r="G13" s="74" t="str">
        <x:v>Operations</x:v>
      </x:c>
      <x:c r="H13" s="74" t="str">
        <x:v>Planned</x:v>
      </x:c>
      <x:c r="I13" s="75" t="str">
        <x:v>Support contact matrix</x:v>
      </x:c>
    </x:row>
    <x:row r="14">
      <x:c r="A14" s="73" t="str">
        <x:v>COM-04</x:v>
      </x:c>
      <x:c r="B14" s="74" t="str">
        <x:v>Governance stakeholders</x:v>
      </x:c>
      <x:c r="C14" s="74" t="str">
        <x:v>Decision communication</x:v>
      </x:c>
      <x:c r="D14" s="74" t="str">
        <x:v>Go/Conditional Go/No-Go decision, residual risks and conditions.</x:v>
      </x:c>
      <x:c r="E14" s="74" t="str">
        <x:v>Formal decision record</x:v>
      </x:c>
      <x:c r="F14" s="74" t="str">
        <x:v>At release decision</x:v>
      </x:c>
      <x:c r="G14" s="74" t="str">
        <x:v>Release Authority</x:v>
      </x:c>
      <x:c r="H14" s="74" t="str">
        <x:v>Not Started</x:v>
      </x:c>
      <x:c r="I14" s="75" t="str">
        <x:v>Authorised decision record</x:v>
      </x:c>
    </x:row>
    <x:row r="15">
      <x:c r="A15" s="76" t="str">
        <x:v>COM-05</x:v>
      </x:c>
      <x:c r="B15" s="77" t="str">
        <x:v>Users and support</x:v>
      </x:c>
      <x:c r="C15" s="77" t="str">
        <x:v>Post-release update</x:v>
      </x:c>
      <x:c r="D15" s="77" t="str">
        <x:v>Known issues, early-life support information and transition status.</x:v>
      </x:c>
      <x:c r="E15" s="77" t="str">
        <x:v>Operational update</x:v>
      </x:c>
      <x:c r="F15" s="77" t="str">
        <x:v>After approved deployment</x:v>
      </x:c>
      <x:c r="G15" s="77" t="str">
        <x:v>Operations / Product</x:v>
      </x:c>
      <x:c r="H15" s="77" t="str">
        <x:v>Not Started</x:v>
      </x:c>
      <x:c r="I15" s="78" t="str">
        <x:v>Observed post-release status</x:v>
      </x:c>
    </x:row>
  </x:sheetData>
  <x:mergeCells>
    <x:mergeCell ref="A1:I1"/>
    <x:mergeCell ref="A2:I2"/>
  </x:mergeCells>
  <x:conditionalFormatting sqref="H5:H50">
    <x:cfRule type="expression" dxfId="5" priority="1">
      <x:formula>H5="Complete"</x:formula>
    </x:cfRule>
    <x:cfRule type="expression" dxfId="6" priority="2">
      <x:formula>H5="Planned"</x:formula>
    </x:cfRule>
  </x:conditionalFormatting>
  <x:dataValidations count="1">
    <x:dataValidation type="list" sqref="H5:H50">
      <x:formula1>"Planned,Not Started,Complete,Not Applicable Until H3 Approved"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8" hidden="0" customWidth="1"/>
    <x:col min="3" max="3" width="36" hidden="0" customWidth="1"/>
    <x:col min="4" max="4" width="42" hidden="0" customWidth="1"/>
    <x:col min="5" max="5" width="44" hidden="0" customWidth="1"/>
    <x:col min="6" max="6" width="42" hidden="0" customWidth="1"/>
    <x:col min="7" max="7" width="28" hidden="0" customWidth="1"/>
    <x:col min="8" max="8" width="40" hidden="0" customWidth="1"/>
    <x:col min="9" max="9" width="24" hidden="0" customWidth="1"/>
    <x:col min="10" max="10" width="38" hidden="0" customWidth="1"/>
  </x:cols>
  <x:sheetData>
    <x:row r="1">
      <x:c r="A1" s="5" t="str">
        <x:v>PayFix AI 2.0 — Rollback, Fallback and Release Safety Design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13" t="str">
        <x:v>Rollback and fallback are design controls. Technical viability must be demonstrated in the target environment before release.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4">
      <x:c r="A4" s="70" t="str">
        <x:v>Scenario ID</x:v>
      </x:c>
      <x:c r="B4" s="71" t="str">
        <x:v>Failure / Trigger</x:v>
      </x:c>
      <x:c r="C4" s="71" t="str">
        <x:v>Detection Signal</x:v>
      </x:c>
      <x:c r="D4" s="71" t="str">
        <x:v>Immediate Safe Action</x:v>
      </x:c>
      <x:c r="E4" s="71" t="str">
        <x:v>Rollback / Fallback Position</x:v>
      </x:c>
      <x:c r="F4" s="71" t="str">
        <x:v>Data Integrity Consideration</x:v>
      </x:c>
      <x:c r="G4" s="71" t="str">
        <x:v>Decision Owner</x:v>
      </x:c>
      <x:c r="H4" s="71" t="str">
        <x:v>Evidence Needed</x:v>
      </x:c>
      <x:c r="I4" s="71" t="str">
        <x:v>Current Status</x:v>
      </x:c>
      <x:c r="J4" s="72" t="str">
        <x:v>Notes</x:v>
      </x:c>
    </x:row>
    <x:row r="5">
      <x:c r="A5" s="73" t="str">
        <x:v>RB-01</x:v>
      </x:c>
      <x:c r="B5" s="74" t="str">
        <x:v>Release causes material failure in core case journey</x:v>
      </x:c>
      <x:c r="C5" s="74" t="str">
        <x:v>Monitoring/UAT-like smoke check shows critical journey unavailable</x:v>
      </x:c>
      <x:c r="D5" s="74" t="str">
        <x:v>Stop further rollout; protect in-flight work; invoke approved change rollback.</x:v>
      </x:c>
      <x:c r="E5" s="74" t="str">
        <x:v>Return to last known approved application/configuration state where technically safe.</x:v>
      </x:c>
      <x:c r="F5" s="74" t="str">
        <x:v>Preserve authoritative case state and audit trail; avoid partial/duplicate updates.</x:v>
      </x:c>
      <x:c r="G5" s="74" t="str">
        <x:v>Release / Engineering / Operations</x:v>
      </x:c>
      <x:c r="H5" s="74" t="str">
        <x:v>Rollback rehearsal or verified deployment rollback evidence</x:v>
      </x:c>
      <x:c r="I5" s="74" t="str">
        <x:v>Design Defined</x:v>
      </x:c>
      <x:c r="J5" s="75" t="str">
        <x:v>Exact rollback mechanism depends on target architecture.</x:v>
      </x:c>
    </x:row>
    <x:row r="6">
      <x:c r="A6" s="73" t="str">
        <x:v>RB-02</x:v>
      </x:c>
      <x:c r="B6" s="74" t="str">
        <x:v>Integration unavailable or unstable</x:v>
      </x:c>
      <x:c r="C6" s="74" t="str">
        <x:v>Integration errors/timeouts exceed accepted operational condition</x:v>
      </x:c>
      <x:c r="D6" s="74" t="str">
        <x:v>Use controlled queue/manual path or suspend affected automated action.</x:v>
      </x:c>
      <x:c r="E6" s="74" t="str">
        <x:v>Fallback to controlled manual/deterministic processing where designed.</x:v>
      </x:c>
      <x:c r="F6" s="74" t="str">
        <x:v>Prevent duplicate messages/actions; retain retry/audit context.</x:v>
      </x:c>
      <x:c r="G6" s="74" t="str">
        <x:v>Operations / Engineering / Product</x:v>
      </x:c>
      <x:c r="H6" s="74" t="str">
        <x:v>Integration failure-path tests</x:v>
      </x:c>
      <x:c r="I6" s="74" t="str">
        <x:v>Design Defined</x:v>
      </x:c>
      <x:c r="J6" s="75" t="str">
        <x:v>Do not invent automated retries without implementation evidence.</x:v>
      </x:c>
    </x:row>
    <x:row r="7">
      <x:c r="A7" s="73" t="str">
        <x:v>RB-03</x:v>
      </x:c>
      <x:c r="B7" s="74" t="str">
        <x:v>H2 automation behaves incorrectly</x:v>
      </x:c>
      <x:c r="C7" s="74" t="str">
        <x:v>Unexpected rule/automation output or elevated error pattern</x:v>
      </x:c>
      <x:c r="D7" s="74" t="str">
        <x:v>Disable/bypass affected automation and return to H1 manual-controlled path.</x:v>
      </x:c>
      <x:c r="E7" s="74" t="str">
        <x:v>H1 core processing continues without H2 automation.</x:v>
      </x:c>
      <x:c r="F7" s="74" t="str">
        <x:v>Ensure automated partial changes are reconciled before restart.</x:v>
      </x:c>
      <x:c r="G7" s="74" t="str">
        <x:v>Product / Engineering</x:v>
      </x:c>
      <x:c r="H7" s="74" t="str">
        <x:v>Feature-disable/bypass and reconciliation tests</x:v>
      </x:c>
      <x:c r="I7" s="74" t="str">
        <x:v>Design Defined</x:v>
      </x:c>
      <x:c r="J7" s="75" t="str">
        <x:v>H2 must remain separable from H1.</x:v>
      </x:c>
    </x:row>
    <x:row r="8">
      <x:c r="A8" s="73" t="str">
        <x:v>RB-04</x:v>
      </x:c>
      <x:c r="B8" s="74" t="str">
        <x:v>H3 AI unavailable</x:v>
      </x:c>
      <x:c r="C8" s="74" t="str">
        <x:v>Model/service call fails or times out</x:v>
      </x:c>
      <x:c r="D8" s="74" t="str">
        <x:v>Do not block core case handling; continue without AI summary.</x:v>
      </x:c>
      <x:c r="E8" s="74" t="str">
        <x:v>Manual reading/handoff process used.</x:v>
      </x:c>
      <x:c r="F8" s="74" t="str">
        <x:v>No authoritative state depends on AI output.</x:v>
      </x:c>
      <x:c r="G8" s="74" t="str">
        <x:v>Product / Operations</x:v>
      </x:c>
      <x:c r="H8" s="74" t="str">
        <x:v>Fallback tests and runbook</x:v>
      </x:c>
      <x:c r="I8" s="74" t="str">
        <x:v>Prototype Evidence Available</x:v>
      </x:c>
      <x:c r="J8" s="75" t="str">
        <x:v>Consistent with Step 28/UAT-20 design.</x:v>
      </x:c>
    </x:row>
    <x:row r="9">
      <x:c r="A9" s="73" t="str">
        <x:v>RB-05</x:v>
      </x:c>
      <x:c r="B9" s="74" t="str">
        <x:v>H3 AI output is unsafe/unusable</x:v>
      </x:c>
      <x:c r="C9" s="74" t="str">
        <x:v>Reviewer identifies unsupported, misleading or inappropriate content</x:v>
      </x:c>
      <x:c r="D9" s="74" t="str">
        <x:v>Reject/Disregard output; do not use for material action.</x:v>
      </x:c>
      <x:c r="E9" s="74" t="str">
        <x:v>Human-controlled process continues; investigate model/context issue.</x:v>
      </x:c>
      <x:c r="F9" s="74" t="str">
        <x:v>Keep human disposition/audit reference; do not overwrite authoritative facts.</x:v>
      </x:c>
      <x:c r="G9" s="74" t="str">
        <x:v>Product / AI Owner / Risk</x:v>
      </x:c>
      <x:c r="H9" s="74" t="str">
        <x:v>Human-review and negative-test evidence</x:v>
      </x:c>
      <x:c r="I9" s="74" t="str">
        <x:v>Prototype Evidence Available</x:v>
      </x:c>
      <x:c r="J9" s="75" t="str">
        <x:v>Accept/Correct/Reject/Disregard retained.</x:v>
      </x:c>
    </x:row>
    <x:row r="10">
      <x:c r="A10" s="73" t="str">
        <x:v>RB-06</x:v>
      </x:c>
      <x:c r="B10" s="74" t="str">
        <x:v>Security/privacy issue detected during release</x:v>
      </x:c>
      <x:c r="C10" s="74" t="str">
        <x:v>Security alert, access anomaly, data-handling concern</x:v>
      </x:c>
      <x:c r="D10" s="74" t="str">
        <x:v>Contain affected function, restrict access and initiate incident route.</x:v>
      </x:c>
      <x:c r="E10" s="74" t="str">
        <x:v>Rollback/disable affected capability subject to incident decision.</x:v>
      </x:c>
      <x:c r="F10" s="74" t="str">
        <x:v>Preserve investigation evidence and prevent further exposure.</x:v>
      </x:c>
      <x:c r="G10" s="74" t="str">
        <x:v>Security / Privacy / Operations</x:v>
      </x:c>
      <x:c r="H10" s="74" t="str">
        <x:v>Incident and containment evidence</x:v>
      </x:c>
      <x:c r="I10" s="74" t="str">
        <x:v>Design Defined</x:v>
      </x:c>
      <x:c r="J10" s="75" t="str">
        <x:v>Regulatory/legal decisions require authorised review.</x:v>
      </x:c>
    </x:row>
    <x:row r="11">
      <x:c r="A11" s="73" t="str">
        <x:v>RB-07</x:v>
      </x:c>
      <x:c r="B11" s="74" t="str">
        <x:v>Data integrity/reconciliation failure</x:v>
      </x:c>
      <x:c r="C11" s="74" t="str">
        <x:v>Mismatch between expected and authoritative state</x:v>
      </x:c>
      <x:c r="D11" s="74" t="str">
        <x:v>Pause affected processing; identify scope; prevent further writes.</x:v>
      </x:c>
      <x:c r="E11" s="74" t="str">
        <x:v>Rollback only where safe; otherwise controlled correction/reconciliation.</x:v>
      </x:c>
      <x:c r="F11" s="74" t="str">
        <x:v>Authoritative records must not be silently replaced.</x:v>
      </x:c>
      <x:c r="G11" s="74" t="str">
        <x:v>Product / Data / Engineering</x:v>
      </x:c>
      <x:c r="H11" s="74" t="str">
        <x:v>Reconciliation procedure and tested recovery evidence</x:v>
      </x:c>
      <x:c r="I11" s="74" t="str">
        <x:v>Design Defined</x:v>
      </x:c>
      <x:c r="J11" s="75" t="str">
        <x:v>Rollback is not always equivalent to data reversal.</x:v>
      </x:c>
    </x:row>
    <x:row r="12">
      <x:c r="A12" s="76" t="str">
        <x:v>RB-08</x:v>
      </x:c>
      <x:c r="B12" s="77" t="str">
        <x:v>Post-deployment smoke checks fail</x:v>
      </x:c>
      <x:c r="C12" s="77" t="str">
        <x:v>Critical health/business checks fail immediately after deployment</x:v>
      </x:c>
      <x:c r="D12" s="77" t="str">
        <x:v>Hold release progression and invoke agreed recovery decision.</x:v>
      </x:c>
      <x:c r="E12" s="77" t="str">
        <x:v>Rollback or remediate under change authority.</x:v>
      </x:c>
      <x:c r="F12" s="77" t="str">
        <x:v>Record deployment version, affected transactions/cases and outcome.</x:v>
      </x:c>
      <x:c r="G12" s="77" t="str">
        <x:v>Release Authority / Engineering / Operations</x:v>
      </x:c>
      <x:c r="H12" s="77" t="str">
        <x:v>Smoke-check evidence and decision record</x:v>
      </x:c>
      <x:c r="I12" s="77" t="str">
        <x:v>Planned</x:v>
      </x:c>
      <x:c r="J12" s="78" t="str">
        <x:v>No deployment has occurred.</x:v>
      </x:c>
    </x:row>
  </x:sheetData>
  <x:mergeCells>
    <x:mergeCell ref="A1:J1"/>
    <x:mergeCell ref="A2:J2"/>
  </x:mergeCells>
  <x:conditionalFormatting sqref="I5:I50">
    <x:cfRule type="expression" dxfId="7" priority="1">
      <x:formula>I5="Validated"</x:formula>
    </x:cfRule>
    <x:cfRule type="expression" dxfId="8" priority="2">
      <x:formula>I5="Prototype Evidence Available"</x:formula>
    </x:cfRule>
    <x:cfRule type="expression" dxfId="9" priority="3">
      <x:formula>I5="Design Defined"</x:formula>
    </x:cfRule>
  </x:conditionalFormatting>
  <x:dataValidations count="1">
    <x:dataValidation type="list" sqref="I5:I50">
      <x:formula1>"Design Defined,Prototype Evidence Available,Planned,Validated"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8" hidden="0" customWidth="1"/>
    <x:col min="3" max="3" width="48" hidden="0" customWidth="1"/>
    <x:col min="4" max="4" width="13" hidden="0" customWidth="1"/>
    <x:col min="5" max="5" width="17" hidden="0" customWidth="1"/>
    <x:col min="6" max="6" width="32" hidden="0" customWidth="1"/>
    <x:col min="7" max="7" width="30" hidden="0" customWidth="1"/>
    <x:col min="8" max="8" width="40" hidden="0" customWidth="1"/>
    <x:col min="10" max="10" width="18" hidden="0" customWidth="1"/>
    <x:col min="11" max="11" width="12" hidden="0" customWidth="1"/>
  </x:cols>
  <x:sheetData>
    <x:row r="1">
      <x:c r="A1" s="5" t="str">
        <x:v>PayFix AI 2.0 — Go-Live Decision Checklist</x:v>
      </x:c>
      <x:c r="B1" s="5"/>
      <x:c r="C1" s="5"/>
      <x:c r="D1" s="5"/>
      <x:c r="E1" s="5"/>
      <x:c r="F1" s="5"/>
      <x:c r="G1" s="5"/>
      <x:c r="H1" s="5"/>
    </x:row>
    <x:row r="2">
      <x:c r="A2" s="13" t="str">
        <x:v>Checklist status is intentionally open. A go-live decision may only be recorded against observed evidence and authorised approval.</x:v>
      </x:c>
      <x:c r="B2" s="13"/>
      <x:c r="C2" s="13"/>
      <x:c r="D2" s="13"/>
      <x:c r="E2" s="13"/>
      <x:c r="F2" s="13"/>
      <x:c r="G2" s="13"/>
      <x:c r="H2" s="13"/>
    </x:row>
    <x:row r="4">
      <x:c r="A4" s="21" t="str">
        <x:v>Current Release Decision</x:v>
      </x:c>
      <x:c r="B4" s="48" t="str">
        <x:v>NO-GO / NOT READY</x:v>
      </x:c>
      <x:c r="J4" s="39" t="str">
        <x:v>Go-Live Status</x:v>
      </x:c>
      <x:c r="K4" s="39" t="str">
        <x:v>Count</x:v>
      </x:c>
    </x:row>
    <x:row r="5">
      <x:c r="J5" s="21" t="str">
        <x:v>Complete</x:v>
      </x:c>
      <x:c r="K5" t="n">
        <x:f>COUNTIF(E7:E30,"Complete")</x:f>
        <x:v>0</x:v>
      </x:c>
    </x:row>
    <x:row r="6">
      <x:c r="A6" s="70" t="str">
        <x:v>Check ID</x:v>
      </x:c>
      <x:c r="B6" s="71" t="str">
        <x:v>Category</x:v>
      </x:c>
      <x:c r="C6" s="71" t="str">
        <x:v>Go-Live Check</x:v>
      </x:c>
      <x:c r="D6" s="71" t="str">
        <x:v>Blocking?</x:v>
      </x:c>
      <x:c r="E6" s="71" t="str">
        <x:v>Current Status</x:v>
      </x:c>
      <x:c r="F6" s="71" t="str">
        <x:v>Evidence Reference</x:v>
      </x:c>
      <x:c r="G6" s="71" t="str">
        <x:v>Decision Owner</x:v>
      </x:c>
      <x:c r="H6" s="72" t="str">
        <x:v>Notes</x:v>
      </x:c>
      <x:c r="J6" s="21" t="str">
        <x:v>Open</x:v>
      </x:c>
      <x:c r="K6" t="n">
        <x:f>COUNTIF(E7:E30,"Open")</x:f>
        <x:v>24</x:v>
      </x:c>
    </x:row>
    <x:row r="7">
      <x:c r="A7" s="73" t="str">
        <x:v>GL-01</x:v>
      </x:c>
      <x:c r="B7" s="74" t="str">
        <x:v>Scope</x:v>
      </x:c>
      <x:c r="C7" s="74" t="str">
        <x:v>Release scope, exclusions and version are formally agreed</x:v>
      </x:c>
      <x:c r="D7" s="74" t="str">
        <x:v>Yes</x:v>
      </x:c>
      <x:c r="E7" s="74" t="str">
        <x:v>Open</x:v>
      </x:c>
      <x:c r="F7" s="74" t="str"/>
      <x:c r="G7" s="74" t="str">
        <x:v>Product / Business</x:v>
      </x:c>
      <x:c r="H7" s="75" t="str"/>
      <x:c r="J7" s="21" t="str">
        <x:v>Blocked</x:v>
      </x:c>
      <x:c r="K7" t="n">
        <x:f>COUNTIF(E7:E30,"Blocked")</x:f>
        <x:v>0</x:v>
      </x:c>
    </x:row>
    <x:row r="8">
      <x:c r="A8" s="73" t="str">
        <x:v>GL-02</x:v>
      </x:c>
      <x:c r="B8" s="74" t="str">
        <x:v>Requirements</x:v>
      </x:c>
      <x:c r="C8" s="74" t="str">
        <x:v>Requirements/backlog/release traceability is current</x:v>
      </x:c>
      <x:c r="D8" s="74" t="str">
        <x:v>Yes</x:v>
      </x:c>
      <x:c r="E8" s="74" t="str">
        <x:v>Open</x:v>
      </x:c>
      <x:c r="F8" s="74" t="str"/>
      <x:c r="G8" s="74" t="str">
        <x:v>Business Analyst / Product</x:v>
      </x:c>
      <x:c r="H8" s="75" t="str"/>
      <x:c r="J8" s="21" t="str">
        <x:v>Not Applicable</x:v>
      </x:c>
      <x:c r="K8" t="n">
        <x:f>COUNTIF(E7:E30,"Not Applicable")</x:f>
        <x:v>0</x:v>
      </x:c>
    </x:row>
    <x:row r="9">
      <x:c r="A9" s="73" t="str">
        <x:v>GL-03</x:v>
      </x:c>
      <x:c r="B9" s="74" t="str">
        <x:v>Testing</x:v>
      </x:c>
      <x:c r="C9" s="74" t="str">
        <x:v>Required system/integration testing is complete</x:v>
      </x:c>
      <x:c r="D9" s="74" t="str">
        <x:v>Yes</x:v>
      </x:c>
      <x:c r="E9" s="74" t="str">
        <x:v>Open</x:v>
      </x:c>
      <x:c r="F9" s="74" t="str"/>
      <x:c r="G9" s="74" t="str">
        <x:v>QA / Engineering</x:v>
      </x:c>
      <x:c r="H9" s="75" t="str"/>
    </x:row>
    <x:row r="10">
      <x:c r="A10" s="73" t="str">
        <x:v>GL-04</x:v>
      </x:c>
      <x:c r="B10" s="74" t="str">
        <x:v>UAT</x:v>
      </x:c>
      <x:c r="C10" s="74" t="str">
        <x:v>Full-service UAT executed and acceptance decision recorded</x:v>
      </x:c>
      <x:c r="D10" s="74" t="str">
        <x:v>Yes</x:v>
      </x:c>
      <x:c r="E10" s="74" t="str">
        <x:v>Open</x:v>
      </x:c>
      <x:c r="F10" s="74" t="str"/>
      <x:c r="G10" s="74" t="str">
        <x:v>Business / Product</x:v>
      </x:c>
      <x:c r="H10" s="75" t="str"/>
    </x:row>
    <x:row r="11">
      <x:c r="A11" s="73" t="str">
        <x:v>GL-05</x:v>
      </x:c>
      <x:c r="B11" s="74" t="str">
        <x:v>Defects</x:v>
      </x:c>
      <x:c r="C11" s="74" t="str">
        <x:v>Release-blocking defects are resolved or formally dispositioned</x:v>
      </x:c>
      <x:c r="D11" s="74" t="str">
        <x:v>Yes</x:v>
      </x:c>
      <x:c r="E11" s="74" t="str">
        <x:v>Open</x:v>
      </x:c>
      <x:c r="F11" s="74" t="str"/>
      <x:c r="G11" s="74" t="str">
        <x:v>Product / QA / Business</x:v>
      </x:c>
      <x:c r="H11" s="75" t="str"/>
    </x:row>
    <x:row r="12">
      <x:c r="A12" s="73" t="str">
        <x:v>GL-06</x:v>
      </x:c>
      <x:c r="B12" s="74" t="str">
        <x:v>Security</x:v>
      </x:c>
      <x:c r="C12" s="74" t="str">
        <x:v>Required security implementation/testing evidence is approved</x:v>
      </x:c>
      <x:c r="D12" s="74" t="str">
        <x:v>Yes</x:v>
      </x:c>
      <x:c r="E12" s="74" t="str">
        <x:v>Open</x:v>
      </x:c>
      <x:c r="F12" s="74" t="str"/>
      <x:c r="G12" s="74" t="str">
        <x:v>Security</x:v>
      </x:c>
      <x:c r="H12" s="75" t="str"/>
    </x:row>
    <x:row r="13">
      <x:c r="A13" s="73" t="str">
        <x:v>GL-07</x:v>
      </x:c>
      <x:c r="B13" s="74" t="str">
        <x:v>Privacy</x:v>
      </x:c>
      <x:c r="C13" s="74" t="str">
        <x:v>Required privacy/DPIA/retention governance is approved</x:v>
      </x:c>
      <x:c r="D13" s="74" t="str">
        <x:v>Yes</x:v>
      </x:c>
      <x:c r="E13" s="74" t="str">
        <x:v>Open</x:v>
      </x:c>
      <x:c r="F13" s="74" t="str"/>
      <x:c r="G13" s="74" t="str">
        <x:v>Privacy / Legal</x:v>
      </x:c>
      <x:c r="H13" s="75" t="str"/>
    </x:row>
    <x:row r="14">
      <x:c r="A14" s="73" t="str">
        <x:v>GL-08</x:v>
      </x:c>
      <x:c r="B14" s="74" t="str">
        <x:v>Access</x:v>
      </x:c>
      <x:c r="C14" s="74" t="str">
        <x:v>Production RBAC, privileged access and MFA controls are verified</x:v>
      </x:c>
      <x:c r="D14" s="74" t="str">
        <x:v>Yes</x:v>
      </x:c>
      <x:c r="E14" s="74" t="str">
        <x:v>Open</x:v>
      </x:c>
      <x:c r="F14" s="74" t="str"/>
      <x:c r="G14" s="74" t="str">
        <x:v>Security / Engineering</x:v>
      </x:c>
      <x:c r="H14" s="75" t="str"/>
    </x:row>
    <x:row r="15">
      <x:c r="A15" s="73" t="str">
        <x:v>GL-09</x:v>
      </x:c>
      <x:c r="B15" s="74" t="str">
        <x:v>Environment</x:v>
      </x:c>
      <x:c r="C15" s="74" t="str">
        <x:v>Production environment/configuration is approved</x:v>
      </x:c>
      <x:c r="D15" s="74" t="str">
        <x:v>Yes</x:v>
      </x:c>
      <x:c r="E15" s="74" t="str">
        <x:v>Open</x:v>
      </x:c>
      <x:c r="F15" s="74" t="str"/>
      <x:c r="G15" s="74" t="str">
        <x:v>Engineering / Security</x:v>
      </x:c>
      <x:c r="H15" s="75" t="str"/>
    </x:row>
    <x:row r="16">
      <x:c r="A16" s="73" t="str">
        <x:v>GL-10</x:v>
      </x:c>
      <x:c r="B16" s="74" t="str">
        <x:v>Integrations</x:v>
      </x:c>
      <x:c r="C16" s="74" t="str">
        <x:v>Required integrations and failure paths are verified</x:v>
      </x:c>
      <x:c r="D16" s="74" t="str">
        <x:v>Yes</x:v>
      </x:c>
      <x:c r="E16" s="74" t="str">
        <x:v>Open</x:v>
      </x:c>
      <x:c r="F16" s="74" t="str"/>
      <x:c r="G16" s="74" t="str">
        <x:v>Engineering / Integration</x:v>
      </x:c>
      <x:c r="H16" s="75" t="str"/>
    </x:row>
    <x:row r="17">
      <x:c r="A17" s="73" t="str">
        <x:v>GL-11</x:v>
      </x:c>
      <x:c r="B17" s="74" t="str">
        <x:v>Data</x:v>
      </x:c>
      <x:c r="C17" s="74" t="str">
        <x:v>Production data sources, minimisation and retention rules are approved</x:v>
      </x:c>
      <x:c r="D17" s="74" t="str">
        <x:v>Yes</x:v>
      </x:c>
      <x:c r="E17" s="74" t="str">
        <x:v>Open</x:v>
      </x:c>
      <x:c r="F17" s="74" t="str"/>
      <x:c r="G17" s="74" t="str">
        <x:v>Privacy / Data / Product</x:v>
      </x:c>
      <x:c r="H17" s="75" t="str"/>
    </x:row>
    <x:row r="18">
      <x:c r="A18" s="73" t="str">
        <x:v>GL-12</x:v>
      </x:c>
      <x:c r="B18" s="74" t="str">
        <x:v>Monitoring</x:v>
      </x:c>
      <x:c r="C18" s="74" t="str">
        <x:v>Service, security and business monitoring is operational</x:v>
      </x:c>
      <x:c r="D18" s="74" t="str">
        <x:v>Yes</x:v>
      </x:c>
      <x:c r="E18" s="74" t="str">
        <x:v>Open</x:v>
      </x:c>
      <x:c r="F18" s="74" t="str"/>
      <x:c r="G18" s="74" t="str">
        <x:v>Operations / Engineering</x:v>
      </x:c>
      <x:c r="H18" s="75" t="str"/>
    </x:row>
    <x:row r="19">
      <x:c r="A19" s="73" t="str">
        <x:v>GL-13</x:v>
      </x:c>
      <x:c r="B19" s="74" t="str">
        <x:v>Support</x:v>
      </x:c>
      <x:c r="C19" s="74" t="str">
        <x:v>Support ownership, incident route and escalation contacts are active</x:v>
      </x:c>
      <x:c r="D19" s="74" t="str">
        <x:v>Yes</x:v>
      </x:c>
      <x:c r="E19" s="74" t="str">
        <x:v>Open</x:v>
      </x:c>
      <x:c r="F19" s="74" t="str"/>
      <x:c r="G19" s="74" t="str">
        <x:v>Operations</x:v>
      </x:c>
      <x:c r="H19" s="75" t="str"/>
    </x:row>
    <x:row r="20">
      <x:c r="A20" s="73" t="str">
        <x:v>GL-14</x:v>
      </x:c>
      <x:c r="B20" s="74" t="str">
        <x:v>Recovery</x:v>
      </x:c>
      <x:c r="C20" s="74" t="str">
        <x:v>Backup/restore and applicable recovery evidence is available</x:v>
      </x:c>
      <x:c r="D20" s="74" t="str">
        <x:v>Yes</x:v>
      </x:c>
      <x:c r="E20" s="74" t="str">
        <x:v>Open</x:v>
      </x:c>
      <x:c r="F20" s="74" t="str"/>
      <x:c r="G20" s="74" t="str">
        <x:v>Operations / Engineering</x:v>
      </x:c>
      <x:c r="H20" s="75" t="str"/>
    </x:row>
    <x:row r="21">
      <x:c r="A21" s="73" t="str">
        <x:v>GL-15</x:v>
      </x:c>
      <x:c r="B21" s="74" t="str">
        <x:v>Rollback</x:v>
      </x:c>
      <x:c r="C21" s="74" t="str">
        <x:v>Rollback/fallback approach is verified for target release</x:v>
      </x:c>
      <x:c r="D21" s="74" t="str">
        <x:v>Yes</x:v>
      </x:c>
      <x:c r="E21" s="74" t="str">
        <x:v>Open</x:v>
      </x:c>
      <x:c r="F21" s="74" t="str"/>
      <x:c r="G21" s="74" t="str">
        <x:v>Release / Engineering</x:v>
      </x:c>
      <x:c r="H21" s="75" t="str"/>
    </x:row>
    <x:row r="22">
      <x:c r="A22" s="73" t="str">
        <x:v>GL-16</x:v>
      </x:c>
      <x:c r="B22" s="74" t="str">
        <x:v>Training</x:v>
      </x:c>
      <x:c r="C22" s="74" t="str">
        <x:v>Required user/support/admin training is ready/completed</x:v>
      </x:c>
      <x:c r="D22" s="74" t="str">
        <x:v>Yes</x:v>
      </x:c>
      <x:c r="E22" s="74" t="str">
        <x:v>Open</x:v>
      </x:c>
      <x:c r="F22" s="74" t="str"/>
      <x:c r="G22" s="74" t="str">
        <x:v>Product / Operations / Training</x:v>
      </x:c>
      <x:c r="H22" s="75" t="str"/>
    </x:row>
    <x:row r="23">
      <x:c r="A23" s="73" t="str">
        <x:v>GL-17</x:v>
      </x:c>
      <x:c r="B23" s="74" t="str">
        <x:v>Communications</x:v>
      </x:c>
      <x:c r="C23" s="74" t="str">
        <x:v>Release and user/support communications are approved</x:v>
      </x:c>
      <x:c r="D23" s="74" t="str">
        <x:v>No</x:v>
      </x:c>
      <x:c r="E23" s="74" t="str">
        <x:v>Open</x:v>
      </x:c>
      <x:c r="F23" s="74" t="str"/>
      <x:c r="G23" s="74" t="str">
        <x:v>Product / Communications</x:v>
      </x:c>
      <x:c r="H23" s="75" t="str"/>
    </x:row>
    <x:row r="24">
      <x:c r="A24" s="73" t="str">
        <x:v>GL-18</x:v>
      </x:c>
      <x:c r="B24" s="74" t="str">
        <x:v>AI Scope</x:v>
      </x:c>
      <x:c r="C24" s="74" t="str">
        <x:v>If H3 is included, separate AI production approval is complete</x:v>
      </x:c>
      <x:c r="D24" s="74" t="str">
        <x:v>Conditional</x:v>
      </x:c>
      <x:c r="E24" s="74" t="str">
        <x:v>Open</x:v>
      </x:c>
      <x:c r="F24" s="74" t="str"/>
      <x:c r="G24" s="74" t="str">
        <x:v>Product / Risk / Security / Privacy</x:v>
      </x:c>
      <x:c r="H24" s="75" t="str">
        <x:v>Not required for an H1/H2-only release.</x:v>
      </x:c>
    </x:row>
    <x:row r="25">
      <x:c r="A25" s="73" t="str">
        <x:v>GL-19</x:v>
      </x:c>
      <x:c r="B25" s="74" t="str">
        <x:v>Residual Risk</x:v>
      </x:c>
      <x:c r="C25" s="74" t="str">
        <x:v>Residual risks and release conditions are documented and owned</x:v>
      </x:c>
      <x:c r="D25" s="74" t="str">
        <x:v>Yes</x:v>
      </x:c>
      <x:c r="E25" s="74" t="str">
        <x:v>Open</x:v>
      </x:c>
      <x:c r="F25" s="74" t="str"/>
      <x:c r="G25" s="74" t="str">
        <x:v>Release Authority</x:v>
      </x:c>
      <x:c r="H25" s="75" t="str"/>
    </x:row>
    <x:row r="26">
      <x:c r="A26" s="73" t="str">
        <x:v>GL-20</x:v>
      </x:c>
      <x:c r="B26" s="74" t="str">
        <x:v>Decision</x:v>
      </x:c>
      <x:c r="C26" s="74" t="str">
        <x:v>Authorised Go / Conditional Go / No-Go decision is recorded</x:v>
      </x:c>
      <x:c r="D26" s="74" t="str">
        <x:v>Yes</x:v>
      </x:c>
      <x:c r="E26" s="74" t="str">
        <x:v>Open</x:v>
      </x:c>
      <x:c r="F26" s="74" t="str"/>
      <x:c r="G26" s="74" t="str">
        <x:v>Release Authority</x:v>
      </x:c>
      <x:c r="H26" s="75" t="str">
        <x:v>Current decision remains No-Go / Not Ready.</x:v>
      </x:c>
    </x:row>
    <x:row r="27">
      <x:c r="A27" s="73" t="str">
        <x:v>GL-21</x:v>
      </x:c>
      <x:c r="B27" s="74" t="str">
        <x:v>Deployment</x:v>
      </x:c>
      <x:c r="C27" s="74" t="str">
        <x:v>Controlled deployment/change record exists</x:v>
      </x:c>
      <x:c r="D27" s="74" t="str">
        <x:v>Yes</x:v>
      </x:c>
      <x:c r="E27" s="74" t="str">
        <x:v>Open</x:v>
      </x:c>
      <x:c r="F27" s="74" t="str"/>
      <x:c r="G27" s="74" t="str">
        <x:v>Engineering / Operations</x:v>
      </x:c>
      <x:c r="H27" s="75" t="str">
        <x:v>Only after authorised Go.</x:v>
      </x:c>
    </x:row>
    <x:row r="28">
      <x:c r="A28" s="73" t="str">
        <x:v>GL-22</x:v>
      </x:c>
      <x:c r="B28" s="74" t="str">
        <x:v>Smoke Check</x:v>
      </x:c>
      <x:c r="C28" s="74" t="str">
        <x:v>Post-deployment critical service checks pass</x:v>
      </x:c>
      <x:c r="D28" s="74" t="str">
        <x:v>Yes</x:v>
      </x:c>
      <x:c r="E28" s="74" t="str">
        <x:v>Open</x:v>
      </x:c>
      <x:c r="F28" s="74" t="str"/>
      <x:c r="G28" s="74" t="str">
        <x:v>Engineering / Product / Operations</x:v>
      </x:c>
      <x:c r="H28" s="75" t="str">
        <x:v>Only after actual deployment.</x:v>
      </x:c>
    </x:row>
    <x:row r="29">
      <x:c r="A29" s="73" t="str">
        <x:v>GL-23</x:v>
      </x:c>
      <x:c r="B29" s="74" t="str">
        <x:v>Early Life</x:v>
      </x:c>
      <x:c r="C29" s="74" t="str">
        <x:v>Early-life support monitoring window is activated</x:v>
      </x:c>
      <x:c r="D29" s="74" t="str">
        <x:v>No</x:v>
      </x:c>
      <x:c r="E29" s="74" t="str">
        <x:v>Open</x:v>
      </x:c>
      <x:c r="F29" s="74" t="str"/>
      <x:c r="G29" s="74" t="str">
        <x:v>Operations / Product</x:v>
      </x:c>
      <x:c r="H29" s="75" t="str">
        <x:v>Only after actual deployment.</x:v>
      </x:c>
    </x:row>
    <x:row r="30">
      <x:c r="A30" s="76" t="str">
        <x:v>GL-24</x:v>
      </x:c>
      <x:c r="B30" s="77" t="str">
        <x:v>Handover</x:v>
      </x:c>
      <x:c r="C30" s="77" t="str">
        <x:v>Transition into live-service ownership is accepted</x:v>
      </x:c>
      <x:c r="D30" s="77" t="str">
        <x:v>Yes</x:v>
      </x:c>
      <x:c r="E30" s="77" t="str">
        <x:v>Open</x:v>
      </x:c>
      <x:c r="F30" s="77" t="str"/>
      <x:c r="G30" s="77" t="str">
        <x:v>Operations / Product</x:v>
      </x:c>
      <x:c r="H30" s="78" t="str">
        <x:v>Only after stable release.</x:v>
      </x:c>
    </x:row>
  </x:sheetData>
  <x:mergeCells>
    <x:mergeCell ref="A1:H1"/>
    <x:mergeCell ref="A2:H2"/>
  </x:mergeCells>
  <x:conditionalFormatting sqref="E7:E30">
    <x:cfRule type="expression" dxfId="10" priority="1">
      <x:formula>E7="Complete"</x:formula>
    </x:cfRule>
    <x:cfRule type="expression" dxfId="11" priority="2">
      <x:formula>E7="Open"</x:formula>
    </x:cfRule>
    <x:cfRule type="expression" dxfId="12" priority="3">
      <x:formula>E7="Blocked"</x:formula>
    </x:cfRule>
  </x:conditionalFormatting>
  <x:dataValidations count="2">
    <x:dataValidation type="list" sqref="D7:D30">
      <x:formula1>"Yes,No,Conditional"</x:formula1>
    </x:dataValidation>
    <x:dataValidation type="list" sqref="E7:E30">
      <x:formula1>"Open,Complete,Not Applicable,Blocked"</x:formula1>
    </x:dataValidation>
  </x:dataValidations>
  <x:pageMargins left="0.7" right="0.7" top="0.75" bottom="0.75" header="0.3" footer="0.3"/>
  <x:drawing xmlns:r="http://schemas.openxmlformats.org/officeDocument/2006/relationships" r:id="R38eea64ea8a348c2"/>
</x:worksheet>
</file>

<file path=xl/worksheets/sheet7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>
      <x:c r="A1" s="5" t="str">
        <x:v>PayFix AI 2.0 — Step 33 Release Decision Summary</x:v>
      </x:c>
      <x:c r="B1" s="5"/>
      <x:c r="C1" s="5"/>
      <x:c r="D1" s="5"/>
      <x:c r="E1" s="5"/>
      <x:c r="F1" s="5"/>
      <x:c r="G1" s="5"/>
      <x:c r="H1" s="5"/>
    </x:row>
    <x:row r="3">
      <x:c r="A3" s="21" t="str">
        <x:v>Current Release Decision</x:v>
      </x:c>
      <x:c r="B3" s="29" t="str">
        <x:v>NO-GO / NOT READY FOR GO-LIVE</x:v>
      </x:c>
      <x:c r="D3" s="39" t="str">
        <x:v>Planned Release Strategy</x:v>
      </x:c>
      <x:c r="E3" s="39"/>
      <x:c r="F3" s="39"/>
      <x:c r="G3" s="39"/>
      <x:c r="H3" s="39"/>
    </x:row>
    <x:row r="5">
      <x:c r="A5" s="21" t="str">
        <x:v>Production Deployment</x:v>
      </x:c>
      <x:c r="B5" s="51" t="str">
        <x:v>Not Performed</x:v>
      </x:c>
      <x:c r="D5" s="57" t="str">
        <x:v>1. Establish governance and target environment.
2. Implement and validate H1 core service.
3. Add approved H2 deterministic automation.
4. Complete prerequisite assurance and full-service UAT.
5. Obtain authorised release decision.
6. Deploy through controlled change and early-life support.
7. Introduce H3 AI only through a separate controlled production pilot if approved.</x:v>
      </x:c>
      <x:c r="E5" s="57"/>
      <x:c r="F5" s="57"/>
      <x:c r="G5" s="57"/>
      <x:c r="H5" s="57"/>
    </x:row>
    <x:row r="6">
      <x:c r="D6" s="57"/>
      <x:c r="E6" s="57"/>
      <x:c r="F6" s="57"/>
      <x:c r="G6" s="57"/>
      <x:c r="H6" s="57"/>
    </x:row>
    <x:row r="7">
      <x:c r="A7" s="21" t="str">
        <x:v>Production Approval</x:v>
      </x:c>
      <x:c r="B7" s="27" t="str">
        <x:v>Not Granted</x:v>
      </x:c>
      <x:c r="D7" s="57"/>
      <x:c r="E7" s="57"/>
      <x:c r="F7" s="57"/>
      <x:c r="G7" s="57"/>
      <x:c r="H7" s="57"/>
    </x:row>
    <x:row r="8">
      <x:c r="D8" s="57"/>
      <x:c r="E8" s="57"/>
      <x:c r="F8" s="57"/>
      <x:c r="G8" s="57"/>
      <x:c r="H8" s="57"/>
    </x:row>
    <x:row r="9">
      <x:c r="A9" s="70" t="str">
        <x:v>Release Readiness Metric</x:v>
      </x:c>
      <x:c r="B9" s="72" t="str">
        <x:v>Count</x:v>
      </x:c>
    </x:row>
    <x:row r="10">
      <x:c r="A10" s="88" t="str">
        <x:v>Release criteria ready</x:v>
      </x:c>
      <x:c r="B10" s="89" t="n">
        <x:f>COUNTIF(Release_Readiness!C7:C21,"Ready")</x:f>
        <x:v>2</x:v>
      </x:c>
      <x:c r="D10" s="39" t="str">
        <x:v>Key Release Boundaries</x:v>
      </x:c>
      <x:c r="E10" s="39"/>
      <x:c r="F10" s="39"/>
      <x:c r="G10" s="39"/>
      <x:c r="H10" s="39"/>
    </x:row>
    <x:row r="11">
      <x:c r="A11" s="88" t="str">
        <x:v>Release criteria not ready</x:v>
      </x:c>
      <x:c r="B11" s="89" t="n">
        <x:f>COUNTIF(Release_Readiness!C7:C21,"Not Ready")</x:f>
        <x:v>13</x:v>
      </x:c>
    </x:row>
    <x:row r="12">
      <x:c r="A12" s="88" t="str">
        <x:v>Go-live checks complete</x:v>
      </x:c>
      <x:c r="B12" s="89" t="n">
        <x:f>COUNTIF(GoLive_Checklist!E7:E30,"Complete")</x:f>
        <x:v>0</x:v>
      </x:c>
      <x:c r="D12" s="62" t="str">
        <x:v>• H1 core dispute service must work without AI.
• H2 deterministic automation must be separable and safely bypassable.
• H3 Evidence Summarisation / Handoff Summarisation require separate production approval and mandatory human review.
• H4 remains conditional and is not committed.
• No production release, UAT pass, training completion, security approval or go-live decision is fabricated.
• Any real data migration requirement would need a separate cutover and reconciliation plan.</x:v>
      </x:c>
      <x:c r="E12" s="62"/>
      <x:c r="F12" s="62"/>
      <x:c r="G12" s="62"/>
      <x:c r="H12" s="62"/>
    </x:row>
    <x:row r="13">
      <x:c r="A13" s="90" t="str">
        <x:v>Go-live checks open</x:v>
      </x:c>
      <x:c r="B13" s="91" t="n">
        <x:f>COUNTIF(GoLive_Checklist!E7:E30,"Open")</x:f>
        <x:v>24</x:v>
      </x:c>
      <x:c r="D13" s="62"/>
      <x:c r="E13" s="62"/>
      <x:c r="F13" s="62"/>
      <x:c r="G13" s="62"/>
      <x:c r="H13" s="62"/>
    </x:row>
    <x:row r="14">
      <x:c r="D14" s="62"/>
      <x:c r="E14" s="62"/>
      <x:c r="F14" s="62"/>
      <x:c r="G14" s="62"/>
      <x:c r="H14" s="62"/>
    </x:row>
    <x:row r="15">
      <x:c r="D15" s="62"/>
      <x:c r="E15" s="62"/>
      <x:c r="F15" s="62"/>
      <x:c r="G15" s="62"/>
      <x:c r="H15" s="62"/>
    </x:row>
    <x:row r="16">
      <x:c r="D16" s="62"/>
      <x:c r="E16" s="62"/>
      <x:c r="F16" s="62"/>
      <x:c r="G16" s="62"/>
      <x:c r="H16" s="62"/>
    </x:row>
    <x:row r="17">
      <x:c r="D17" s="62"/>
      <x:c r="E17" s="62"/>
      <x:c r="F17" s="62"/>
      <x:c r="G17" s="62"/>
      <x:c r="H17" s="62"/>
    </x:row>
    <x:row r="19">
      <x:c r="D19" s="39" t="str">
        <x:v>Step 33 Conclusion</x:v>
      </x:c>
      <x:c r="E19" s="39"/>
      <x:c r="F19" s="39"/>
      <x:c r="G19" s="39"/>
      <x:c r="H19" s="39"/>
    </x:row>
    <x:row r="21">
      <x:c r="D21" s="67" t="str">
        <x:v>Release and implementation governance is designed and traceable, including readiness criteria, phased implementation, dependencies, training/communications, rollback/fallback and go-live gates. The current service is NOT READY FOR GO-LIVE because full-service UAT, production security/privacy assurance, target-environment evidence and authorised release approval remain outstanding. Production Deployment: NOT PERFORMED. Production Approval: NOT GRANTED.</x:v>
      </x:c>
      <x:c r="E21" s="67"/>
      <x:c r="F21" s="67"/>
      <x:c r="G21" s="67"/>
      <x:c r="H21" s="67"/>
    </x:row>
    <x:row r="22">
      <x:c r="D22" s="67"/>
      <x:c r="E22" s="67"/>
      <x:c r="F22" s="67"/>
      <x:c r="G22" s="67"/>
      <x:c r="H22" s="67"/>
    </x:row>
    <x:row r="23">
      <x:c r="D23" s="67"/>
      <x:c r="E23" s="67"/>
      <x:c r="F23" s="67"/>
      <x:c r="G23" s="67"/>
      <x:c r="H23" s="67"/>
    </x:row>
    <x:row r="24">
      <x:c r="D24" s="67"/>
      <x:c r="E24" s="67"/>
      <x:c r="F24" s="67"/>
      <x:c r="G24" s="67"/>
      <x:c r="H24" s="67"/>
    </x:row>
    <x:row r="25">
      <x:c r="D25" s="67"/>
      <x:c r="E25" s="67"/>
      <x:c r="F25" s="67"/>
      <x:c r="G25" s="67"/>
      <x:c r="H25" s="67"/>
    </x:row>
  </x:sheetData>
  <x:mergeCells>
    <x:mergeCell ref="A1:H1"/>
    <x:mergeCell ref="D3:H3"/>
    <x:mergeCell ref="D5:H8"/>
    <x:mergeCell ref="D10:H10"/>
    <x:mergeCell ref="D12:H17"/>
    <x:mergeCell ref="D19:H19"/>
    <x:mergeCell ref="D21:H25"/>
  </x:mergeCells>
  <x:pageMargins left="0.7" right="0.7" top="0.75" bottom="0.75" header="0.3" footer="0.3"/>
  <x:drawing xmlns:r="http://schemas.openxmlformats.org/officeDocument/2006/relationships" r:id="R5124ab20b11b4565"/>
</x:worksheet>
</file>