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92d1e8739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_Matrix" sheetId="1" r:id="R54423170a6c64e42"/>
    <x:sheet xmlns:r="http://schemas.openxmlformats.org/officeDocument/2006/relationships" name="Evidence_Catalogue" sheetId="2" r:id="Rd736a7c0a97542ab"/>
    <x:sheet xmlns:r="http://schemas.openxmlformats.org/officeDocument/2006/relationships" name="Step_Crosswalk" sheetId="3" r:id="Rb358afd588994e59"/>
    <x:sheet xmlns:r="http://schemas.openxmlformats.org/officeDocument/2006/relationships" name="Interview_Examples" sheetId="4" r:id="Rd2bcc2d78b954bdc"/>
    <x:sheet xmlns:r="http://schemas.openxmlformats.org/officeDocument/2006/relationships" name="Capability_Summary" sheetId="5" r:id="R7fe734cc05a9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/>
    </x:xf>
    <x:xf numFmtId="0" fontId="4" fillId="4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c07db14f84a2d" /><Relationship Type="http://schemas.openxmlformats.org/officeDocument/2006/relationships/theme" Target="/xl/theme/theme1.xml" Id="Rc69b62f4c3514cb5" /><Relationship Type="http://schemas.openxmlformats.org/officeDocument/2006/relationships/sharedStrings" Target="/xl/sharedStrings.xml" Id="R8c591b9db5bb4f96" /><Relationship Type="http://schemas.openxmlformats.org/officeDocument/2006/relationships/worksheet" Target="/xl/worksheets/sheet1.xml" Id="R54423170a6c64e42" /><Relationship Type="http://schemas.openxmlformats.org/officeDocument/2006/relationships/worksheet" Target="/xl/worksheets/sheet2.xml" Id="Rd736a7c0a97542ab" /><Relationship Type="http://schemas.openxmlformats.org/officeDocument/2006/relationships/worksheet" Target="/xl/worksheets/sheet3.xml" Id="Rb358afd588994e59" /><Relationship Type="http://schemas.openxmlformats.org/officeDocument/2006/relationships/worksheet" Target="/xl/worksheets/sheet4.xml" Id="Rd2bcc2d78b954bdc" /><Relationship Type="http://schemas.openxmlformats.org/officeDocument/2006/relationships/worksheet" Target="/xl/worksheets/sheet5.xml" Id="R7fe734cc05a949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b96e38515148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Capability Evidence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'Capability_Summary'!$J$4:$J$6</c:f>
              <c:strCache>
                <c:ptCount val="0"/>
              </c:strCache>
            </c:strRef>
          </c:cat>
          <c:val>
            <c:numRef>
              <c:f>'Capability_Summary'!$K$4:$K$6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b96e38515148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29077b6d590453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4" hidden="0" customWidth="1"/>
    <x:col min="4" max="4" width="44" hidden="0" customWidth="1"/>
    <x:col min="5" max="5" width="42" hidden="0" customWidth="1"/>
    <x:col min="6" max="6" width="46" hidden="0" customWidth="1"/>
    <x:col min="7" max="7" width="28" hidden="0" customWidth="1"/>
    <x:col min="8" max="8" width="50" hidden="0" customWidth="1"/>
    <x:col min="9" max="9" width="48" hidden="0" customWidth="1"/>
    <x:col min="10" max="10" width="26" hidden="0" customWidth="1"/>
    <x:col min="11" max="11" width="46" hidden="0" customWidth="1"/>
    <x:col min="12" max="12" width="48" hidden="0" customWidth="1"/>
    <x:col min="13" max="13" width="46" hidden="0" customWidth="1"/>
  </x:cols>
  <x:sheetData>
    <x:row r="1" ht="30" customHeight="1">
      <x:c r="A1" s="5" t="str">
        <x:v>PayFix AI 2.0 — UK Government Business Analyst Working-Level Capability Evidence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Portfolio self-evidence matrix. This is not an official government assessment or accreditation. It maps the PayFix AI 2.0 artefacts to the nine Business Analyst working-level capability areas used for this portfolio.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64" t="str">
        <x:v>Capability ID</x:v>
      </x:c>
      <x:c r="B4" s="65" t="str">
        <x:v>Working-Level Capability</x:v>
      </x:c>
      <x:c r="C4" s="65" t="str">
        <x:v>PayFix Evidence Interpretation</x:v>
      </x:c>
      <x:c r="D4" s="65" t="str">
        <x:v>Primary Project Evidence</x:v>
      </x:c>
      <x:c r="E4" s="65" t="str">
        <x:v>Supporting Evidence</x:v>
      </x:c>
      <x:c r="F4" s="65" t="str">
        <x:v>Key Artefacts / Outputs</x:v>
      </x:c>
      <x:c r="G4" s="65" t="str">
        <x:v>Screenshot Evidence</x:v>
      </x:c>
      <x:c r="H4" s="65" t="str">
        <x:v>What I Personally Did</x:v>
      </x:c>
      <x:c r="I4" s="65" t="str">
        <x:v>What the Evidence Demonstrates</x:v>
      </x:c>
      <x:c r="J4" s="65" t="str">
        <x:v>Portfolio Evidence Status</x:v>
      </x:c>
      <x:c r="K4" s="65" t="str">
        <x:v>Important Limitation</x:v>
      </x:c>
      <x:c r="L4" s="65" t="str">
        <x:v>Interview Anchor</x:v>
      </x:c>
      <x:c r="M4" s="66" t="str">
        <x:v>Evidence Location</x:v>
      </x:c>
    </x:row>
    <x:row r="5">
      <x:c r="A5" s="67" t="str">
        <x:v>CAP-01</x:v>
      </x:c>
      <x:c r="B5" s="68" t="str">
        <x:v>Adapting to delivery methodologies</x:v>
      </x:c>
      <x:c r="C5" s="68" t="str">
        <x:v>Select and combine delivery approaches to suit discovery, planned delivery, operational work and risk.</x:v>
      </x:c>
      <x:c r="D5" s="68" t="str">
        <x:v>Agile Delivery Approach; Scrum Product Backlog; Discovery Kanban; H1–H4 delivery horizons.</x:v>
      </x:c>
      <x:c r="E5" s="68" t="str">
        <x:v>Steps 29–35 adapt governance for testing, assurance, release, live service and benefits.</x:v>
      </x:c>
      <x:c r="F5" s="68" t="str">
        <x:v>Jira/Confluence setup; Kanban board; 11 epics; 66 stories; release and live-service plans.</x:v>
      </x:c>
      <x:c r="G5" s="68" t="str">
        <x:v>Step 33: 195–201; Step 34: 202–209</x:v>
      </x:c>
      <x:c r="H5" s="68" t="str">
        <x:v>I defined an Agile delivery model using Scrum for planned increments and Kanban for discovery/support work, then kept the same delivery horizons through requirements, testing, release and operations.</x:v>
      </x:c>
      <x:c r="I5" s="68" t="str">
        <x:v>Shows method selection is tied to work type rather than treating Agile/Scrum/Kanban as interchangeable labels.</x:v>
      </x:c>
      <x:c r="J5" s="68" t="str">
        <x:v>Demonstrated</x:v>
      </x:c>
      <x:c r="K5" s="68" t="str">
        <x:v>No real organisation sprint velocity or production delivery history is claimed.</x:v>
      </x:c>
      <x:c r="L5" s="68" t="str">
        <x:v>Why did you use Scrum and Kanban together, and how did you prevent AI work from blocking the core service?</x:v>
      </x:c>
      <x:c r="M5" s="69" t="str">
        <x:v>Confluence: 10 Agile Delivery, 11 Scrum Delivery, 12 Kanban Management; Step 33–34 workbooks</x:v>
      </x:c>
    </x:row>
    <x:row r="6">
      <x:c r="A6" s="67" t="str">
        <x:v>CAP-02</x:v>
      </x:c>
      <x:c r="B6" s="68" t="str">
        <x:v>Business modelling</x:v>
      </x:c>
      <x:c r="C6" s="68" t="str">
        <x:v>Represent business actors, processes, information, responsibilities and system interactions clearly enough to support decisions.</x:v>
      </x:c>
      <x:c r="D6" s="68" t="str">
        <x:v>Step 20 As-Is process; Step 23 To-Be service design; Step 26 system context, architecture and logical data model.</x:v>
      </x:c>
      <x:c r="E6" s="68" t="str">
        <x:v>Step 18 stakeholder analysis; Step 32 access/authority model; Step 34 service ownership.</x:v>
      </x:c>
      <x:c r="F6" s="68" t="str">
        <x:v>As-Is/To-Be models; BPMN/process views; system context; 17 logical components; 24 entities; 9 interfaces; ownership models.</x:v>
      </x:c>
      <x:c r="G6" s="68" t="str">
        <x:v>Step 26: 148–158; Step 32: 191; Step 34: 202</x:v>
      </x:c>
      <x:c r="H6" s="68" t="str">
        <x:v>I modelled the current and future service, then linked the business process to systems, data, interfaces, roles and authority boundaries.</x:v>
      </x:c>
      <x:c r="I6" s="68" t="str">
        <x:v>Shows modelling across business and technology layers rather than producing isolated process diagrams.</x:v>
      </x:c>
      <x:c r="J6" s="68" t="str">
        <x:v>Demonstrated</x:v>
      </x:c>
      <x:c r="K6" s="68" t="str">
        <x:v>Models are portfolio designs and are not representations of a deployed PayFix production estate.</x:v>
      </x:c>
      <x:c r="L6" s="68" t="str">
        <x:v>How did your process model influence your system/data design?</x:v>
      </x:c>
      <x:c r="M6" s="69" t="str">
        <x:v>Confluence: 05 Business Modelling, 06 Business Process Improvement, 08 Digital and Data Systems Analysis</x:v>
      </x:c>
    </x:row>
    <x:row r="7">
      <x:c r="A7" s="67" t="str">
        <x:v>CAP-03</x:v>
      </x:c>
      <x:c r="B7" s="68" t="str">
        <x:v>Business process improvement</x:v>
      </x:c>
      <x:c r="C7" s="68" t="str">
        <x:v>Use evidence to identify process problems, redesign flow and define how improvement will be measured.</x:v>
      </x:c>
      <x:c r="D7" s="68" t="str">
        <x:v>Step 17 baseline analysis; Step 19 root-cause analysis; Step 20 As-Is; Step 23 To-Be.</x:v>
      </x:c>
      <x:c r="E7" s="68" t="str">
        <x:v>Step 22 options appraisal; Step 35 benefits/KPI framework and PIR plan.</x:v>
      </x:c>
      <x:c r="F7" s="68" t="str">
        <x:v>Baseline KPIs; root-cause analysis; As-Is/To-Be comparison; improvement opportunities; 10 benefits; 14 KPIs.</x:v>
      </x:c>
      <x:c r="G7" s="68" t="str">
        <x:v>Step 35: 210–216</x:v>
      </x:c>
      <x:c r="H7" s="68" t="str">
        <x:v>I used the synthetic baseline to identify friction, explored root causes, redesigned the workflow, and defined a benefits framework to test whether the future process actually improves outcomes.</x:v>
      </x:c>
      <x:c r="I7" s="68" t="str">
        <x:v>Shows improvement is evidence-led and measurable rather than based only on a future-state diagram.</x:v>
      </x:c>
      <x:c r="J7" s="68" t="str">
        <x:v>Demonstrated</x:v>
      </x:c>
      <x:c r="K7" s="68" t="str">
        <x:v>Future benefits are hypotheses; no production improvement is claimed.</x:v>
      </x:c>
      <x:c r="L7" s="68" t="str">
        <x:v>Give an example of how you moved from a baseline problem to a measurable To-Be improvement.</x:v>
      </x:c>
      <x:c r="M7" s="69" t="str">
        <x:v>Confluence: 06 Business Process Improvement; 17 Benefits and Performance</x:v>
      </x:c>
    </x:row>
    <x:row r="8">
      <x:c r="A8" s="67" t="str">
        <x:v>CAP-04</x:v>
      </x:c>
      <x:c r="B8" s="68" t="str">
        <x:v>Context, problem and option analysis</x:v>
      </x:c>
      <x:c r="C8" s="68" t="str">
        <x:v>Understand the problem in context, separate symptoms from causes, compare options and make traceable decisions.</x:v>
      </x:c>
      <x:c r="D8" s="68" t="str">
        <x:v>Steps 17–19 baseline, stakeholder and root-cause analysis; Step 22 options appraisal + AI suitability.</x:v>
      </x:c>
      <x:c r="E8" s="68" t="str">
        <x:v>Step 27 Responsible AI controls; Step 32 assurance gates; Step 33 release boundaries.</x:v>
      </x:c>
      <x:c r="F8" s="68" t="str">
        <x:v>Problem/context analysis; root-cause evidence; MCDA/options appraisal; AI suitability; assumptions/constraints.</x:v>
      </x:c>
      <x:c r="G8" s="68" t="str">
        <x:v>Step 27: 159–167; Step 32: 189–194; Step 33: 195–201</x:v>
      </x:c>
      <x:c r="H8" s="68" t="str">
        <x:v>I avoided assuming AI was the solution, compared options before selecting controlled AI pilots, and kept H1/H2 viable without AI.</x:v>
      </x:c>
      <x:c r="I8" s="68" t="str">
        <x:v>Shows structured problem framing, option comparison, uncertainty handling and explicit constraints.</x:v>
      </x:c>
      <x:c r="J8" s="68" t="str">
        <x:v>Demonstrated</x:v>
      </x:c>
      <x:c r="K8" s="68" t="str">
        <x:v>Options were assessed in a portfolio context using synthetic evidence rather than live commercial procurement data.</x:v>
      </x:c>
      <x:c r="L8" s="68" t="str">
        <x:v>Why did you not automate the whole dispute process with AI?</x:v>
      </x:c>
      <x:c r="M8" s="69" t="str">
        <x:v>Confluence: 02 Context, Problem and Options; 09 Responsible AI and Agent Design</x:v>
      </x:c>
    </x:row>
    <x:row r="9">
      <x:c r="A9" s="67" t="str">
        <x:v>CAP-05</x:v>
      </x:c>
      <x:c r="B9" s="68" t="str">
        <x:v>Defining/managing business needs, user needs and requirements</x:v>
      </x:c>
      <x:c r="C9" s="68" t="str">
        <x:v>Translate business/user needs into controlled, testable requirements and delivery units while preserving traceability.</x:v>
      </x:c>
      <x:c r="D9" s="68" t="str">
        <x:v>Step 24 Requirements Baseline: 228 requirements; Step 25 Product Backlog: 66 stories.</x:v>
      </x:c>
      <x:c r="E9" s="68" t="str">
        <x:v>Step 21 UX discovery; Step 30 requirements-to-test traceability; Step 31 UAT governance.</x:v>
      </x:c>
      <x:c r="F9" s="68" t="str">
        <x:v>17 BR; 19 UR; 52 FR; 50 DR; 36 UXR; 18 CR; 20 NFR; 16 AIR; RTM and UAT links.</x:v>
      </x:c>
      <x:c r="G9" s="68" t="str">
        <x:v>Step 30: 180–184; Step 31: 185–188</x:v>
      </x:c>
      <x:c r="H9" s="68" t="str">
        <x:v>I structured needs across business, user, functional, data, UX, control, non-functional and AI requirements, then mapped supported requirements into backlog stories and test cases.</x:v>
      </x:c>
      <x:c r="I9" s="68" t="str">
        <x:v>Shows requirements are managed as a traceable baseline rather than a disconnected list of features.</x:v>
      </x:c>
      <x:c r="J9" s="68" t="str">
        <x:v>Demonstrated</x:v>
      </x:c>
      <x:c r="K9" s="68" t="str">
        <x:v>CR-013 to CR-015 remain visible source-definition gaps rather than being invented.</x:v>
      </x:c>
      <x:c r="L9" s="68" t="str">
        <x:v>How did you manage 228 requirements without creating one Jira story for every requirement?</x:v>
      </x:c>
      <x:c r="M9" s="69" t="str">
        <x:v>Confluence: 07 Business and User Requirements, 11 Scrum Delivery, 13 Testing and UAT</x:v>
      </x:c>
    </x:row>
    <x:row r="10">
      <x:c r="A10" s="67" t="str">
        <x:v>CAP-06</x:v>
      </x:c>
      <x:c r="B10" s="68" t="str">
        <x:v>Digital and data systems analysis</x:v>
      </x:c>
      <x:c r="C10" s="68" t="str">
        <x:v>Analyse how systems, data, interfaces, APIs, authority, resilience and AI components support business needs.</x:v>
      </x:c>
      <x:c r="D10" s="68" t="str">
        <x:v>Step 26 Digital and Data Systems Analysis.</x:v>
      </x:c>
      <x:c r="E10" s="68" t="str">
        <x:v>Step 27 AI architecture; Step 32 data classification/security/privacy; Step 34 monitoring/resilience.</x:v>
      </x:c>
      <x:c r="F10" s="68" t="str">
        <x:v>17 logical components; 24 entities; 9 interfaces; 15 operations; 10 authority categories; AI non-authoritative boundary.</x:v>
      </x:c>
      <x:c r="G10" s="68" t="str">
        <x:v>Step 26: 148–158; Step 27: 159–167; Step 32: 189–193; Step 34: 203, 206</x:v>
      </x:c>
      <x:c r="H10" s="68" t="str">
        <x:v>I translated business requirements into system context, logical architecture, data model, integration/API exchanges, access rules and resilience controls.</x:v>
      </x:c>
      <x:c r="I10" s="68" t="str">
        <x:v>Shows ability to bridge business analysis and technical design without treating the BA as the solution architect.</x:v>
      </x:c>
      <x:c r="J10" s="68" t="str">
        <x:v>Demonstrated</x:v>
      </x:c>
      <x:c r="K10" s="68" t="str">
        <x:v>Architecture is logical/design-level; production infrastructure and provider selection are not claimed.</x:v>
      </x:c>
      <x:c r="L10" s="68" t="str">
        <x:v>How did you make sure AI could assist the service without becoming the authoritative system?</x:v>
      </x:c>
      <x:c r="M10" s="69" t="str">
        <x:v>Confluence: 08 Digital and Data Systems Analysis, 09 Responsible AI and Agent Design</x:v>
      </x:c>
    </x:row>
    <x:row r="11">
      <x:c r="A11" s="67" t="str">
        <x:v>CAP-07</x:v>
      </x:c>
      <x:c r="B11" s="68" t="str">
        <x:v>Stakeholder relationship management</x:v>
      </x:c>
      <x:c r="C11" s="68" t="str">
        <x:v>Identify stakeholder interests, responsibilities, decision rights and engagement needs and use them to shape governance and delivery.</x:v>
      </x:c>
      <x:c r="D11" s="68" t="str">
        <x:v>Step 18 stakeholder analysis and governance design.</x:v>
      </x:c>
      <x:c r="E11" s="68" t="str">
        <x:v>Steps 29–35 define testers, approvers, Security, Privacy, Product, Operations, Service Owner and specialist roles.</x:v>
      </x:c>
      <x:c r="F11" s="68" t="str">
        <x:v>Stakeholder analysis; RACI/ownership concepts; UAT approval model; assurance owners; release authority; service ownership.</x:v>
      </x:c>
      <x:c r="G11" s="68" t="str">
        <x:v>Step 29: 177–179; Step 31: 187–188; Step 34: 202, 207–209</x:v>
      </x:c>
      <x:c r="H11" s="68" t="str">
        <x:v>I identified stakeholder groups, decision rights and handoffs, then carried those responsibilities through UAT, release, operational ownership and benefits review.</x:v>
      </x:c>
      <x:c r="I11" s="68" t="str">
        <x:v>Demonstrates stakeholder mapping and governance design across the lifecycle.</x:v>
      </x:c>
      <x:c r="J11" s="68" t="str">
        <x:v>Demonstrated with limitation</x:v>
      </x:c>
      <x:c r="K11" s="68" t="str">
        <x:v>This portfolio does not claim real organisational interviews, workshops or relationship outcomes; direct live stakeholder engagement evidence is limited.</x:v>
      </x:c>
      <x:c r="L11" s="68" t="str">
        <x:v>How would you manage disagreement between Operations, Security and Product about releasing a feature?</x:v>
      </x:c>
      <x:c r="M11" s="69" t="str">
        <x:v>Confluence: 03 Stakeholders and Governance; Steps 29–35</x:v>
      </x:c>
    </x:row>
    <x:row r="12">
      <x:c r="A12" s="67" t="str">
        <x:v>CAP-08</x:v>
      </x:c>
      <x:c r="B12" s="68" t="str">
        <x:v>Testing for business analysis</x:v>
      </x:c>
      <x:c r="C12" s="68" t="str">
        <x:v>Define business acceptance evidence, trace requirements to tests, support defect/retest governance and protect the integrity of acceptance decisions.</x:v>
      </x:c>
      <x:c r="D12" s="68" t="str">
        <x:v>Step 29 UAT Strategy; Step 30 RTM + 20 detailed UAT cases; Step 31 readiness/defect/retest/sign-off design.</x:v>
      </x:c>
      <x:c r="E12" s="68" t="str">
        <x:v>Step 28 controlled AI prototype evaluation; Step 32–33 assurance/release gates.</x:v>
      </x:c>
      <x:c r="F12" s="68" t="str">
        <x:v>20 UAT cases; RTM; 26 AI scenarios; 23 usable AI outputs; 3 disregarded; 0 critical failures; defect/retest/sign-off structures.</x:v>
      </x:c>
      <x:c r="G12" s="68" t="str">
        <x:v>Step 28: 168–176; Step 29: 177–179; Step 30: 180–184; Step 31: 185–188</x:v>
      </x:c>
      <x:c r="H12" s="68" t="str">
        <x:v>I separated prototype evaluation from full-service UAT, designed traceable business tests, and refused to record passes, defects or sign-off without observed execution.</x:v>
      </x:c>
      <x:c r="I12" s="68" t="str">
        <x:v>Shows business testing discipline, traceability and evidence integrity.</x:v>
      </x:c>
      <x:c r="J12" s="68" t="str">
        <x:v>Demonstrated</x:v>
      </x:c>
      <x:c r="K12" s="68" t="str">
        <x:v>Full-service UAT has not been executed because the complete representative service does not exist.</x:v>
      </x:c>
      <x:c r="L12" s="68" t="str">
        <x:v>What is the difference between your Step 28 AI evaluation and full-service UAT?</x:v>
      </x:c>
      <x:c r="M12" s="69" t="str">
        <x:v>Confluence: 13 Testing and UAT; Step 28 prototype evidence</x:v>
      </x:c>
    </x:row>
    <x:row r="13">
      <x:c r="A13" s="70" t="str">
        <x:v>CAP-09</x:v>
      </x:c>
      <x:c r="B13" s="71" t="str">
        <x:v>User experience analysis</x:v>
      </x:c>
      <x:c r="C13" s="71" t="str">
        <x:v>Understand user tasks, pain points, information needs and interaction requirements and translate them into service/UX requirements.</x:v>
      </x:c>
      <x:c r="D13" s="71" t="str">
        <x:v>Step 21 User Research / UX Discovery; Step 23 To-Be service design; Step 24 UXR requirements.</x:v>
      </x:c>
      <x:c r="E13" s="71" t="str">
        <x:v>Step 30 UAT scenarios validate user/business journeys; Step 35 customer/contact measures.</x:v>
      </x:c>
      <x:c r="F13" s="71" t="str">
        <x:v>UX hypotheses/research design; user needs; 36 UXR requirements; journey-oriented UAT; customer-contact and complaint measures.</x:v>
      </x:c>
      <x:c r="G13" s="71" t="str">
        <x:v>Step 30: 180–183; Step 35: 210–215</x:v>
      </x:c>
      <x:c r="H13" s="71" t="str">
        <x:v>I analysed user journeys and pain points, converted them into UX requirements and ensured the future process and test cases covered understandable states, evidence handling, handoffs and outcomes.</x:v>
      </x:c>
      <x:c r="I13" s="71" t="str">
        <x:v>Shows UX analysis is connected to requirements, process design and acceptance rather than only screen design.</x:v>
      </x:c>
      <x:c r="J13" s="71" t="str">
        <x:v>Demonstrated with limitation</x:v>
      </x:c>
      <x:c r="K13" s="71" t="str">
        <x:v>No real-user interviews, quotes or usability sessions are claimed; user-research outputs are portfolio hypotheses/design evidence.</x:v>
      </x:c>
      <x:c r="L13" s="71" t="str">
        <x:v>How did you include user needs without pretending you had interviewed real PayFix customers?</x:v>
      </x:c>
      <x:c r="M13" s="72" t="str">
        <x:v>Confluence: 04 User Research and User Experience, 07 Business and User Requirements</x:v>
      </x:c>
    </x:row>
  </x:sheetData>
  <x:mergeCells>
    <x:mergeCell ref="A1:M1"/>
    <x:mergeCell ref="A2:M2"/>
  </x:mergeCells>
  <x:conditionalFormatting sqref="J5:J30">
    <x:cfRule type="expression" dxfId="0" priority="1">
      <x:formula>J5="Demonstrated"</x:formula>
    </x:cfRule>
    <x:cfRule type="expression" dxfId="1" priority="2">
      <x:formula>J5="Demonstrated with limitation"</x:formula>
    </x:cfRule>
    <x:cfRule type="expression" dxfId="2" priority="3">
      <x:formula>J5="Evidence gap"</x:formula>
    </x:cfRule>
  </x:conditionalFormatting>
  <x:dataValidations count="1">
    <x:dataValidation type="list" sqref="J5:J30">
      <x:formula1>"Demonstrated,Demonstrated with limitation,Evidence gap"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34" hidden="0" customWidth="1"/>
    <x:col min="5" max="5" width="44" hidden="0" customWidth="1"/>
    <x:col min="6" max="6" width="42" hidden="0" customWidth="1"/>
    <x:col min="7" max="7" width="42" hidden="0" customWidth="1"/>
    <x:col min="8" max="8" width="24" hidden="0" customWidth="1"/>
    <x:col min="9" max="9" width="24" hidden="0" customWidth="1"/>
    <x:col min="10" max="10" width="44" hidden="0" customWidth="1"/>
    <x:col min="11" max="11" width="40" hidden="0" customWidth="1"/>
  </x:cols>
  <x:sheetData>
    <x:row r="1">
      <x:c r="A1" s="5" t="str">
        <x:v>PayFix AI 2.0 — Detailed Capability Evidence Catalogue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This catalogue breaks the capability matrix into individual evidence items so a recruiter/interviewer can see what artefact supports each claim.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64" t="str">
        <x:v>Evidence ID</x:v>
      </x:c>
      <x:c r="B4" s="65" t="str">
        <x:v>Capability ID</x:v>
      </x:c>
      <x:c r="C4" s="65" t="str">
        <x:v>Step / Stage</x:v>
      </x:c>
      <x:c r="D4" s="65" t="str">
        <x:v>Evidence / Artefact</x:v>
      </x:c>
      <x:c r="E4" s="65" t="str">
        <x:v>Concrete Evidence</x:v>
      </x:c>
      <x:c r="F4" s="65" t="str">
        <x:v>Business Analysis Action</x:v>
      </x:c>
      <x:c r="G4" s="65" t="str">
        <x:v>Outcome / Decision Enabled</x:v>
      </x:c>
      <x:c r="H4" s="65" t="str">
        <x:v>Screenshot Ref</x:v>
      </x:c>
      <x:c r="I4" s="65" t="str">
        <x:v>Evidence Type</x:v>
      </x:c>
      <x:c r="J4" s="65" t="str">
        <x:v>Integrity Position</x:v>
      </x:c>
      <x:c r="K4" s="66" t="str">
        <x:v>Portfolio Location</x:v>
      </x:c>
    </x:row>
    <x:row r="5">
      <x:c r="A5" s="67" t="str">
        <x:v>EV-001</x:v>
      </x:c>
      <x:c r="B5" s="68" t="str">
        <x:v>CAP-01</x:v>
      </x:c>
      <x:c r="C5" s="68" t="str">
        <x:v>Steps 1–15</x:v>
      </x:c>
      <x:c r="D5" s="68" t="str">
        <x:v>Agile Delivery Approach</x:v>
      </x:c>
      <x:c r="E5" s="68" t="str">
        <x:v>Agile overall; Scrum for planned increments; Kanban for discovery/defects/support.</x:v>
      </x:c>
      <x:c r="F5" s="68" t="str">
        <x:v>Selected fit-for-purpose delivery approaches.</x:v>
      </x:c>
      <x:c r="G5" s="68" t="str">
        <x:v>Created a delivery model aligned to different work types.</x:v>
      </x:c>
      <x:c r="H5" s="68" t="str">
        <x:v>Earlier portfolio evidence</x:v>
      </x:c>
      <x:c r="I5" s="68" t="str">
        <x:v>Method / Governance</x:v>
      </x:c>
      <x:c r="J5" s="68" t="str">
        <x:v>Design evidence; no fabricated sprint performance.</x:v>
      </x:c>
      <x:c r="K5" s="69" t="str">
        <x:v>10 Agile Delivery Approach / 11 Scrum / 12 Kanban</x:v>
      </x:c>
    </x:row>
    <x:row r="6">
      <x:c r="A6" s="67" t="str">
        <x:v>EV-002</x:v>
      </x:c>
      <x:c r="B6" s="68" t="str">
        <x:v>CAP-01</x:v>
      </x:c>
      <x:c r="C6" s="68" t="str">
        <x:v>Step 25</x:v>
      </x:c>
      <x:c r="D6" s="68" t="str">
        <x:v>Product Backlog</x:v>
      </x:c>
      <x:c r="E6" s="68" t="str">
        <x:v>11 epics, 66 user stories across H1–H3; H4 conditional.</x:v>
      </x:c>
      <x:c r="F6" s="68" t="str">
        <x:v>Converted requirements into coherent delivery units.</x:v>
      </x:c>
      <x:c r="G6" s="68" t="str">
        <x:v>Established controlled incremental scope.</x:v>
      </x:c>
      <x:c r="H6" s="68" t="str">
        <x:v>Step 25 source artefact</x:v>
      </x:c>
      <x:c r="I6" s="68" t="str">
        <x:v>Backlog</x:v>
      </x:c>
      <x:c r="J6" s="68" t="str">
        <x:v>Story IDs are portfolio IDs; Jira keys remain separate.</x:v>
      </x:c>
      <x:c r="K6" s="69" t="str">
        <x:v>11 Scrum Delivery</x:v>
      </x:c>
    </x:row>
    <x:row r="7">
      <x:c r="A7" s="67" t="str">
        <x:v>EV-003</x:v>
      </x:c>
      <x:c r="B7" s="68" t="str">
        <x:v>CAP-01</x:v>
      </x:c>
      <x:c r="C7" s="68" t="str">
        <x:v>Step 33</x:v>
      </x:c>
      <x:c r="D7" s="68" t="str">
        <x:v>Implementation Plan</x:v>
      </x:c>
      <x:c r="E7" s="68" t="str">
        <x:v>12-stage phased implementation including H1, H2, UAT, release gate, H3 optional.</x:v>
      </x:c>
      <x:c r="F7" s="68" t="str">
        <x:v>Adapted lifecycle governance into release sequencing.</x:v>
      </x:c>
      <x:c r="G7" s="68" t="str">
        <x:v>Protected H1/H2 from dependency on AI approval.</x:v>
      </x:c>
      <x:c r="H7" s="68" t="str">
        <x:v>196, 200</x:v>
      </x:c>
      <x:c r="I7" s="68" t="str">
        <x:v>Release Planning</x:v>
      </x:c>
      <x:c r="J7" s="68" t="str">
        <x:v>No production release claimed.</x:v>
      </x:c>
      <x:c r="K7" s="69" t="str">
        <x:v>15 Release and Implementation</x:v>
      </x:c>
    </x:row>
    <x:row r="8">
      <x:c r="A8" s="67" t="str">
        <x:v>EV-004</x:v>
      </x:c>
      <x:c r="B8" s="68" t="str">
        <x:v>CAP-02</x:v>
      </x:c>
      <x:c r="C8" s="68" t="str">
        <x:v>Step 20</x:v>
      </x:c>
      <x:c r="D8" s="68" t="str">
        <x:v>As-Is Process Model</x:v>
      </x:c>
      <x:c r="E8" s="68" t="str">
        <x:v>Current dispute journey, decisions, exceptions, systems/data and pain points.</x:v>
      </x:c>
      <x:c r="F8" s="68" t="str">
        <x:v>Modelled current business process and boundaries.</x:v>
      </x:c>
      <x:c r="G8" s="68" t="str">
        <x:v>Created common view of current-state operation.</x:v>
      </x:c>
      <x:c r="H8" s="68" t="str">
        <x:v>Earlier portfolio evidence</x:v>
      </x:c>
      <x:c r="I8" s="68" t="str">
        <x:v>Process Model</x:v>
      </x:c>
      <x:c r="J8" s="68" t="str">
        <x:v>Portfolio model, not live production observation.</x:v>
      </x:c>
      <x:c r="K8" s="69" t="str">
        <x:v>06 Business Process Improvement</x:v>
      </x:c>
    </x:row>
    <x:row r="9">
      <x:c r="A9" s="67" t="str">
        <x:v>EV-005</x:v>
      </x:c>
      <x:c r="B9" s="68" t="str">
        <x:v>CAP-02</x:v>
      </x:c>
      <x:c r="C9" s="68" t="str">
        <x:v>Step 23</x:v>
      </x:c>
      <x:c r="D9" s="68" t="str">
        <x:v>To-Be Service Design</x:v>
      </x:c>
      <x:c r="E9" s="68" t="str">
        <x:v>Future dispute service and controlled authority/handoff model.</x:v>
      </x:c>
      <x:c r="F9" s="68" t="str">
        <x:v>Modelled proposed future business process.</x:v>
      </x:c>
      <x:c r="G9" s="68" t="str">
        <x:v>Created basis for requirements and backlog.</x:v>
      </x:c>
      <x:c r="H9" s="68" t="str">
        <x:v>Earlier portfolio evidence</x:v>
      </x:c>
      <x:c r="I9" s="68" t="str">
        <x:v>Process / Service Model</x:v>
      </x:c>
      <x:c r="J9" s="68" t="str">
        <x:v>Future design, not implemented state.</x:v>
      </x:c>
      <x:c r="K9" s="69" t="str">
        <x:v>06 Business Process Improvement</x:v>
      </x:c>
    </x:row>
    <x:row r="10">
      <x:c r="A10" s="67" t="str">
        <x:v>EV-006</x:v>
      </x:c>
      <x:c r="B10" s="68" t="str">
        <x:v>CAP-02</x:v>
      </x:c>
      <x:c r="C10" s="68" t="str">
        <x:v>Step 26</x:v>
      </x:c>
      <x:c r="D10" s="68" t="str">
        <x:v>Digital/Data Models</x:v>
      </x:c>
      <x:c r="E10" s="68" t="str">
        <x:v>System context, architecture, data model and interfaces.</x:v>
      </x:c>
      <x:c r="F10" s="68" t="str">
        <x:v>Linked process, systems, data and actors.</x:v>
      </x:c>
      <x:c r="G10" s="68" t="str">
        <x:v>Supported technical feasibility/traceability.</x:v>
      </x:c>
      <x:c r="H10" s="68" t="str">
        <x:v>148–158</x:v>
      </x:c>
      <x:c r="I10" s="68" t="str">
        <x:v>System/Data Model</x:v>
      </x:c>
      <x:c r="J10" s="68" t="str">
        <x:v>Logical architecture only.</x:v>
      </x:c>
      <x:c r="K10" s="69" t="str">
        <x:v>08 Digital and Data Systems Analysis</x:v>
      </x:c>
    </x:row>
    <x:row r="11">
      <x:c r="A11" s="67" t="str">
        <x:v>EV-007</x:v>
      </x:c>
      <x:c r="B11" s="68" t="str">
        <x:v>CAP-03</x:v>
      </x:c>
      <x:c r="C11" s="68" t="str">
        <x:v>Step 17</x:v>
      </x:c>
      <x:c r="D11" s="68" t="str">
        <x:v>Baseline Analysis</x:v>
      </x:c>
      <x:c r="E11" s="68" t="str">
        <x:v>2,500 synthetic cases; 49.7% breach rate; 128.4h average resolution; handoff/rework/contact measures.</x:v>
      </x:c>
      <x:c r="F11" s="68" t="str">
        <x:v>Quantified current-state problems.</x:v>
      </x:c>
      <x:c r="G11" s="68" t="str">
        <x:v>Established measurable comparison baseline.</x:v>
      </x:c>
      <x:c r="H11" s="68" t="str">
        <x:v>Earlier portfolio evidence</x:v>
      </x:c>
      <x:c r="I11" s="68" t="str">
        <x:v>Analysis</x:v>
      </x:c>
      <x:c r="J11" s="68" t="str">
        <x:v>Synthetic baseline only.</x:v>
      </x:c>
      <x:c r="K11" s="69" t="str">
        <x:v>Baseline analysis workbook</x:v>
      </x:c>
    </x:row>
    <x:row r="12">
      <x:c r="A12" s="67" t="str">
        <x:v>EV-008</x:v>
      </x:c>
      <x:c r="B12" s="68" t="str">
        <x:v>CAP-03</x:v>
      </x:c>
      <x:c r="C12" s="68" t="str">
        <x:v>Step 19</x:v>
      </x:c>
      <x:c r="D12" s="68" t="str">
        <x:v>Root-Cause Analysis</x:v>
      </x:c>
      <x:c r="E12" s="68" t="str">
        <x:v>Structured causes linked to observed process friction.</x:v>
      </x:c>
      <x:c r="F12" s="68" t="str">
        <x:v>Separated symptoms from underlying causes.</x:v>
      </x:c>
      <x:c r="G12" s="68" t="str">
        <x:v>Focused redesign on plausible drivers.</x:v>
      </x:c>
      <x:c r="H12" s="68" t="str">
        <x:v>Earlier portfolio evidence</x:v>
      </x:c>
      <x:c r="I12" s="68" t="str">
        <x:v>Problem Analysis</x:v>
      </x:c>
      <x:c r="J12" s="68" t="str">
        <x:v>Association not presented as causality.</x:v>
      </x:c>
      <x:c r="K12" s="69" t="str">
        <x:v>02 Context / 06 Process Improvement</x:v>
      </x:c>
    </x:row>
    <x:row r="13">
      <x:c r="A13" s="67" t="str">
        <x:v>EV-009</x:v>
      </x:c>
      <x:c r="B13" s="68" t="str">
        <x:v>CAP-03</x:v>
      </x:c>
      <x:c r="C13" s="68" t="str">
        <x:v>Step 35</x:v>
      </x:c>
      <x:c r="D13" s="68" t="str">
        <x:v>Benefits &amp; KPI Framework</x:v>
      </x:c>
      <x:c r="E13" s="68" t="str">
        <x:v>10 benefit hypotheses and 14 KPIs linked to baseline and future measurement.</x:v>
      </x:c>
      <x:c r="F13" s="68" t="str">
        <x:v>Defined how improvement would be measured.</x:v>
      </x:c>
      <x:c r="G13" s="68" t="str">
        <x:v>Created evidence-based benefits realisation approach.</x:v>
      </x:c>
      <x:c r="H13" s="68" t="str">
        <x:v>210–216</x:v>
      </x:c>
      <x:c r="I13" s="68" t="str">
        <x:v>Benefits / Performance</x:v>
      </x:c>
      <x:c r="J13" s="68" t="str">
        <x:v>0 benefits claimed realised.</x:v>
      </x:c>
      <x:c r="K13" s="69" t="str">
        <x:v>17 Benefits and Performance</x:v>
      </x:c>
    </x:row>
    <x:row r="14">
      <x:c r="A14" s="67" t="str">
        <x:v>EV-010</x:v>
      </x:c>
      <x:c r="B14" s="68" t="str">
        <x:v>CAP-04</x:v>
      </x:c>
      <x:c r="C14" s="68" t="str">
        <x:v>Step 22</x:v>
      </x:c>
      <x:c r="D14" s="68" t="str">
        <x:v>Options Appraisal + AI Suitability</x:v>
      </x:c>
      <x:c r="E14" s="68" t="str">
        <x:v>Options compared before AI scope selected.</x:v>
      </x:c>
      <x:c r="F14" s="68" t="str">
        <x:v>Compared alternatives rather than assuming preferred technology.</x:v>
      </x:c>
      <x:c r="G14" s="68" t="str">
        <x:v>Limited AI to evidence/handoff summarisation.</x:v>
      </x:c>
      <x:c r="H14" s="68" t="str">
        <x:v>Earlier portfolio evidence</x:v>
      </x:c>
      <x:c r="I14" s="68" t="str">
        <x:v>Options Analysis</x:v>
      </x:c>
      <x:c r="J14" s="68" t="str">
        <x:v>Portfolio appraisal, not commercial procurement.</x:v>
      </x:c>
      <x:c r="K14" s="69" t="str">
        <x:v>02 Context, Problem and Options</x:v>
      </x:c>
    </x:row>
    <x:row r="15">
      <x:c r="A15" s="67" t="str">
        <x:v>EV-011</x:v>
      </x:c>
      <x:c r="B15" s="68" t="str">
        <x:v>CAP-04</x:v>
      </x:c>
      <x:c r="C15" s="68" t="str">
        <x:v>Step 27</x:v>
      </x:c>
      <x:c r="D15" s="68" t="str">
        <x:v>Responsible AI Design</x:v>
      </x:c>
      <x:c r="E15" s="68" t="str">
        <x:v>Governance, HITL, context control, evaluation and guardrails.</x:v>
      </x:c>
      <x:c r="F15" s="68" t="str">
        <x:v>Analysed risks/constraints of AI option.</x:v>
      </x:c>
      <x:c r="G15" s="68" t="str">
        <x:v>Created explicit AI operating boundaries.</x:v>
      </x:c>
      <x:c r="H15" s="68" t="str">
        <x:v>159–167</x:v>
      </x:c>
      <x:c r="I15" s="68" t="str">
        <x:v>Risk / Options Control</x:v>
      </x:c>
      <x:c r="J15" s="68" t="str">
        <x:v>Production approval not granted.</x:v>
      </x:c>
      <x:c r="K15" s="69" t="str">
        <x:v>09 Responsible AI and Agent Design</x:v>
      </x:c>
    </x:row>
    <x:row r="16">
      <x:c r="A16" s="67" t="str">
        <x:v>EV-012</x:v>
      </x:c>
      <x:c r="B16" s="68" t="str">
        <x:v>CAP-04</x:v>
      </x:c>
      <x:c r="C16" s="68" t="str">
        <x:v>Step 32</x:v>
      </x:c>
      <x:c r="D16" s="68" t="str">
        <x:v>Assurance Gates</x:v>
      </x:c>
      <x:c r="E16" s="68" t="str">
        <x:v>30 security/privacy/compliance controls and open production gates.</x:v>
      </x:c>
      <x:c r="F16" s="68" t="str">
        <x:v>Extended option/context analysis into assurance constraints.</x:v>
      </x:c>
      <x:c r="G16" s="68" t="str">
        <x:v>Prevented design evidence being mistaken for production approval.</x:v>
      </x:c>
      <x:c r="H16" s="68" t="str">
        <x:v>189–194</x:v>
      </x:c>
      <x:c r="I16" s="68" t="str">
        <x:v>Assurance Analysis</x:v>
      </x:c>
      <x:c r="J16" s="68" t="str">
        <x:v>No legal/security certification claimed.</x:v>
      </x:c>
      <x:c r="K16" s="69" t="str">
        <x:v>14 Security, Privacy and Compliance</x:v>
      </x:c>
    </x:row>
    <x:row r="17">
      <x:c r="A17" s="67" t="str">
        <x:v>EV-013</x:v>
      </x:c>
      <x:c r="B17" s="68" t="str">
        <x:v>CAP-05</x:v>
      </x:c>
      <x:c r="C17" s="68" t="str">
        <x:v>Step 24</x:v>
      </x:c>
      <x:c r="D17" s="68" t="str">
        <x:v>Requirements Baseline</x:v>
      </x:c>
      <x:c r="E17" s="68" t="str">
        <x:v>228 requirements across BR/UR/FR/DR/UXR/CR/NFR/AIR.</x:v>
      </x:c>
      <x:c r="F17" s="68" t="str">
        <x:v>Structured and managed multi-type requirements.</x:v>
      </x:c>
      <x:c r="G17" s="68" t="str">
        <x:v>Established controlled source of truth.</x:v>
      </x:c>
      <x:c r="H17" s="68" t="str">
        <x:v>Step 24 source artefact</x:v>
      </x:c>
      <x:c r="I17" s="68" t="str">
        <x:v>Requirements</x:v>
      </x:c>
      <x:c r="J17" s="68" t="str">
        <x:v>Three source-definition gaps retained visibly.</x:v>
      </x:c>
      <x:c r="K17" s="69" t="str">
        <x:v>07 Business and User Requirements</x:v>
      </x:c>
    </x:row>
    <x:row r="18">
      <x:c r="A18" s="67" t="str">
        <x:v>EV-014</x:v>
      </x:c>
      <x:c r="B18" s="68" t="str">
        <x:v>CAP-05</x:v>
      </x:c>
      <x:c r="C18" s="68" t="str">
        <x:v>Step 25</x:v>
      </x:c>
      <x:c r="D18" s="68" t="str">
        <x:v>Backlog Traceability</x:v>
      </x:c>
      <x:c r="E18" s="68" t="str">
        <x:v>66 stories with many-to-many traceability.</x:v>
      </x:c>
      <x:c r="F18" s="68" t="str">
        <x:v>Mapped requirements into delivery units without one-story-per-requirement distortion.</x:v>
      </x:c>
      <x:c r="G18" s="68" t="str">
        <x:v>Created delivery-ready backlog architecture.</x:v>
      </x:c>
      <x:c r="H18" s="68" t="str">
        <x:v>Step 25 source artefact</x:v>
      </x:c>
      <x:c r="I18" s="68" t="str">
        <x:v>Backlog / Traceability</x:v>
      </x:c>
      <x:c r="J18" s="68" t="str">
        <x:v>No invented Jira keys.</x:v>
      </x:c>
      <x:c r="K18" s="69" t="str">
        <x:v>11 Scrum Delivery</x:v>
      </x:c>
    </x:row>
    <x:row r="19">
      <x:c r="A19" s="67" t="str">
        <x:v>EV-015</x:v>
      </x:c>
      <x:c r="B19" s="68" t="str">
        <x:v>CAP-05</x:v>
      </x:c>
      <x:c r="C19" s="68" t="str">
        <x:v>Step 30</x:v>
      </x:c>
      <x:c r="D19" s="68" t="str">
        <x:v>Requirements-to-Test Matrix</x:v>
      </x:c>
      <x:c r="E19" s="68" t="str">
        <x:v>228 requirements, 20 UAT cases, 169 exact/source-supported US mappings.</x:v>
      </x:c>
      <x:c r="F19" s="68" t="str">
        <x:v>Linked requirement → story → verification → UAT.</x:v>
      </x:c>
      <x:c r="G19" s="68" t="str">
        <x:v>Created end-to-end traceability evidence.</x:v>
      </x:c>
      <x:c r="H19" s="68" t="str">
        <x:v>180–184</x:v>
      </x:c>
      <x:c r="I19" s="68" t="str">
        <x:v>RTM / Testing</x:v>
      </x:c>
      <x:c r="J19" s="68" t="str">
        <x:v>CR-013–015 remain source gaps.</x:v>
      </x:c>
      <x:c r="K19" s="69" t="str">
        <x:v>13 Testing and UAT</x:v>
      </x:c>
    </x:row>
    <x:row r="20">
      <x:c r="A20" s="67" t="str">
        <x:v>EV-016</x:v>
      </x:c>
      <x:c r="B20" s="68" t="str">
        <x:v>CAP-06</x:v>
      </x:c>
      <x:c r="C20" s="68" t="str">
        <x:v>Step 26</x:v>
      </x:c>
      <x:c r="D20" s="68" t="str">
        <x:v>System Context and Architecture</x:v>
      </x:c>
      <x:c r="E20" s="68" t="str">
        <x:v>17 logical components and controlled system boundaries.</x:v>
      </x:c>
      <x:c r="F20" s="68" t="str">
        <x:v>Translated business needs into logical system responsibilities.</x:v>
      </x:c>
      <x:c r="G20" s="68" t="str">
        <x:v>Supported system feasibility and ownership analysis.</x:v>
      </x:c>
      <x:c r="H20" s="68" t="str">
        <x:v>148–150</x:v>
      </x:c>
      <x:c r="I20" s="68" t="str">
        <x:v>Systems Analysis</x:v>
      </x:c>
      <x:c r="J20" s="68" t="str">
        <x:v>Logical, not deployed architecture.</x:v>
      </x:c>
      <x:c r="K20" s="69" t="str">
        <x:v>08 Digital and Data Systems Analysis</x:v>
      </x:c>
    </x:row>
    <x:row r="21">
      <x:c r="A21" s="67" t="str">
        <x:v>EV-017</x:v>
      </x:c>
      <x:c r="B21" s="68" t="str">
        <x:v>CAP-06</x:v>
      </x:c>
      <x:c r="C21" s="68" t="str">
        <x:v>Step 26</x:v>
      </x:c>
      <x:c r="D21" s="68" t="str">
        <x:v>Logical Data Model</x:v>
      </x:c>
      <x:c r="E21" s="68" t="str">
        <x:v>24 entities with authority/provenance concepts.</x:v>
      </x:c>
      <x:c r="F21" s="68" t="str">
        <x:v>Analysed information relationships and authoritative state.</x:v>
      </x:c>
      <x:c r="G21" s="68" t="str">
        <x:v>Separated source/derived information including AI output.</x:v>
      </x:c>
      <x:c r="H21" s="68" t="str">
        <x:v>151–153</x:v>
      </x:c>
      <x:c r="I21" s="68" t="str">
        <x:v>Data Analysis</x:v>
      </x:c>
      <x:c r="J21" s="68" t="str">
        <x:v>Logical model only.</x:v>
      </x:c>
      <x:c r="K21" s="69" t="str">
        <x:v>08 Digital and Data Systems Analysis</x:v>
      </x:c>
    </x:row>
    <x:row r="22">
      <x:c r="A22" s="67" t="str">
        <x:v>EV-018</x:v>
      </x:c>
      <x:c r="B22" s="68" t="str">
        <x:v>CAP-06</x:v>
      </x:c>
      <x:c r="C22" s="68" t="str">
        <x:v>Step 26</x:v>
      </x:c>
      <x:c r="D22" s="68" t="str">
        <x:v>Interfaces/API/Data Exchange</x:v>
      </x:c>
      <x:c r="E22" s="68" t="str">
        <x:v>9 interfaces and 15 operations.</x:v>
      </x:c>
      <x:c r="F22" s="68" t="str">
        <x:v>Analysed system interactions and exchange controls.</x:v>
      </x:c>
      <x:c r="G22" s="68" t="str">
        <x:v>Defined integration responsibilities and failure considerations.</x:v>
      </x:c>
      <x:c r="H22" s="68" t="str">
        <x:v>154–158</x:v>
      </x:c>
      <x:c r="I22" s="68" t="str">
        <x:v>Integration Analysis</x:v>
      </x:c>
      <x:c r="J22" s="68" t="str">
        <x:v>No production endpoints/provider commitments.</x:v>
      </x:c>
      <x:c r="K22" s="69" t="str">
        <x:v>08 Digital and Data Systems Analysis</x:v>
      </x:c>
    </x:row>
    <x:row r="23">
      <x:c r="A23" s="67" t="str">
        <x:v>EV-019</x:v>
      </x:c>
      <x:c r="B23" s="68" t="str">
        <x:v>CAP-06</x:v>
      </x:c>
      <x:c r="C23" s="68" t="str">
        <x:v>Step 32</x:v>
      </x:c>
      <x:c r="D23" s="68" t="str">
        <x:v>Data Classification / Access</x:v>
      </x:c>
      <x:c r="E23" s="68" t="str">
        <x:v>12 data classes; 10 logical roles; privacy/security controls.</x:v>
      </x:c>
      <x:c r="F23" s="68" t="str">
        <x:v>Analysed access, minimisation and authority implications.</x:v>
      </x:c>
      <x:c r="G23" s="68" t="str">
        <x:v>Connected data/system design to assurance.</x:v>
      </x:c>
      <x:c r="H23" s="68" t="str">
        <x:v>190–193</x:v>
      </x:c>
      <x:c r="I23" s="68" t="str">
        <x:v>Security/Data Analysis</x:v>
      </x:c>
      <x:c r="J23" s="68" t="str">
        <x:v>Production controls not implemented.</x:v>
      </x:c>
      <x:c r="K23" s="69" t="str">
        <x:v>14 Security, Privacy and Compliance</x:v>
      </x:c>
    </x:row>
    <x:row r="24">
      <x:c r="A24" s="67" t="str">
        <x:v>EV-020</x:v>
      </x:c>
      <x:c r="B24" s="68" t="str">
        <x:v>CAP-07</x:v>
      </x:c>
      <x:c r="C24" s="68" t="str">
        <x:v>Step 18</x:v>
      </x:c>
      <x:c r="D24" s="68" t="str">
        <x:v>Stakeholder Analysis</x:v>
      </x:c>
      <x:c r="E24" s="68" t="str">
        <x:v>Stakeholder groups, influence/interest and governance needs.</x:v>
      </x:c>
      <x:c r="F24" s="68" t="str">
        <x:v>Identified stakeholder interests and decision roles.</x:v>
      </x:c>
      <x:c r="G24" s="68" t="str">
        <x:v>Shaped communication/governance design.</x:v>
      </x:c>
      <x:c r="H24" s="68" t="str">
        <x:v>Earlier portfolio evidence</x:v>
      </x:c>
      <x:c r="I24" s="68" t="str">
        <x:v>Stakeholder Analysis</x:v>
      </x:c>
      <x:c r="J24" s="68" t="str">
        <x:v>No live stakeholder workshop claimed.</x:v>
      </x:c>
      <x:c r="K24" s="69" t="str">
        <x:v>03 Stakeholders and Governance</x:v>
      </x:c>
    </x:row>
    <x:row r="25">
      <x:c r="A25" s="67" t="str">
        <x:v>EV-021</x:v>
      </x:c>
      <x:c r="B25" s="68" t="str">
        <x:v>CAP-07</x:v>
      </x:c>
      <x:c r="C25" s="68" t="str">
        <x:v>Step 31</x:v>
      </x:c>
      <x:c r="D25" s="68" t="str">
        <x:v>Business Sign-off Model</x:v>
      </x:c>
      <x:c r="E25" s="68" t="str">
        <x:v>Tester, business approver, defect/retest and acceptance roles.</x:v>
      </x:c>
      <x:c r="F25" s="68" t="str">
        <x:v>Defined decision rights around UAT acceptance.</x:v>
      </x:c>
      <x:c r="G25" s="68" t="str">
        <x:v>Protected acceptance from being inferred automatically.</x:v>
      </x:c>
      <x:c r="H25" s="68" t="str">
        <x:v>187–188</x:v>
      </x:c>
      <x:c r="I25" s="68" t="str">
        <x:v>Governance</x:v>
      </x:c>
      <x:c r="J25" s="68" t="str">
        <x:v>No actual business sign-off claimed.</x:v>
      </x:c>
      <x:c r="K25" s="69" t="str">
        <x:v>13 Testing and UAT</x:v>
      </x:c>
    </x:row>
    <x:row r="26">
      <x:c r="A26" s="67" t="str">
        <x:v>EV-022</x:v>
      </x:c>
      <x:c r="B26" s="68" t="str">
        <x:v>CAP-07</x:v>
      </x:c>
      <x:c r="C26" s="68" t="str">
        <x:v>Step 34</x:v>
      </x:c>
      <x:c r="D26" s="68" t="str">
        <x:v>Service Ownership Model</x:v>
      </x:c>
      <x:c r="E26" s="68" t="str">
        <x:v>11 roles/functions across Product, Operations, Security, Privacy, specialists and AI.</x:v>
      </x:c>
      <x:c r="F26" s="68" t="str">
        <x:v>Carried stakeholder/accountability model into live service.</x:v>
      </x:c>
      <x:c r="G26" s="68" t="str">
        <x:v>Defined escalation and operational ownership.</x:v>
      </x:c>
      <x:c r="H26" s="68" t="str">
        <x:v>202, 207–209</x:v>
      </x:c>
      <x:c r="I26" s="68" t="str">
        <x:v>Operating Model</x:v>
      </x:c>
      <x:c r="J26" s="68" t="str">
        <x:v>Roles are proposed, not assigned production staff.</x:v>
      </x:c>
      <x:c r="K26" s="69" t="str">
        <x:v>16 Live Service and Support</x:v>
      </x:c>
    </x:row>
    <x:row r="27">
      <x:c r="A27" s="67" t="str">
        <x:v>EV-023</x:v>
      </x:c>
      <x:c r="B27" s="68" t="str">
        <x:v>CAP-08</x:v>
      </x:c>
      <x:c r="C27" s="68" t="str">
        <x:v>Step 28</x:v>
      </x:c>
      <x:c r="D27" s="68" t="str">
        <x:v>Controlled AI Prototype Evaluation</x:v>
      </x:c>
      <x:c r="E27" s="68" t="str">
        <x:v>26 scenarios; 23 usable/accepted; 3 disregarded; 0 critical failures.</x:v>
      </x:c>
      <x:c r="F27" s="68" t="str">
        <x:v>Designed/evaluated controlled prototype evidence.</x:v>
      </x:c>
      <x:c r="G27" s="68" t="str">
        <x:v>Tested AI assistance against guardrails and human review.</x:v>
      </x:c>
      <x:c r="H27" s="68" t="str">
        <x:v>168–176</x:v>
      </x:c>
      <x:c r="I27" s="68" t="str">
        <x:v>Prototype Testing</x:v>
      </x:c>
      <x:c r="J27" s="68" t="str">
        <x:v>Not full-service UAT.</x:v>
      </x:c>
      <x:c r="K27" s="69" t="str">
        <x:v>09 Responsible AI and Agent Design</x:v>
      </x:c>
    </x:row>
    <x:row r="28">
      <x:c r="A28" s="67" t="str">
        <x:v>EV-024</x:v>
      </x:c>
      <x:c r="B28" s="68" t="str">
        <x:v>CAP-08</x:v>
      </x:c>
      <x:c r="C28" s="68" t="str">
        <x:v>Step 29</x:v>
      </x:c>
      <x:c r="D28" s="68" t="str">
        <x:v>Business Testing &amp; UAT Strategy</x:v>
      </x:c>
      <x:c r="E28" s="68" t="str">
        <x:v>20 business/UAT scenarios and governance.</x:v>
      </x:c>
      <x:c r="F28" s="68" t="str">
        <x:v>Defined business acceptance approach.</x:v>
      </x:c>
      <x:c r="G28" s="68" t="str">
        <x:v>Established testing scope before execution.</x:v>
      </x:c>
      <x:c r="H28" s="68" t="str">
        <x:v>177–179</x:v>
      </x:c>
      <x:c r="I28" s="68" t="str">
        <x:v>Test Strategy</x:v>
      </x:c>
      <x:c r="J28" s="68" t="str">
        <x:v>Execution status kept separate from design.</x:v>
      </x:c>
      <x:c r="K28" s="69" t="str">
        <x:v>13 Testing and UAT</x:v>
      </x:c>
    </x:row>
    <x:row r="29">
      <x:c r="A29" s="67" t="str">
        <x:v>EV-025</x:v>
      </x:c>
      <x:c r="B29" s="68" t="str">
        <x:v>CAP-08</x:v>
      </x:c>
      <x:c r="C29" s="68" t="str">
        <x:v>Step 30</x:v>
      </x:c>
      <x:c r="D29" s="68" t="str">
        <x:v>Detailed UAT &amp; RTM</x:v>
      </x:c>
      <x:c r="E29" s="68" t="str">
        <x:v>20 structured UAT cases with requirements/story links.</x:v>
      </x:c>
      <x:c r="F29" s="68" t="str">
        <x:v>Created testable business scenarios and traceability.</x:v>
      </x:c>
      <x:c r="G29" s="68" t="str">
        <x:v>Prepared repeatable acceptance evidence.</x:v>
      </x:c>
      <x:c r="H29" s="68" t="str">
        <x:v>180–184</x:v>
      </x:c>
      <x:c r="I29" s="68" t="str">
        <x:v>UAT / Traceability</x:v>
      </x:c>
      <x:c r="J29" s="68" t="str">
        <x:v>UAT-01–16 not executed; 17–20 prototype-linked only.</x:v>
      </x:c>
      <x:c r="K29" s="69" t="str">
        <x:v>13 Testing and UAT</x:v>
      </x:c>
    </x:row>
    <x:row r="30">
      <x:c r="A30" s="67" t="str">
        <x:v>EV-026</x:v>
      </x:c>
      <x:c r="B30" s="68" t="str">
        <x:v>CAP-08</x:v>
      </x:c>
      <x:c r="C30" s="68" t="str">
        <x:v>Step 31</x:v>
      </x:c>
      <x:c r="D30" s="68" t="str">
        <x:v>UAT Readiness / Defect / Retest / Sign-off</x:v>
      </x:c>
      <x:c r="E30" s="68" t="str">
        <x:v>Readiness checklist, empty defect/retest logs and sign-off template.</x:v>
      </x:c>
      <x:c r="F30" s="68" t="str">
        <x:v>Designed execution governance without fabricating results.</x:v>
      </x:c>
      <x:c r="G30" s="68" t="str">
        <x:v>Made test integrity explicit.</x:v>
      </x:c>
      <x:c r="H30" s="68" t="str">
        <x:v>185–188</x:v>
      </x:c>
      <x:c r="I30" s="68" t="str">
        <x:v>Test Governance</x:v>
      </x:c>
      <x:c r="J30" s="68" t="str">
        <x:v>0 full-service UAT defects because full-service UAT was not executed.</x:v>
      </x:c>
      <x:c r="K30" s="69" t="str">
        <x:v>13 Testing and UAT</x:v>
      </x:c>
    </x:row>
    <x:row r="31">
      <x:c r="A31" s="67" t="str">
        <x:v>EV-027</x:v>
      </x:c>
      <x:c r="B31" s="68" t="str">
        <x:v>CAP-09</x:v>
      </x:c>
      <x:c r="C31" s="68" t="str">
        <x:v>Step 21</x:v>
      </x:c>
      <x:c r="D31" s="68" t="str">
        <x:v>User Research / UX Discovery</x:v>
      </x:c>
      <x:c r="E31" s="68" t="str">
        <x:v>User tasks, pain points, hypotheses and research/UX analysis.</x:v>
      </x:c>
      <x:c r="F31" s="68" t="str">
        <x:v>Analysed user needs without inventing interviews.</x:v>
      </x:c>
      <x:c r="G31" s="68" t="str">
        <x:v>Created UX input for service design/requirements.</x:v>
      </x:c>
      <x:c r="H31" s="68" t="str">
        <x:v>Earlier portfolio evidence</x:v>
      </x:c>
      <x:c r="I31" s="68" t="str">
        <x:v>UX Analysis</x:v>
      </x:c>
      <x:c r="J31" s="68" t="str">
        <x:v>No real participant quotes/sessions claimed.</x:v>
      </x:c>
      <x:c r="K31" s="69" t="str">
        <x:v>04 User Research and User Experience</x:v>
      </x:c>
    </x:row>
    <x:row r="32">
      <x:c r="A32" s="67" t="str">
        <x:v>EV-028</x:v>
      </x:c>
      <x:c r="B32" s="68" t="str">
        <x:v>CAP-09</x:v>
      </x:c>
      <x:c r="C32" s="68" t="str">
        <x:v>Step 24</x:v>
      </x:c>
      <x:c r="D32" s="68" t="str">
        <x:v>UX Requirements</x:v>
      </x:c>
      <x:c r="E32" s="68" t="str">
        <x:v>36 UXR requirements integrated into baseline.</x:v>
      </x:c>
      <x:c r="F32" s="68" t="str">
        <x:v>Converted UX needs into explicit requirements.</x:v>
      </x:c>
      <x:c r="G32" s="68" t="str">
        <x:v>Made UX testable and traceable.</x:v>
      </x:c>
      <x:c r="H32" s="68" t="str">
        <x:v>Step 24 source artefact</x:v>
      </x:c>
      <x:c r="I32" s="68" t="str">
        <x:v>UX Requirements</x:v>
      </x:c>
      <x:c r="J32" s="68" t="str">
        <x:v>Requirements are design evidence.</x:v>
      </x:c>
      <x:c r="K32" s="69" t="str">
        <x:v>07 Business and User Requirements</x:v>
      </x:c>
    </x:row>
    <x:row r="33">
      <x:c r="A33" s="67" t="str">
        <x:v>EV-029</x:v>
      </x:c>
      <x:c r="B33" s="68" t="str">
        <x:v>CAP-09</x:v>
      </x:c>
      <x:c r="C33" s="68" t="str">
        <x:v>Step 30</x:v>
      </x:c>
      <x:c r="D33" s="68" t="str">
        <x:v>Journey-Oriented UAT</x:v>
      </x:c>
      <x:c r="E33" s="68" t="str">
        <x:v>UAT scenarios cover evidence requests, ownership, communication, conflicts and AI review.</x:v>
      </x:c>
      <x:c r="F33" s="68" t="str">
        <x:v>Carried user/service needs into acceptance design.</x:v>
      </x:c>
      <x:c r="G33" s="68" t="str">
        <x:v>Ensured future service behaviour can be assessed from user/business perspective.</x:v>
      </x:c>
      <x:c r="H33" s="68" t="str">
        <x:v>180–183</x:v>
      </x:c>
      <x:c r="I33" s="68" t="str">
        <x:v>UX / UAT</x:v>
      </x:c>
      <x:c r="J33" s="68" t="str">
        <x:v>Full service not executed.</x:v>
      </x:c>
      <x:c r="K33" s="69" t="str">
        <x:v>13 Testing and UAT</x:v>
      </x:c>
    </x:row>
    <x:row r="34">
      <x:c r="A34" s="70" t="str">
        <x:v>EV-030</x:v>
      </x:c>
      <x:c r="B34" s="71" t="str">
        <x:v>CAP-09</x:v>
      </x:c>
      <x:c r="C34" s="71" t="str">
        <x:v>Step 35</x:v>
      </x:c>
      <x:c r="D34" s="71" t="str">
        <x:v>Customer/Experience Measures</x:v>
      </x:c>
      <x:c r="E34" s="71" t="str">
        <x:v>Customer contacts and complaint indicators included in KPI/benefits framework.</x:v>
      </x:c>
      <x:c r="F34" s="71" t="str">
        <x:v>Defined how experience outcomes would be monitored after implementation.</x:v>
      </x:c>
      <x:c r="G34" s="71" t="str">
        <x:v>Connected UX analysis to measurable service outcomes.</x:v>
      </x:c>
      <x:c r="H34" s="71" t="str">
        <x:v>210–215</x:v>
      </x:c>
      <x:c r="I34" s="71" t="str">
        <x:v>Benefits / UX</x:v>
      </x:c>
      <x:c r="J34" s="71" t="str">
        <x:v>No realised customer benefit claimed.</x:v>
      </x:c>
      <x:c r="K34" s="72" t="str">
        <x:v>17 Benefits and Performance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9" hidden="0" customWidth="1"/>
    <x:col min="10" max="10" width="18" hidden="0" customWidth="1"/>
    <x:col min="11" max="11" width="16" hidden="0" customWidth="1"/>
    <x:col min="12" max="12" width="26" hidden="0" customWidth="1"/>
  </x:cols>
  <x:sheetData>
    <x:row r="1">
      <x:c r="A1" s="5" t="str">
        <x:v>PayFix AI 2.0 — Lifecycle Step to Capability Crosswalk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Primary = strong/direct evidence. Supporting = meaningful secondary evidence. Blank = the step is not relied on as material evidence for that capability.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64" t="str">
        <x:v>Step</x:v>
      </x:c>
      <x:c r="B4" s="65" t="str">
        <x:v>Lifecycle Artefact / Stage</x:v>
      </x:c>
      <x:c r="C4" s="65" t="str">
        <x:v>CAP-01 Delivery</x:v>
      </x:c>
      <x:c r="D4" s="65" t="str">
        <x:v>CAP-02 Modelling</x:v>
      </x:c>
      <x:c r="E4" s="65" t="str">
        <x:v>CAP-03 Improvement</x:v>
      </x:c>
      <x:c r="F4" s="65" t="str">
        <x:v>CAP-04 Context/Options</x:v>
      </x:c>
      <x:c r="G4" s="65" t="str">
        <x:v>CAP-05 Needs/Reqs</x:v>
      </x:c>
      <x:c r="H4" s="65" t="str">
        <x:v>CAP-06 Digital/Data</x:v>
      </x:c>
      <x:c r="I4" s="65" t="str">
        <x:v>CAP-07 Stakeholders</x:v>
      </x:c>
      <x:c r="J4" s="65" t="str">
        <x:v>CAP-08 Testing</x:v>
      </x:c>
      <x:c r="K4" s="65" t="str">
        <x:v>CAP-09 UX</x:v>
      </x:c>
      <x:c r="L4" s="66" t="str">
        <x:v>Screenshot Range / Evidence</x:v>
      </x:c>
    </x:row>
    <x:row r="5">
      <x:c r="A5" s="67" t="str">
        <x:v>1–15</x:v>
      </x:c>
      <x:c r="B5" s="68" t="str">
        <x:v>Project setup, Agile approach, Confluence/Jira, Kanban</x:v>
      </x:c>
      <x:c r="C5" s="68" t="str">
        <x:v>Primary</x:v>
      </x:c>
      <x:c r="D5" s="68" t="str"/>
      <x:c r="E5" s="68" t="str"/>
      <x:c r="F5" s="68" t="str">
        <x:v>Supporting</x:v>
      </x:c>
      <x:c r="G5" s="68" t="str"/>
      <x:c r="H5" s="68" t="str"/>
      <x:c r="I5" s="68" t="str">
        <x:v>Supporting</x:v>
      </x:c>
      <x:c r="J5" s="68" t="str"/>
      <x:c r="K5" s="68" t="str"/>
      <x:c r="L5" s="69" t="str">
        <x:v>Earlier project evidence</x:v>
      </x:c>
    </x:row>
    <x:row r="6">
      <x:c r="A6" s="67" t="str">
        <x:v>16</x:v>
      </x:c>
      <x:c r="B6" s="68" t="str">
        <x:v>Synthetic data acquisition/cleaning/traceability</x:v>
      </x:c>
      <x:c r="C6" s="68" t="str"/>
      <x:c r="D6" s="68" t="str"/>
      <x:c r="E6" s="68" t="str">
        <x:v>Supporting</x:v>
      </x:c>
      <x:c r="F6" s="68" t="str">
        <x:v>Supporting</x:v>
      </x:c>
      <x:c r="G6" s="68" t="str"/>
      <x:c r="H6" s="68" t="str">
        <x:v>Supporting</x:v>
      </x:c>
      <x:c r="I6" s="68" t="str"/>
      <x:c r="J6" s="68" t="str"/>
      <x:c r="K6" s="68" t="str"/>
      <x:c r="L6" s="69" t="str">
        <x:v>Earlier project evidence</x:v>
      </x:c>
    </x:row>
    <x:row r="7">
      <x:c r="A7" s="67" t="str">
        <x:v>17</x:v>
      </x:c>
      <x:c r="B7" s="68" t="str">
        <x:v>Baseline analysis</x:v>
      </x:c>
      <x:c r="C7" s="68" t="str"/>
      <x:c r="D7" s="68" t="str"/>
      <x:c r="E7" s="68" t="str">
        <x:v>Primary</x:v>
      </x:c>
      <x:c r="F7" s="68" t="str">
        <x:v>Primary</x:v>
      </x:c>
      <x:c r="G7" s="68" t="str"/>
      <x:c r="H7" s="68" t="str"/>
      <x:c r="I7" s="68" t="str"/>
      <x:c r="J7" s="68" t="str"/>
      <x:c r="K7" s="68" t="str"/>
      <x:c r="L7" s="69" t="str">
        <x:v>Earlier project evidence</x:v>
      </x:c>
    </x:row>
    <x:row r="8">
      <x:c r="A8" s="67" t="str">
        <x:v>18</x:v>
      </x:c>
      <x:c r="B8" s="68" t="str">
        <x:v>Stakeholder analysis</x:v>
      </x:c>
      <x:c r="C8" s="68" t="str"/>
      <x:c r="D8" s="68" t="str">
        <x:v>Supporting</x:v>
      </x:c>
      <x:c r="E8" s="68" t="str"/>
      <x:c r="F8" s="68" t="str">
        <x:v>Supporting</x:v>
      </x:c>
      <x:c r="G8" s="68" t="str"/>
      <x:c r="H8" s="68" t="str"/>
      <x:c r="I8" s="68" t="str">
        <x:v>Primary</x:v>
      </x:c>
      <x:c r="J8" s="68" t="str"/>
      <x:c r="K8" s="68" t="str"/>
      <x:c r="L8" s="69" t="str">
        <x:v>Earlier project evidence</x:v>
      </x:c>
    </x:row>
    <x:row r="9">
      <x:c r="A9" s="67" t="str">
        <x:v>19</x:v>
      </x:c>
      <x:c r="B9" s="68" t="str">
        <x:v>Root-cause analysis</x:v>
      </x:c>
      <x:c r="C9" s="68" t="str"/>
      <x:c r="D9" s="68" t="str"/>
      <x:c r="E9" s="68" t="str">
        <x:v>Primary</x:v>
      </x:c>
      <x:c r="F9" s="68" t="str">
        <x:v>Primary</x:v>
      </x:c>
      <x:c r="G9" s="68" t="str"/>
      <x:c r="H9" s="68" t="str"/>
      <x:c r="I9" s="68" t="str"/>
      <x:c r="J9" s="68" t="str"/>
      <x:c r="K9" s="68" t="str"/>
      <x:c r="L9" s="69" t="str">
        <x:v>Earlier project evidence</x:v>
      </x:c>
    </x:row>
    <x:row r="10">
      <x:c r="A10" s="67" t="str">
        <x:v>20</x:v>
      </x:c>
      <x:c r="B10" s="68" t="str">
        <x:v>As-Is process</x:v>
      </x:c>
      <x:c r="C10" s="68" t="str"/>
      <x:c r="D10" s="68" t="str">
        <x:v>Primary</x:v>
      </x:c>
      <x:c r="E10" s="68" t="str">
        <x:v>Primary</x:v>
      </x:c>
      <x:c r="F10" s="68" t="str">
        <x:v>Supporting</x:v>
      </x:c>
      <x:c r="G10" s="68" t="str">
        <x:v>Supporting</x:v>
      </x:c>
      <x:c r="H10" s="68" t="str"/>
      <x:c r="I10" s="68" t="str">
        <x:v>Supporting</x:v>
      </x:c>
      <x:c r="J10" s="68" t="str"/>
      <x:c r="K10" s="68" t="str">
        <x:v>Supporting</x:v>
      </x:c>
      <x:c r="L10" s="69" t="str">
        <x:v>Earlier project evidence</x:v>
      </x:c>
    </x:row>
    <x:row r="11">
      <x:c r="A11" s="67" t="str">
        <x:v>21</x:v>
      </x:c>
      <x:c r="B11" s="68" t="str">
        <x:v>User research / UX discovery</x:v>
      </x:c>
      <x:c r="C11" s="68" t="str"/>
      <x:c r="D11" s="68" t="str">
        <x:v>Supporting</x:v>
      </x:c>
      <x:c r="E11" s="68" t="str"/>
      <x:c r="F11" s="68" t="str">
        <x:v>Supporting</x:v>
      </x:c>
      <x:c r="G11" s="68" t="str">
        <x:v>Primary</x:v>
      </x:c>
      <x:c r="H11" s="68" t="str"/>
      <x:c r="I11" s="68" t="str">
        <x:v>Supporting</x:v>
      </x:c>
      <x:c r="J11" s="68" t="str"/>
      <x:c r="K11" s="68" t="str">
        <x:v>Primary</x:v>
      </x:c>
      <x:c r="L11" s="69" t="str">
        <x:v>Earlier project evidence</x:v>
      </x:c>
    </x:row>
    <x:row r="12">
      <x:c r="A12" s="67" t="str">
        <x:v>22</x:v>
      </x:c>
      <x:c r="B12" s="68" t="str">
        <x:v>Options appraisal + AI suitability</x:v>
      </x:c>
      <x:c r="C12" s="68" t="str"/>
      <x:c r="D12" s="68" t="str"/>
      <x:c r="E12" s="68" t="str">
        <x:v>Supporting</x:v>
      </x:c>
      <x:c r="F12" s="68" t="str">
        <x:v>Primary</x:v>
      </x:c>
      <x:c r="G12" s="68" t="str">
        <x:v>Supporting</x:v>
      </x:c>
      <x:c r="H12" s="68" t="str">
        <x:v>Supporting</x:v>
      </x:c>
      <x:c r="I12" s="68" t="str">
        <x:v>Supporting</x:v>
      </x:c>
      <x:c r="J12" s="68" t="str"/>
      <x:c r="K12" s="68" t="str"/>
      <x:c r="L12" s="69" t="str">
        <x:v>Earlier project evidence</x:v>
      </x:c>
    </x:row>
    <x:row r="13">
      <x:c r="A13" s="67" t="str">
        <x:v>23</x:v>
      </x:c>
      <x:c r="B13" s="68" t="str">
        <x:v>To-Be process/service design</x:v>
      </x:c>
      <x:c r="C13" s="68" t="str"/>
      <x:c r="D13" s="68" t="str">
        <x:v>Primary</x:v>
      </x:c>
      <x:c r="E13" s="68" t="str">
        <x:v>Primary</x:v>
      </x:c>
      <x:c r="F13" s="68" t="str">
        <x:v>Supporting</x:v>
      </x:c>
      <x:c r="G13" s="68" t="str">
        <x:v>Supporting</x:v>
      </x:c>
      <x:c r="H13" s="68" t="str">
        <x:v>Supporting</x:v>
      </x:c>
      <x:c r="I13" s="68" t="str">
        <x:v>Supporting</x:v>
      </x:c>
      <x:c r="J13" s="68" t="str"/>
      <x:c r="K13" s="68" t="str">
        <x:v>Primary</x:v>
      </x:c>
      <x:c r="L13" s="69" t="str">
        <x:v>Earlier project evidence</x:v>
      </x:c>
    </x:row>
    <x:row r="14">
      <x:c r="A14" s="67" t="str">
        <x:v>24</x:v>
      </x:c>
      <x:c r="B14" s="68" t="str">
        <x:v>Requirements baseline</x:v>
      </x:c>
      <x:c r="C14" s="68" t="str"/>
      <x:c r="D14" s="68" t="str">
        <x:v>Supporting</x:v>
      </x:c>
      <x:c r="E14" s="68" t="str">
        <x:v>Supporting</x:v>
      </x:c>
      <x:c r="F14" s="68" t="str">
        <x:v>Supporting</x:v>
      </x:c>
      <x:c r="G14" s="68" t="str">
        <x:v>Primary</x:v>
      </x:c>
      <x:c r="H14" s="68" t="str">
        <x:v>Supporting</x:v>
      </x:c>
      <x:c r="I14" s="68" t="str">
        <x:v>Supporting</x:v>
      </x:c>
      <x:c r="J14" s="68" t="str">
        <x:v>Supporting</x:v>
      </x:c>
      <x:c r="K14" s="68" t="str">
        <x:v>Primary</x:v>
      </x:c>
      <x:c r="L14" s="69" t="str">
        <x:v>Step 24 source artefact</x:v>
      </x:c>
    </x:row>
    <x:row r="15">
      <x:c r="A15" s="67" t="str">
        <x:v>25</x:v>
      </x:c>
      <x:c r="B15" s="68" t="str">
        <x:v>Product backlog</x:v>
      </x:c>
      <x:c r="C15" s="68" t="str">
        <x:v>Primary</x:v>
      </x:c>
      <x:c r="D15" s="68" t="str"/>
      <x:c r="E15" s="68" t="str">
        <x:v>Supporting</x:v>
      </x:c>
      <x:c r="F15" s="68" t="str">
        <x:v>Supporting</x:v>
      </x:c>
      <x:c r="G15" s="68" t="str">
        <x:v>Primary</x:v>
      </x:c>
      <x:c r="H15" s="68" t="str">
        <x:v>Supporting</x:v>
      </x:c>
      <x:c r="I15" s="68" t="str">
        <x:v>Supporting</x:v>
      </x:c>
      <x:c r="J15" s="68" t="str">
        <x:v>Supporting</x:v>
      </x:c>
      <x:c r="K15" s="68" t="str"/>
      <x:c r="L15" s="69" t="str">
        <x:v>Step 25 source artefact</x:v>
      </x:c>
    </x:row>
    <x:row r="16">
      <x:c r="A16" s="67" t="str">
        <x:v>26</x:v>
      </x:c>
      <x:c r="B16" s="68" t="str">
        <x:v>Digital and data systems analysis</x:v>
      </x:c>
      <x:c r="C16" s="68" t="str">
        <x:v>Supporting</x:v>
      </x:c>
      <x:c r="D16" s="68" t="str">
        <x:v>Primary</x:v>
      </x:c>
      <x:c r="E16" s="68" t="str">
        <x:v>Supporting</x:v>
      </x:c>
      <x:c r="F16" s="68" t="str">
        <x:v>Supporting</x:v>
      </x:c>
      <x:c r="G16" s="68" t="str">
        <x:v>Supporting</x:v>
      </x:c>
      <x:c r="H16" s="68" t="str">
        <x:v>Primary</x:v>
      </x:c>
      <x:c r="I16" s="68" t="str">
        <x:v>Supporting</x:v>
      </x:c>
      <x:c r="J16" s="68" t="str"/>
      <x:c r="K16" s="68" t="str">
        <x:v>Supporting</x:v>
      </x:c>
      <x:c r="L16" s="69" t="str">
        <x:v>148–158</x:v>
      </x:c>
    </x:row>
    <x:row r="17">
      <x:c r="A17" s="67" t="str">
        <x:v>27</x:v>
      </x:c>
      <x:c r="B17" s="68" t="str">
        <x:v>Responsible AI and agent design</x:v>
      </x:c>
      <x:c r="C17" s="68" t="str">
        <x:v>Supporting</x:v>
      </x:c>
      <x:c r="D17" s="68" t="str">
        <x:v>Supporting</x:v>
      </x:c>
      <x:c r="E17" s="68" t="str">
        <x:v>Supporting</x:v>
      </x:c>
      <x:c r="F17" s="68" t="str">
        <x:v>Primary</x:v>
      </x:c>
      <x:c r="G17" s="68" t="str">
        <x:v>Supporting</x:v>
      </x:c>
      <x:c r="H17" s="68" t="str">
        <x:v>Primary</x:v>
      </x:c>
      <x:c r="I17" s="68" t="str">
        <x:v>Supporting</x:v>
      </x:c>
      <x:c r="J17" s="68" t="str">
        <x:v>Supporting</x:v>
      </x:c>
      <x:c r="K17" s="68" t="str">
        <x:v>Supporting</x:v>
      </x:c>
      <x:c r="L17" s="69" t="str">
        <x:v>159–167</x:v>
      </x:c>
    </x:row>
    <x:row r="18">
      <x:c r="A18" s="67" t="str">
        <x:v>28</x:v>
      </x:c>
      <x:c r="B18" s="68" t="str">
        <x:v>Controlled AI prototype evaluation</x:v>
      </x:c>
      <x:c r="C18" s="68" t="str">
        <x:v>Supporting</x:v>
      </x:c>
      <x:c r="D18" s="68" t="str"/>
      <x:c r="E18" s="68" t="str">
        <x:v>Supporting</x:v>
      </x:c>
      <x:c r="F18" s="68" t="str">
        <x:v>Supporting</x:v>
      </x:c>
      <x:c r="G18" s="68" t="str">
        <x:v>Supporting</x:v>
      </x:c>
      <x:c r="H18" s="68" t="str">
        <x:v>Supporting</x:v>
      </x:c>
      <x:c r="I18" s="68" t="str"/>
      <x:c r="J18" s="68" t="str">
        <x:v>Primary</x:v>
      </x:c>
      <x:c r="K18" s="68" t="str">
        <x:v>Supporting</x:v>
      </x:c>
      <x:c r="L18" s="69" t="str">
        <x:v>168–176</x:v>
      </x:c>
    </x:row>
    <x:row r="19">
      <x:c r="A19" s="67" t="str">
        <x:v>29</x:v>
      </x:c>
      <x:c r="B19" s="68" t="str">
        <x:v>Business testing and UAT strategy</x:v>
      </x:c>
      <x:c r="C19" s="68" t="str">
        <x:v>Supporting</x:v>
      </x:c>
      <x:c r="D19" s="68" t="str"/>
      <x:c r="E19" s="68" t="str"/>
      <x:c r="F19" s="68" t="str">
        <x:v>Supporting</x:v>
      </x:c>
      <x:c r="G19" s="68" t="str">
        <x:v>Supporting</x:v>
      </x:c>
      <x:c r="H19" s="68" t="str"/>
      <x:c r="I19" s="68" t="str">
        <x:v>Supporting</x:v>
      </x:c>
      <x:c r="J19" s="68" t="str">
        <x:v>Primary</x:v>
      </x:c>
      <x:c r="K19" s="68" t="str">
        <x:v>Supporting</x:v>
      </x:c>
      <x:c r="L19" s="69" t="str">
        <x:v>177–179</x:v>
      </x:c>
    </x:row>
    <x:row r="20">
      <x:c r="A20" s="67" t="str">
        <x:v>30</x:v>
      </x:c>
      <x:c r="B20" s="68" t="str">
        <x:v>Requirements-to-test traceability</x:v>
      </x:c>
      <x:c r="C20" s="68" t="str"/>
      <x:c r="D20" s="68" t="str"/>
      <x:c r="E20" s="68" t="str"/>
      <x:c r="F20" s="68" t="str"/>
      <x:c r="G20" s="68" t="str">
        <x:v>Primary</x:v>
      </x:c>
      <x:c r="H20" s="68" t="str">
        <x:v>Supporting</x:v>
      </x:c>
      <x:c r="I20" s="68" t="str">
        <x:v>Supporting</x:v>
      </x:c>
      <x:c r="J20" s="68" t="str">
        <x:v>Primary</x:v>
      </x:c>
      <x:c r="K20" s="68" t="str">
        <x:v>Supporting</x:v>
      </x:c>
      <x:c r="L20" s="69" t="str">
        <x:v>180–184</x:v>
      </x:c>
    </x:row>
    <x:row r="21">
      <x:c r="A21" s="67" t="str">
        <x:v>31</x:v>
      </x:c>
      <x:c r="B21" s="68" t="str">
        <x:v>UAT execution readiness / sign-off</x:v>
      </x:c>
      <x:c r="C21" s="68" t="str">
        <x:v>Supporting</x:v>
      </x:c>
      <x:c r="D21" s="68" t="str"/>
      <x:c r="E21" s="68" t="str"/>
      <x:c r="F21" s="68" t="str">
        <x:v>Supporting</x:v>
      </x:c>
      <x:c r="G21" s="68" t="str">
        <x:v>Supporting</x:v>
      </x:c>
      <x:c r="H21" s="68" t="str"/>
      <x:c r="I21" s="68" t="str">
        <x:v>Primary</x:v>
      </x:c>
      <x:c r="J21" s="68" t="str">
        <x:v>Primary</x:v>
      </x:c>
      <x:c r="K21" s="68" t="str"/>
      <x:c r="L21" s="69" t="str">
        <x:v>185–188</x:v>
      </x:c>
    </x:row>
    <x:row r="22">
      <x:c r="A22" s="67" t="str">
        <x:v>32</x:v>
      </x:c>
      <x:c r="B22" s="68" t="str">
        <x:v>Security, privacy and compliance</x:v>
      </x:c>
      <x:c r="C22" s="68" t="str">
        <x:v>Supporting</x:v>
      </x:c>
      <x:c r="D22" s="68" t="str">
        <x:v>Supporting</x:v>
      </x:c>
      <x:c r="E22" s="68" t="str">
        <x:v>Supporting</x:v>
      </x:c>
      <x:c r="F22" s="68" t="str">
        <x:v>Primary</x:v>
      </x:c>
      <x:c r="G22" s="68" t="str">
        <x:v>Supporting</x:v>
      </x:c>
      <x:c r="H22" s="68" t="str">
        <x:v>Primary</x:v>
      </x:c>
      <x:c r="I22" s="68" t="str">
        <x:v>Supporting</x:v>
      </x:c>
      <x:c r="J22" s="68" t="str">
        <x:v>Supporting</x:v>
      </x:c>
      <x:c r="K22" s="68" t="str"/>
      <x:c r="L22" s="69" t="str">
        <x:v>189–194</x:v>
      </x:c>
    </x:row>
    <x:row r="23">
      <x:c r="A23" s="67" t="str">
        <x:v>33</x:v>
      </x:c>
      <x:c r="B23" s="68" t="str">
        <x:v>Release and implementation readiness</x:v>
      </x:c>
      <x:c r="C23" s="68" t="str">
        <x:v>Primary</x:v>
      </x:c>
      <x:c r="D23" s="68" t="str">
        <x:v>Supporting</x:v>
      </x:c>
      <x:c r="E23" s="68" t="str">
        <x:v>Supporting</x:v>
      </x:c>
      <x:c r="F23" s="68" t="str">
        <x:v>Supporting</x:v>
      </x:c>
      <x:c r="G23" s="68" t="str">
        <x:v>Supporting</x:v>
      </x:c>
      <x:c r="H23" s="68" t="str">
        <x:v>Supporting</x:v>
      </x:c>
      <x:c r="I23" s="68" t="str">
        <x:v>Primary</x:v>
      </x:c>
      <x:c r="J23" s="68" t="str">
        <x:v>Supporting</x:v>
      </x:c>
      <x:c r="K23" s="68" t="str"/>
      <x:c r="L23" s="69" t="str">
        <x:v>195–201</x:v>
      </x:c>
    </x:row>
    <x:row r="24">
      <x:c r="A24" s="67" t="str">
        <x:v>34</x:v>
      </x:c>
      <x:c r="B24" s="68" t="str">
        <x:v>Live service and support model</x:v>
      </x:c>
      <x:c r="C24" s="68" t="str">
        <x:v>Primary</x:v>
      </x:c>
      <x:c r="D24" s="68" t="str">
        <x:v>Supporting</x:v>
      </x:c>
      <x:c r="E24" s="68" t="str">
        <x:v>Primary</x:v>
      </x:c>
      <x:c r="F24" s="68" t="str">
        <x:v>Supporting</x:v>
      </x:c>
      <x:c r="G24" s="68" t="str">
        <x:v>Supporting</x:v>
      </x:c>
      <x:c r="H24" s="68" t="str">
        <x:v>Primary</x:v>
      </x:c>
      <x:c r="I24" s="68" t="str">
        <x:v>Primary</x:v>
      </x:c>
      <x:c r="J24" s="68" t="str">
        <x:v>Supporting</x:v>
      </x:c>
      <x:c r="K24" s="68" t="str">
        <x:v>Supporting</x:v>
      </x:c>
      <x:c r="L24" s="69" t="str">
        <x:v>202–209</x:v>
      </x:c>
    </x:row>
    <x:row r="25">
      <x:c r="A25" s="70" t="str">
        <x:v>35</x:v>
      </x:c>
      <x:c r="B25" s="71" t="str">
        <x:v>Benefits and performance measurement</x:v>
      </x:c>
      <x:c r="C25" s="71" t="str">
        <x:v>Supporting</x:v>
      </x:c>
      <x:c r="D25" s="71" t="str"/>
      <x:c r="E25" s="71" t="str">
        <x:v>Primary</x:v>
      </x:c>
      <x:c r="F25" s="71" t="str">
        <x:v>Supporting</x:v>
      </x:c>
      <x:c r="G25" s="71" t="str">
        <x:v>Supporting</x:v>
      </x:c>
      <x:c r="H25" s="71" t="str">
        <x:v>Supporting</x:v>
      </x:c>
      <x:c r="I25" s="71" t="str">
        <x:v>Supporting</x:v>
      </x:c>
      <x:c r="J25" s="71" t="str">
        <x:v>Supporting</x:v>
      </x:c>
      <x:c r="K25" s="71" t="str">
        <x:v>Supporting</x:v>
      </x:c>
      <x:c r="L25" s="72" t="str">
        <x:v>210–216</x:v>
      </x:c>
    </x:row>
  </x:sheetData>
  <x:mergeCells>
    <x:mergeCell ref="A1:L1"/>
    <x:mergeCell ref="A2:L2"/>
  </x:mergeCells>
  <x:conditionalFormatting sqref="C5:C40">
    <x:cfRule type="expression" dxfId="3" priority="1">
      <x:formula>C5="Primary"</x:formula>
    </x:cfRule>
    <x:cfRule type="expression" dxfId="4" priority="2">
      <x:formula>C5="Supporting"</x:formula>
    </x:cfRule>
  </x:conditionalFormatting>
  <x:conditionalFormatting sqref="D5:D40">
    <x:cfRule type="expression" dxfId="5" priority="3">
      <x:formula>D5="Primary"</x:formula>
    </x:cfRule>
    <x:cfRule type="expression" dxfId="6" priority="4">
      <x:formula>D5="Supporting"</x:formula>
    </x:cfRule>
  </x:conditionalFormatting>
  <x:conditionalFormatting sqref="E5:E40">
    <x:cfRule type="expression" dxfId="7" priority="5">
      <x:formula>E5="Primary"</x:formula>
    </x:cfRule>
    <x:cfRule type="expression" dxfId="8" priority="6">
      <x:formula>E5="Supporting"</x:formula>
    </x:cfRule>
  </x:conditionalFormatting>
  <x:conditionalFormatting sqref="F5:F40">
    <x:cfRule type="expression" dxfId="9" priority="7">
      <x:formula>F5="Primary"</x:formula>
    </x:cfRule>
    <x:cfRule type="expression" dxfId="10" priority="8">
      <x:formula>F5="Supporting"</x:formula>
    </x:cfRule>
  </x:conditionalFormatting>
  <x:conditionalFormatting sqref="G5:G40">
    <x:cfRule type="expression" dxfId="11" priority="9">
      <x:formula>G5="Primary"</x:formula>
    </x:cfRule>
    <x:cfRule type="expression" dxfId="12" priority="10">
      <x:formula>G5="Supporting"</x:formula>
    </x:cfRule>
  </x:conditionalFormatting>
  <x:conditionalFormatting sqref="H5:H40">
    <x:cfRule type="expression" dxfId="13" priority="11">
      <x:formula>H5="Primary"</x:formula>
    </x:cfRule>
    <x:cfRule type="expression" dxfId="14" priority="12">
      <x:formula>H5="Supporting"</x:formula>
    </x:cfRule>
  </x:conditionalFormatting>
  <x:conditionalFormatting sqref="I5:I40">
    <x:cfRule type="expression" dxfId="15" priority="13">
      <x:formula>I5="Primary"</x:formula>
    </x:cfRule>
    <x:cfRule type="expression" dxfId="16" priority="14">
      <x:formula>I5="Supporting"</x:formula>
    </x:cfRule>
  </x:conditionalFormatting>
  <x:conditionalFormatting sqref="J5:J40">
    <x:cfRule type="expression" dxfId="17" priority="15">
      <x:formula>J5="Primary"</x:formula>
    </x:cfRule>
    <x:cfRule type="expression" dxfId="18" priority="16">
      <x:formula>J5="Supporting"</x:formula>
    </x:cfRule>
  </x:conditionalFormatting>
  <x:conditionalFormatting sqref="K5:K40">
    <x:cfRule type="expression" dxfId="19" priority="17">
      <x:formula>K5="Primary"</x:formula>
    </x:cfRule>
    <x:cfRule type="expression" dxfId="20" priority="18">
      <x:formula>K5="Supporting"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2" hidden="0" customWidth="1"/>
    <x:col min="4" max="4" width="40" hidden="0" customWidth="1"/>
    <x:col min="5" max="5" width="54" hidden="0" customWidth="1"/>
    <x:col min="6" max="6" width="46" hidden="0" customWidth="1"/>
    <x:col min="7" max="7" width="44" hidden="0" customWidth="1"/>
    <x:col min="8" max="8" width="44" hidden="0" customWidth="1"/>
  </x:cols>
  <x:sheetData>
    <x:row r="1">
      <x:c r="A1" s="5" t="str">
        <x:v>PayFix AI 2.0 — Capability Interview Examples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Use these as evidence anchors, not memorised scripts. Keep the limitation/portfolio context explicit in interviews.</x:v>
      </x:c>
      <x:c r="B2" s="13"/>
      <x:c r="C2" s="13"/>
      <x:c r="D2" s="13"/>
      <x:c r="E2" s="13"/>
      <x:c r="F2" s="13"/>
      <x:c r="G2" s="13"/>
      <x:c r="H2" s="13"/>
    </x:row>
    <x:row r="4">
      <x:c r="A4" s="64" t="str">
        <x:v>Capability ID</x:v>
      </x:c>
      <x:c r="B4" s="65" t="str">
        <x:v>Capability</x:v>
      </x:c>
      <x:c r="C4" s="65" t="str">
        <x:v>Situation / Context</x:v>
      </x:c>
      <x:c r="D4" s="65" t="str">
        <x:v>Task / Need</x:v>
      </x:c>
      <x:c r="E4" s="65" t="str">
        <x:v>Action I Took</x:v>
      </x:c>
      <x:c r="F4" s="65" t="str">
        <x:v>Evidence / Result</x:v>
      </x:c>
      <x:c r="G4" s="65" t="str">
        <x:v>Limitation to State</x:v>
      </x:c>
      <x:c r="H4" s="66" t="str">
        <x:v>Likely Interview Question</x:v>
      </x:c>
    </x:row>
    <x:row r="5">
      <x:c r="A5" s="67" t="str">
        <x:v>CAP-01</x:v>
      </x:c>
      <x:c r="B5" s="68" t="str">
        <x:v>Adapting to delivery methodologies</x:v>
      </x:c>
      <x:c r="C5" s="68" t="str">
        <x:v>PayFix had discovery, structured product delivery, testing and operational-design work.</x:v>
      </x:c>
      <x:c r="D5" s="68" t="str">
        <x:v>Use delivery methods suited to different work types while keeping one coherent lifecycle.</x:v>
      </x:c>
      <x:c r="E5" s="68" t="str">
        <x:v>Used Agile overall, Scrum for planned increments, Kanban for discovery/support work, and H1–H4 horizons to control scope and AI dependency.</x:v>
      </x:c>
      <x:c r="F5" s="68" t="str">
        <x:v>11 epics / 66 stories; release and live-service plans maintain the same delivery boundaries.</x:v>
      </x:c>
      <x:c r="G5" s="68" t="str">
        <x:v>Portfolio project; no real sprint velocity/team ceremonies claimed.</x:v>
      </x:c>
      <x:c r="H5" s="69" t="str">
        <x:v>Why did you use both Scrum and Kanban?</x:v>
      </x:c>
    </x:row>
    <x:row r="6">
      <x:c r="A6" s="67" t="str">
        <x:v>CAP-02</x:v>
      </x:c>
      <x:c r="B6" s="68" t="str">
        <x:v>Business modelling</x:v>
      </x:c>
      <x:c r="C6" s="68" t="str">
        <x:v>Dispute handling involved users, decisions, evidence, referrals, systems and authority boundaries.</x:v>
      </x:c>
      <x:c r="D6" s="68" t="str">
        <x:v>Create models that connected business flow to system/data implications.</x:v>
      </x:c>
      <x:c r="E6" s="68" t="str">
        <x:v>Built As-Is and To-Be models, then system context, architecture, logical data model, interfaces and service ownership.</x:v>
      </x:c>
      <x:c r="F6" s="68" t="str">
        <x:v>17 logical components, 24 entities, 9 interfaces and cross-layer traceability.</x:v>
      </x:c>
      <x:c r="G6" s="68" t="str">
        <x:v>Logical design, not deployed architecture.</x:v>
      </x:c>
      <x:c r="H6" s="69" t="str">
        <x:v>Tell me about a business model you created and how it was used.</x:v>
      </x:c>
    </x:row>
    <x:row r="7">
      <x:c r="A7" s="67" t="str">
        <x:v>CAP-03</x:v>
      </x:c>
      <x:c r="B7" s="68" t="str">
        <x:v>Business process improvement</x:v>
      </x:c>
      <x:c r="C7" s="68" t="str">
        <x:v>Synthetic baseline showed long resolution, breaches, handoffs, rework and customer-contact effort.</x:v>
      </x:c>
      <x:c r="D7" s="68" t="str">
        <x:v>Identify where improvement should focus and how to prove it later.</x:v>
      </x:c>
      <x:c r="E7" s="68" t="str">
        <x:v>Combined baseline metrics, root-cause analysis, As-Is/To-Be design, options appraisal and a benefits/KPI framework.</x:v>
      </x:c>
      <x:c r="F7" s="68" t="str">
        <x:v>10 benefit hypotheses and 14 KPIs linked to baseline evidence.</x:v>
      </x:c>
      <x:c r="G7" s="68" t="str">
        <x:v>No production benefit is claimed.</x:v>
      </x:c>
      <x:c r="H7" s="69" t="str">
        <x:v>Give an example of improving a business process using data.</x:v>
      </x:c>
    </x:row>
    <x:row r="8">
      <x:c r="A8" s="67" t="str">
        <x:v>CAP-04</x:v>
      </x:c>
      <x:c r="B8" s="68" t="str">
        <x:v>Context, problem and option analysis</x:v>
      </x:c>
      <x:c r="C8" s="68" t="str">
        <x:v>AI could easily have been treated as the default solution.</x:v>
      </x:c>
      <x:c r="D8" s="68" t="str">
        <x:v>Determine whether/where AI was suitable and preserve safer non-AI options.</x:v>
      </x:c>
      <x:c r="E8" s="68" t="str">
        <x:v>Analysed context/root causes, compared options, limited AI to two assistive pilots and required H1/H2 to work without AI.</x:v>
      </x:c>
      <x:c r="F8" s="68" t="str">
        <x:v>Controlled AI scope, explicit guardrails and separate production approval gates.</x:v>
      </x:c>
      <x:c r="G8" s="68" t="str">
        <x:v>Options used portfolio/synthetic evidence rather than live procurement data.</x:v>
      </x:c>
      <x:c r="H8" s="69" t="str">
        <x:v>Tell me about a time you challenged an assumed solution.</x:v>
      </x:c>
    </x:row>
    <x:row r="9">
      <x:c r="A9" s="67" t="str">
        <x:v>CAP-05</x:v>
      </x:c>
      <x:c r="B9" s="68" t="str">
        <x:v>Needs and requirements</x:v>
      </x:c>
      <x:c r="C9" s="68" t="str">
        <x:v>The project needed business, user, system, data, UX, control and AI needs to remain manageable.</x:v>
      </x:c>
      <x:c r="D9" s="68" t="str">
        <x:v>Create a controlled requirements baseline and delivery/test traceability.</x:v>
      </x:c>
      <x:c r="E9" s="68" t="str">
        <x:v>Created 228 requirements, mapped supported items into 66 stories, and built requirements-to-test traceability.</x:v>
      </x:c>
      <x:c r="F9" s="68" t="str">
        <x:v>169 exact/source-supported story mappings; 20 UAT cases; source gaps kept visible.</x:v>
      </x:c>
      <x:c r="G9" s="68" t="str">
        <x:v>Three control requirement statements remain source gaps rather than invented content.</x:v>
      </x:c>
      <x:c r="H9" s="69" t="str">
        <x:v>How do you manage requirements through delivery and testing?</x:v>
      </x:c>
    </x:row>
    <x:row r="10">
      <x:c r="A10" s="67" t="str">
        <x:v>CAP-06</x:v>
      </x:c>
      <x:c r="B10" s="68" t="str">
        <x:v>Digital and data systems analysis</x:v>
      </x:c>
      <x:c r="C10" s="68" t="str">
        <x:v>Future process design depended on systems, data, interfaces, access and resilience.</x:v>
      </x:c>
      <x:c r="D10" s="68" t="str">
        <x:v>Translate business needs into technical analysis without overstepping into implementation claims.</x:v>
      </x:c>
      <x:c r="E10" s="68" t="str">
        <x:v>Produced system context, logical architecture/data model, interface/API analysis, authority model, resilience and AI boundaries.</x:v>
      </x:c>
      <x:c r="F10" s="68" t="str">
        <x:v>17 components, 24 entities, 9 interfaces, 15 operations, 10 authority categories.</x:v>
      </x:c>
      <x:c r="G10" s="68" t="str">
        <x:v>No production infrastructure/provider is claimed.</x:v>
      </x:c>
      <x:c r="H10" s="69" t="str">
        <x:v>How do you work with technical teams as a BA?</x:v>
      </x:c>
    </x:row>
    <x:row r="11">
      <x:c r="A11" s="67" t="str">
        <x:v>CAP-07</x:v>
      </x:c>
      <x:c r="B11" s="68" t="str">
        <x:v>Stakeholder relationship management</x:v>
      </x:c>
      <x:c r="C11" s="68" t="str">
        <x:v>Different roles would own business decisions, security, privacy, operations, testing and release approval.</x:v>
      </x:c>
      <x:c r="D11" s="68" t="str">
        <x:v>Make stakeholder responsibilities and decision rights explicit throughout the lifecycle.</x:v>
      </x:c>
      <x:c r="E11" s="68" t="str">
        <x:v>Mapped stakeholder groups and propagated roles into UAT sign-off, security/privacy ownership, release authority and live-service ownership.</x:v>
      </x:c>
      <x:c r="F11" s="68" t="str">
        <x:v>Governance is traceable from discovery through operational handover.</x:v>
      </x:c>
      <x:c r="G11" s="68" t="str">
        <x:v>Direct real stakeholder workshops/interviews are not evidenced in this portfolio.</x:v>
      </x:c>
      <x:c r="H11" s="69" t="str">
        <x:v>How would you handle conflicting stakeholder priorities?</x:v>
      </x:c>
    </x:row>
    <x:row r="12">
      <x:c r="A12" s="67" t="str">
        <x:v>CAP-08</x:v>
      </x:c>
      <x:c r="B12" s="68" t="str">
        <x:v>Testing for business analysis</x:v>
      </x:c>
      <x:c r="C12" s="68" t="str">
        <x:v>The portfolio had a working AI prototype but not a complete production-like service.</x:v>
      </x:c>
      <x:c r="D12" s="68" t="str">
        <x:v>Create useful test evidence without falsely claiming full UAT.</x:v>
      </x:c>
      <x:c r="E12" s="68" t="str">
        <x:v>Separated AI prototype evaluation from UAT; created strategy, 20 UAT cases, RTM, readiness, defect/retest and sign-off controls.</x:v>
      </x:c>
      <x:c r="F12" s="68" t="str">
        <x:v>26 AI scenarios evaluated; 20 UAT designs; 0 full-service UAT executions claimed.</x:v>
      </x:c>
      <x:c r="G12" s="68" t="str">
        <x:v>Full-service UAT remains not executed.</x:v>
      </x:c>
      <x:c r="H12" s="69" t="str">
        <x:v>How did you ensure requirements were testable and traceable?</x:v>
      </x:c>
    </x:row>
    <x:row r="13">
      <x:c r="A13" s="70" t="str">
        <x:v>CAP-09</x:v>
      </x:c>
      <x:c r="B13" s="71" t="str">
        <x:v>User experience analysis</x:v>
      </x:c>
      <x:c r="C13" s="71" t="str">
        <x:v>There was no access to genuine PayFix users, so invented interviews would be misleading.</x:v>
      </x:c>
      <x:c r="D13" s="71" t="str">
        <x:v>Include user needs and UX analysis without fabricating research.</x:v>
      </x:c>
      <x:c r="E13" s="71" t="str">
        <x:v>Used UX hypotheses/discovery, journey analysis, 36 UXR requirements, To-Be design, UAT scenarios and customer-experience measures.</x:v>
      </x:c>
      <x:c r="F13" s="71" t="str">
        <x:v>UX is linked into requirements, testing and KPIs rather than just interface mock-ups.</x:v>
      </x:c>
      <x:c r="G13" s="71" t="str">
        <x:v>No real-user interviews/quotes/usability sessions claimed.</x:v>
      </x:c>
      <x:c r="H13" s="72" t="str">
        <x:v>How did you analyse UX when you did not have direct users?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4" max="4" width="14" hidden="0" customWidth="1"/>
    <x:col min="5" max="5" width="48" hidden="0" customWidth="1"/>
    <x:col min="6" max="6" width="28" hidden="0" customWidth="1"/>
    <x:col min="7" max="7" width="22" hidden="0" customWidth="1"/>
    <x:col min="8" max="8" width="22" hidden="0" customWidth="1"/>
    <x:col min="10" max="10" width="28" hidden="0" customWidth="1"/>
    <x:col min="11" max="11" width="12" hidden="0" customWidth="1"/>
  </x:cols>
  <x:sheetData>
    <x:row r="1">
      <x:c r="A1" s="5" t="str">
        <x:v>PayFix AI 2.0 — Step 36 Capability Evidence Summary</x:v>
      </x:c>
      <x:c r="B1" s="5"/>
      <x:c r="C1" s="5"/>
      <x:c r="D1" s="5"/>
      <x:c r="E1" s="5"/>
      <x:c r="F1" s="5"/>
      <x:c r="G1" s="5"/>
      <x:c r="H1" s="5"/>
    </x:row>
    <x:row r="3">
      <x:c r="A3" s="33" t="str">
        <x:v>Capability Evidence Position</x:v>
      </x:c>
      <x:c r="B3" s="40" t="str">
        <x:v>PORTFOLIO MAPPING COMPLETE</x:v>
      </x:c>
      <x:c r="D3" s="21" t="str">
        <x:v>Capability Position</x:v>
      </x:c>
      <x:c r="E3" s="21"/>
      <x:c r="F3" s="21"/>
      <x:c r="G3" s="21"/>
      <x:c r="H3" s="21"/>
      <x:c r="J3" s="21" t="str">
        <x:v>Evidence Status</x:v>
      </x:c>
      <x:c r="K3" s="21" t="str">
        <x:v>Count</x:v>
      </x:c>
    </x:row>
    <x:row r="4">
      <x:c r="J4" t="str">
        <x:v>Demonstrated</x:v>
      </x:c>
      <x:c r="K4" t="n">
        <x:f>COUNTIF(Capability_Matrix!J5:J13,"Demonstrated")</x:f>
        <x:v>7</x:v>
      </x:c>
    </x:row>
    <x:row r="5">
      <x:c r="A5" s="33" t="str">
        <x:v>Official Government Assessment</x:v>
      </x:c>
      <x:c r="B5" s="46" t="str">
        <x:v>No — portfolio self-evidence only</x:v>
      </x:c>
      <x:c r="D5" s="90" t="str">
        <x:v>CAP-01</x:v>
      </x:c>
      <x:c r="E5" s="91" t="str">
        <x:v>Adapting to delivery methodologies</x:v>
      </x:c>
      <x:c r="F5" s="92" t="str">
        <x:v>Demonstrated</x:v>
      </x:c>
      <x:c r="J5" t="str">
        <x:v>Demonstrated with limitation</x:v>
      </x:c>
      <x:c r="K5" t="n">
        <x:f>COUNTIF(Capability_Matrix!J5:J13,"Demonstrated with limitation")</x:f>
        <x:v>2</x:v>
      </x:c>
    </x:row>
    <x:row r="6">
      <x:c r="D6" s="82" t="str">
        <x:v>CAP-02</x:v>
      </x:c>
      <x:c r="E6" s="68" t="str">
        <x:v>Business modelling</x:v>
      </x:c>
      <x:c r="F6" s="69" t="str">
        <x:v>Demonstrated</x:v>
      </x:c>
      <x:c r="J6" t="str">
        <x:v>Evidence gap</x:v>
      </x:c>
      <x:c r="K6" t="n">
        <x:f>COUNTIF(Capability_Matrix!J5:J13,"Evidence gap")</x:f>
        <x:v>0</x:v>
      </x:c>
    </x:row>
    <x:row r="7">
      <x:c r="A7" s="64" t="str">
        <x:v>Capability Metric</x:v>
      </x:c>
      <x:c r="B7" s="66" t="str">
        <x:v>Count</x:v>
      </x:c>
      <x:c r="D7" s="82" t="str">
        <x:v>CAP-03</x:v>
      </x:c>
      <x:c r="E7" s="68" t="str">
        <x:v>Business process improvement</x:v>
      </x:c>
      <x:c r="F7" s="69" t="str">
        <x:v>Demonstrated</x:v>
      </x:c>
    </x:row>
    <x:row r="8">
      <x:c r="A8" s="82" t="str">
        <x:v>Working-level capability areas</x:v>
      </x:c>
      <x:c r="B8" s="83" t="n">
        <x:f>COUNTA(Capability_Matrix!A5:A13)</x:f>
        <x:v>9</x:v>
      </x:c>
      <x:c r="D8" s="82" t="str">
        <x:v>CAP-04</x:v>
      </x:c>
      <x:c r="E8" s="68" t="str">
        <x:v>Context, problem and option analysis</x:v>
      </x:c>
      <x:c r="F8" s="69" t="str">
        <x:v>Demonstrated</x:v>
      </x:c>
    </x:row>
    <x:row r="9">
      <x:c r="A9" s="82" t="str">
        <x:v>Demonstrated</x:v>
      </x:c>
      <x:c r="B9" s="83" t="n">
        <x:f>COUNTIF(Capability_Matrix!J5:J13,"Demonstrated")</x:f>
        <x:v>7</x:v>
      </x:c>
      <x:c r="D9" s="82" t="str">
        <x:v>CAP-05</x:v>
      </x:c>
      <x:c r="E9" s="68" t="str">
        <x:v>Defining/managing business needs, user needs and requirements</x:v>
      </x:c>
      <x:c r="F9" s="69" t="str">
        <x:v>Demonstrated</x:v>
      </x:c>
    </x:row>
    <x:row r="10">
      <x:c r="A10" s="82" t="str">
        <x:v>Demonstrated with limitation</x:v>
      </x:c>
      <x:c r="B10" s="83" t="n">
        <x:f>COUNTIF(Capability_Matrix!J5:J13,"Demonstrated with limitation")</x:f>
        <x:v>2</x:v>
      </x:c>
      <x:c r="D10" s="82" t="str">
        <x:v>CAP-06</x:v>
      </x:c>
      <x:c r="E10" s="68" t="str">
        <x:v>Digital and data systems analysis</x:v>
      </x:c>
      <x:c r="F10" s="69" t="str">
        <x:v>Demonstrated</x:v>
      </x:c>
    </x:row>
    <x:row r="11">
      <x:c r="A11" s="82" t="str">
        <x:v>Evidence gaps</x:v>
      </x:c>
      <x:c r="B11" s="83" t="n">
        <x:f>COUNTIF(Capability_Matrix!J5:J13,"Evidence gap")</x:f>
        <x:v>0</x:v>
      </x:c>
      <x:c r="D11" s="82" t="str">
        <x:v>CAP-07</x:v>
      </x:c>
      <x:c r="E11" s="68" t="str">
        <x:v>Stakeholder relationship management</x:v>
      </x:c>
      <x:c r="F11" s="69" t="str">
        <x:v>Demonstrated with limitation</x:v>
      </x:c>
    </x:row>
    <x:row r="12">
      <x:c r="A12" s="82" t="str">
        <x:v>Detailed evidence items</x:v>
      </x:c>
      <x:c r="B12" s="83" t="n">
        <x:f>COUNTA(Evidence_Catalogue!A5:A34)</x:f>
        <x:v>30</x:v>
      </x:c>
      <x:c r="D12" s="82" t="str">
        <x:v>CAP-08</x:v>
      </x:c>
      <x:c r="E12" s="68" t="str">
        <x:v>Testing for business analysis</x:v>
      </x:c>
      <x:c r="F12" s="69" t="str">
        <x:v>Demonstrated</x:v>
      </x:c>
    </x:row>
    <x:row r="13">
      <x:c r="A13" s="84" t="str">
        <x:v>Lifecycle steps/stages cross-walked</x:v>
      </x:c>
      <x:c r="B13" s="85" t="n">
        <x:f>COUNTA(Step_Crosswalk!A5:A25)</x:f>
        <x:v>21</x:v>
      </x:c>
      <x:c r="D13" s="84" t="str">
        <x:v>CAP-09</x:v>
      </x:c>
      <x:c r="E13" s="71" t="str">
        <x:v>User experience analysis</x:v>
      </x:c>
      <x:c r="F13" s="72" t="str">
        <x:v>Demonstrated with limitation</x:v>
      </x:c>
    </x:row>
    <x:row r="15">
      <x:c r="D15" s="21" t="str">
        <x:v>Integrity / Portfolio Boundaries</x:v>
      </x:c>
      <x:c r="E15" s="21"/>
      <x:c r="F15" s="21"/>
      <x:c r="G15" s="21"/>
      <x:c r="H15" s="21"/>
    </x:row>
    <x:row r="17">
      <x:c r="D17" s="58" t="str">
        <x:v>• This matrix is a portfolio self-assessment, not an official UK Government capability assessment.
• No real stakeholder interviews, user interviews or organisational relationship outcomes are fabricated.
• No full-service UAT, production deployment, production security approval, live-service performance or realised benefits are claimed.
• Synthetic data and prototype evidence are labelled as such.
• Requirements/source gaps remain visible rather than being filled with invented content.
• Logical architecture and operating models are design evidence, not claims about a deployed production estate.
• The strongest interview evidence is the traceable reasoning across discovery → modelling → requirements → systems → testing → release → live service → benefits.</x:v>
      </x:c>
      <x:c r="E17" s="58"/>
      <x:c r="F17" s="58"/>
      <x:c r="G17" s="58"/>
      <x:c r="H17" s="58"/>
    </x:row>
    <x:row r="18">
      <x:c r="D18" s="58"/>
      <x:c r="E18" s="58"/>
      <x:c r="F18" s="58"/>
      <x:c r="G18" s="58"/>
      <x:c r="H18" s="58"/>
    </x:row>
    <x:row r="19">
      <x:c r="D19" s="58"/>
      <x:c r="E19" s="58"/>
      <x:c r="F19" s="58"/>
      <x:c r="G19" s="58"/>
      <x:c r="H19" s="58"/>
    </x:row>
    <x:row r="20">
      <x:c r="D20" s="58"/>
      <x:c r="E20" s="58"/>
      <x:c r="F20" s="58"/>
      <x:c r="G20" s="58"/>
      <x:c r="H20" s="58"/>
    </x:row>
    <x:row r="21">
      <x:c r="D21" s="58"/>
      <x:c r="E21" s="58"/>
      <x:c r="F21" s="58"/>
      <x:c r="G21" s="58"/>
      <x:c r="H21" s="58"/>
    </x:row>
    <x:row r="22">
      <x:c r="D22" s="58"/>
      <x:c r="E22" s="58"/>
      <x:c r="F22" s="58"/>
      <x:c r="G22" s="58"/>
      <x:c r="H22" s="58"/>
    </x:row>
    <x:row r="23">
      <x:c r="D23" s="58"/>
      <x:c r="E23" s="58"/>
      <x:c r="F23" s="58"/>
      <x:c r="G23" s="58"/>
      <x:c r="H23" s="58"/>
    </x:row>
    <x:row r="24">
      <x:c r="D24" s="58"/>
      <x:c r="E24" s="58"/>
      <x:c r="F24" s="58"/>
      <x:c r="G24" s="58"/>
      <x:c r="H24" s="58"/>
    </x:row>
    <x:row r="26">
      <x:c r="D26" s="21" t="str">
        <x:v>Step 36 Conclusion</x:v>
      </x:c>
      <x:c r="E26" s="21"/>
      <x:c r="F26" s="21"/>
      <x:c r="G26" s="21"/>
      <x:c r="H26" s="21"/>
    </x:row>
    <x:row r="28">
      <x:c r="D28" s="62" t="str">
        <x:v>The PayFix AI 2.0 portfolio is now mapped across all nine Business Analyst working-level capability areas used by this project. Seven areas have direct portfolio evidence without a material qualification; Stakeholder Relationship Management and User Experience Analysis have substantial design/governance evidence but retain explicit limitations because the portfolio does not claim live organisational stakeholder engagement or real-user research sessions. The matrix provides traceable artefacts, screenshots, interview anchors and integrity notes for recruiter and interview use.</x:v>
      </x:c>
      <x:c r="E28" s="62"/>
      <x:c r="F28" s="62"/>
      <x:c r="G28" s="62"/>
      <x:c r="H28" s="62"/>
    </x:row>
    <x:row r="29">
      <x:c r="D29" s="62"/>
      <x:c r="E29" s="62"/>
      <x:c r="F29" s="62"/>
      <x:c r="G29" s="62"/>
      <x:c r="H29" s="62"/>
    </x:row>
    <x:row r="30">
      <x:c r="D30" s="62"/>
      <x:c r="E30" s="62"/>
      <x:c r="F30" s="62"/>
      <x:c r="G30" s="62"/>
      <x:c r="H30" s="62"/>
    </x:row>
    <x:row r="31">
      <x:c r="D31" s="62"/>
      <x:c r="E31" s="62"/>
      <x:c r="F31" s="62"/>
      <x:c r="G31" s="62"/>
      <x:c r="H31" s="62"/>
    </x:row>
    <x:row r="32">
      <x:c r="D32" s="62"/>
      <x:c r="E32" s="62"/>
      <x:c r="F32" s="62"/>
      <x:c r="G32" s="62"/>
      <x:c r="H32" s="62"/>
    </x:row>
    <x:row r="33">
      <x:c r="D33" s="62"/>
      <x:c r="E33" s="62"/>
      <x:c r="F33" s="62"/>
      <x:c r="G33" s="62"/>
      <x:c r="H33" s="62"/>
    </x:row>
    <x:row r="34">
      <x:c r="D34" s="62"/>
      <x:c r="E34" s="62"/>
      <x:c r="F34" s="62"/>
      <x:c r="G34" s="62"/>
      <x:c r="H34" s="62"/>
    </x:row>
  </x:sheetData>
  <x:mergeCells>
    <x:mergeCell ref="A1:H1"/>
    <x:mergeCell ref="D3:H3"/>
    <x:mergeCell ref="D15:H15"/>
    <x:mergeCell ref="D17:H24"/>
    <x:mergeCell ref="D26:H26"/>
    <x:mergeCell ref="D28:H34"/>
  </x:mergeCells>
  <x:conditionalFormatting sqref="F5:F13">
    <x:cfRule type="expression" dxfId="21" priority="1">
      <x:formula>F5="Demonstrated"</x:formula>
    </x:cfRule>
    <x:cfRule type="expression" dxfId="22" priority="2">
      <x:formula>F5="Demonstrated with limitation"</x:formula>
    </x:cfRule>
  </x:conditionalFormatting>
  <x:pageMargins left="0.7" right="0.7" top="0.75" bottom="0.75" header="0.3" footer="0.3"/>
  <x:drawing xmlns:r="http://schemas.openxmlformats.org/officeDocument/2006/relationships" r:id="R629077b6d590453c"/>
</x:worksheet>
</file>